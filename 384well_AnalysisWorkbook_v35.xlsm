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drawings/drawing7.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8.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saveExternalLinkValues="0" codeName="ThisWorkbook" defaultThemeVersion="124226"/>
  <mc:AlternateContent xmlns:mc="http://schemas.openxmlformats.org/markup-compatibility/2006">
    <mc:Choice Requires="x15">
      <x15ac:absPath xmlns:x15ac="http://schemas.microsoft.com/office/spreadsheetml/2010/11/ac" url="N:\People\Shivalik\Projects\Clinical_Data_Analysis\Automatic_Data_Handling\Excel Analysis Workbook\96 and 384 combined  Analysis Woorkbooks\"/>
    </mc:Choice>
  </mc:AlternateContent>
  <xr:revisionPtr revIDLastSave="0" documentId="13_ncr:1_{09C80A1B-59E1-4F46-BA51-4E2134A58CED}" xr6:coauthVersionLast="34" xr6:coauthVersionMax="34" xr10:uidLastSave="{00000000-0000-0000-0000-000000000000}"/>
  <bookViews>
    <workbookView xWindow="360" yWindow="150" windowWidth="12120" windowHeight="7875" tabRatio="886" firstSheet="2" activeTab="2" xr2:uid="{00000000-000D-0000-FFFF-FFFF00000000}"/>
  </bookViews>
  <sheets>
    <sheet name="Instructions" sheetId="16" state="hidden" r:id="rId1"/>
    <sheet name="Notes" sheetId="18" state="hidden" r:id="rId2"/>
    <sheet name="Master" sheetId="35" r:id="rId3"/>
    <sheet name="Internal" sheetId="34" state="hidden" r:id="rId4"/>
    <sheet name="Sample Setup" sheetId="11" r:id="rId5"/>
    <sheet name="Vibe Setup" sheetId="21" state="hidden" r:id="rId6"/>
    <sheet name="BioScale_Internal" sheetId="17" state="hidden" r:id="rId7"/>
    <sheet name="Results.txt" sheetId="10" state="hidden" r:id="rId8"/>
    <sheet name="Calculations" sheetId="12" r:id="rId9"/>
    <sheet name="Statistics" sheetId="22" state="hidden" r:id="rId10"/>
    <sheet name="Calibration Chart" sheetId="20" r:id="rId11"/>
    <sheet name="Report" sheetId="14" r:id="rId12"/>
    <sheet name="Data" sheetId="23" r:id="rId13"/>
    <sheet name="Sheet1" sheetId="37" state="hidden" r:id="rId14"/>
    <sheet name="Analysis Plate" sheetId="24" r:id="rId15"/>
    <sheet name="Assay Data Report" sheetId="26" r:id="rId16"/>
    <sheet name="scratch" sheetId="27" state="hidden" r:id="rId17"/>
    <sheet name="Imported_Template" sheetId="28" state="hidden" r:id="rId18"/>
    <sheet name="Imported_Rawdata" sheetId="29" state="hidden" r:id="rId19"/>
    <sheet name="reshape_Rawdata" sheetId="33" state="hidden" r:id="rId20"/>
  </sheets>
  <functionGroups builtInGroupCount="19"/>
  <definedNames>
    <definedName name="_xlnm._FilterDatabase" localSheetId="4" hidden="1">'Sample Setup'!#REF!</definedName>
    <definedName name="AccuTime">BioScale_Internal!$G$19</definedName>
    <definedName name="Analyte">BioScale_Internal!$J$22</definedName>
    <definedName name="AssayIncuTime">'Vibe Setup'!$B$12</definedName>
    <definedName name="Decon">BioScale_Internal!$K$33</definedName>
    <definedName name="IncuTime1">'Vibe Setup'!$B$16</definedName>
    <definedName name="IncuTime2">'Vibe Setup'!$B$20</definedName>
    <definedName name="InitOrd">BioScale_Internal!$E$15</definedName>
    <definedName name="ProtocolName">BioScale_Internal!$J$2</definedName>
    <definedName name="Reag1Vol">'Vibe Setup'!$B$14</definedName>
    <definedName name="Reag2Vol">'Vibe Setup'!$B$18</definedName>
    <definedName name="ReagCol1">'Vibe Setup'!$J$24</definedName>
    <definedName name="ReagCol10">'Vibe Setup'!$J$33</definedName>
    <definedName name="ReagCol11">'Vibe Setup'!$J$34</definedName>
    <definedName name="ReagCol12">'Vibe Setup'!$J$35</definedName>
    <definedName name="ReagCol2">'Vibe Setup'!$J$25</definedName>
    <definedName name="ReagCol3">'Vibe Setup'!$J$26</definedName>
    <definedName name="ReagCol4">'Vibe Setup'!$J$27</definedName>
    <definedName name="ReagCol5">'Vibe Setup'!$J$28</definedName>
    <definedName name="ReagCol6">'Vibe Setup'!$J$29</definedName>
    <definedName name="ReagCol7">'Vibe Setup'!$J$30</definedName>
    <definedName name="ReagCol8">'Vibe Setup'!$J$31</definedName>
    <definedName name="ReagCol9">'Vibe Setup'!$J$32</definedName>
    <definedName name="ReagentPlateType">BioScale_Internal!$D$11</definedName>
    <definedName name="ReagR1Vol">'Vibe Setup'!$J$16</definedName>
    <definedName name="ReagR2Vol">'Vibe Setup'!$J$17</definedName>
    <definedName name="Run10A">'Sample Setup'!$K$27</definedName>
    <definedName name="Run10B">'Sample Setup'!$K$28</definedName>
    <definedName name="Run10C">'Sample Setup'!$K$29</definedName>
    <definedName name="Run10D">'Sample Setup'!$K$30</definedName>
    <definedName name="Run10E">'Sample Setup'!$K$31</definedName>
    <definedName name="Run10F">'Sample Setup'!$K$32</definedName>
    <definedName name="Run10G">'Sample Setup'!$K$33</definedName>
    <definedName name="Run10H">'Sample Setup'!$K$34</definedName>
    <definedName name="Run11A">'Sample Setup'!$L$27</definedName>
    <definedName name="Run11B">'Sample Setup'!$L$28</definedName>
    <definedName name="Run11C">'Sample Setup'!$L$29</definedName>
    <definedName name="Run11D">'Sample Setup'!$L$30</definedName>
    <definedName name="Run11E">'Sample Setup'!$L$31</definedName>
    <definedName name="Run11F">'Sample Setup'!$L$32</definedName>
    <definedName name="Run11G">'Sample Setup'!$L$33</definedName>
    <definedName name="Run11H">'Sample Setup'!$L$34</definedName>
    <definedName name="Run12A">'Sample Setup'!$M$27</definedName>
    <definedName name="Run12B">'Sample Setup'!$M$28</definedName>
    <definedName name="Run12C">'Sample Setup'!$M$29</definedName>
    <definedName name="Run12D">'Sample Setup'!$M$30</definedName>
    <definedName name="Run12E">'Sample Setup'!$M$31</definedName>
    <definedName name="Run12F">'Sample Setup'!$M$32</definedName>
    <definedName name="Run12G">'Sample Setup'!$M$33</definedName>
    <definedName name="Run12H">'Sample Setup'!$M$34</definedName>
    <definedName name="Run13A">'Sample Setup'!$N$27</definedName>
    <definedName name="Run13B">'Sample Setup'!$N$28</definedName>
    <definedName name="Run13C">'Sample Setup'!$N$29</definedName>
    <definedName name="Run13D">'Sample Setup'!$N$30</definedName>
    <definedName name="Run13E">'Sample Setup'!$N$31</definedName>
    <definedName name="Run13F">'Sample Setup'!$N$32</definedName>
    <definedName name="Run13G">'Sample Setup'!$N$33</definedName>
    <definedName name="Run13H">'Sample Setup'!$N$34</definedName>
    <definedName name="Run14A">'Sample Setup'!$O$27</definedName>
    <definedName name="Run14B">'Sample Setup'!$O$28</definedName>
    <definedName name="Run14C">'Sample Setup'!$O$29</definedName>
    <definedName name="Run14D">'Sample Setup'!$O$30</definedName>
    <definedName name="Run14E">'Sample Setup'!$O$31</definedName>
    <definedName name="Run14F">'Sample Setup'!$O$32</definedName>
    <definedName name="Run14G">'Sample Setup'!$O$33</definedName>
    <definedName name="Run14H">'Sample Setup'!$O$34</definedName>
    <definedName name="Run15A">'Sample Setup'!$P$27</definedName>
    <definedName name="Run15B">'Sample Setup'!$P$28</definedName>
    <definedName name="Run15C">'Sample Setup'!$P$29</definedName>
    <definedName name="Run15D">'Sample Setup'!$P$30</definedName>
    <definedName name="Run15E">'Sample Setup'!$P$31</definedName>
    <definedName name="Run15F">'Sample Setup'!$P$32</definedName>
    <definedName name="Run15G">'Sample Setup'!$P$33</definedName>
    <definedName name="Run15H">'Sample Setup'!$P$34</definedName>
    <definedName name="Run16A">'Sample Setup'!$Q$27</definedName>
    <definedName name="Run16B">'Sample Setup'!$Q$28</definedName>
    <definedName name="Run16C">'Sample Setup'!$Q$29</definedName>
    <definedName name="Run16D">'Sample Setup'!$Q$30</definedName>
    <definedName name="Run16E">'Sample Setup'!$Q$31</definedName>
    <definedName name="Run16F">'Sample Setup'!$Q$32</definedName>
    <definedName name="Run16G">'Sample Setup'!$Q$33</definedName>
    <definedName name="Run16H">'Sample Setup'!$Q$34</definedName>
    <definedName name="Run17A">'Sample Setup'!$R$27</definedName>
    <definedName name="Run17B">'Sample Setup'!$R$28</definedName>
    <definedName name="Run17C">'Sample Setup'!$R$29</definedName>
    <definedName name="Run17D">'Sample Setup'!$R$30</definedName>
    <definedName name="Run17E">'Sample Setup'!$R$31</definedName>
    <definedName name="Run17F">'Sample Setup'!$R$32</definedName>
    <definedName name="Run17G">'Sample Setup'!$R$33</definedName>
    <definedName name="Run17H">'Sample Setup'!$R$34</definedName>
    <definedName name="Run18A">'Sample Setup'!$S$27</definedName>
    <definedName name="Run18B">'Sample Setup'!$S$28</definedName>
    <definedName name="Run18C">'Sample Setup'!$S$29</definedName>
    <definedName name="Run18D">'Sample Setup'!$S$30</definedName>
    <definedName name="Run18E">'Sample Setup'!$S$31</definedName>
    <definedName name="Run18F">'Sample Setup'!$S$32</definedName>
    <definedName name="Run18G">'Sample Setup'!$S$33</definedName>
    <definedName name="Run18H">'Sample Setup'!$S$34</definedName>
    <definedName name="Run19A">'Sample Setup'!$T$27</definedName>
    <definedName name="Run19B">'Sample Setup'!$T$28</definedName>
    <definedName name="Run19C">'Sample Setup'!$T$29</definedName>
    <definedName name="Run19D">'Sample Setup'!$T$30</definedName>
    <definedName name="Run19E">'Sample Setup'!$T$31</definedName>
    <definedName name="Run19F">'Sample Setup'!$T$32</definedName>
    <definedName name="Run19G">'Sample Setup'!$T$33</definedName>
    <definedName name="Run19H">'Sample Setup'!$T$34</definedName>
    <definedName name="Run1A">'Sample Setup'!$B$27</definedName>
    <definedName name="Run1B">'Sample Setup'!$B$28</definedName>
    <definedName name="Run1C">'Sample Setup'!$B$29</definedName>
    <definedName name="Run1D">'Sample Setup'!$B$30</definedName>
    <definedName name="Run1E">'Sample Setup'!$B$31</definedName>
    <definedName name="Run1F">'Sample Setup'!$B$32</definedName>
    <definedName name="Run1G">'Sample Setup'!$B$33</definedName>
    <definedName name="Run1H">'Sample Setup'!$B$34</definedName>
    <definedName name="Run20A">'Sample Setup'!$U$27</definedName>
    <definedName name="Run20B">'Sample Setup'!$U$28</definedName>
    <definedName name="Run20C">'Sample Setup'!$U$29</definedName>
    <definedName name="Run20D">'Sample Setup'!$U$30</definedName>
    <definedName name="Run20E">'Sample Setup'!$U$31</definedName>
    <definedName name="Run20F">'Sample Setup'!$U$32</definedName>
    <definedName name="Run20G">'Sample Setup'!$U$33</definedName>
    <definedName name="Run20H">'Sample Setup'!$U$34</definedName>
    <definedName name="Run21A">'Sample Setup'!$V$27</definedName>
    <definedName name="Run21B">'Sample Setup'!$V$28</definedName>
    <definedName name="Run21C">'Sample Setup'!$V$29</definedName>
    <definedName name="Run21D">'Sample Setup'!$V$30</definedName>
    <definedName name="Run21E">'Sample Setup'!$V$31</definedName>
    <definedName name="Run21F">'Sample Setup'!$V$32</definedName>
    <definedName name="Run21G">'Sample Setup'!$V$33</definedName>
    <definedName name="Run21H">'Sample Setup'!$V$34</definedName>
    <definedName name="Run22A">'Sample Setup'!$W$27</definedName>
    <definedName name="Run22B">'Sample Setup'!$W$28</definedName>
    <definedName name="Run22C">'Sample Setup'!$W$29</definedName>
    <definedName name="Run22D">'Sample Setup'!$W$30</definedName>
    <definedName name="Run22E">'Sample Setup'!$W$31</definedName>
    <definedName name="Run22F">'Sample Setup'!$W$32</definedName>
    <definedName name="Run22G">'Sample Setup'!$W$33</definedName>
    <definedName name="Run22H">'Sample Setup'!$W$34</definedName>
    <definedName name="Run23A">'Sample Setup'!$X$27</definedName>
    <definedName name="Run23B">'Sample Setup'!$X$28</definedName>
    <definedName name="Run23C">'Sample Setup'!$X$29</definedName>
    <definedName name="Run23D">'Sample Setup'!$X$30</definedName>
    <definedName name="Run23E">'Sample Setup'!$X$31</definedName>
    <definedName name="Run23F">'Sample Setup'!$X$32</definedName>
    <definedName name="Run23G">'Sample Setup'!$X$33</definedName>
    <definedName name="Run23H">'Sample Setup'!$X$34</definedName>
    <definedName name="Run24A">'Sample Setup'!$Y$27</definedName>
    <definedName name="Run24B">'Sample Setup'!$Y$28</definedName>
    <definedName name="Run24C">'Sample Setup'!$Y$29</definedName>
    <definedName name="Run24D">'Sample Setup'!$Y$30</definedName>
    <definedName name="Run24E">'Sample Setup'!$Y$31</definedName>
    <definedName name="Run24F">'Sample Setup'!$Y$32</definedName>
    <definedName name="Run24G">'Sample Setup'!$Y$33</definedName>
    <definedName name="Run24H">'Sample Setup'!$Y$34</definedName>
    <definedName name="Run25A">'Sample Setup'!$Z$27</definedName>
    <definedName name="Run25B">'Sample Setup'!$Z$28</definedName>
    <definedName name="Run25C">'Sample Setup'!$Z$29</definedName>
    <definedName name="Run25D">'Sample Setup'!$Z$30</definedName>
    <definedName name="Run25E">'Sample Setup'!$Z$31</definedName>
    <definedName name="Run25F">'Sample Setup'!$Z$32</definedName>
    <definedName name="Run25G">'Sample Setup'!$Z$33</definedName>
    <definedName name="Run25H">'Sample Setup'!$Z$34</definedName>
    <definedName name="Run26A">'Sample Setup'!$AA$27</definedName>
    <definedName name="Run26B">'Sample Setup'!$AA$28</definedName>
    <definedName name="Run26C">'Sample Setup'!$AA$29</definedName>
    <definedName name="Run26D">'Sample Setup'!$AA$30</definedName>
    <definedName name="Run26E">'Sample Setup'!$AA$31</definedName>
    <definedName name="Run26F">'Sample Setup'!$AA$32</definedName>
    <definedName name="Run26G">'Sample Setup'!$AA$33</definedName>
    <definedName name="Run26H">'Sample Setup'!$AA$34</definedName>
    <definedName name="Run27A">'Sample Setup'!$AB$27</definedName>
    <definedName name="Run27B">'Sample Setup'!$AB$28</definedName>
    <definedName name="Run27C">'Sample Setup'!$AB$29</definedName>
    <definedName name="Run27D">'Sample Setup'!$AB$30</definedName>
    <definedName name="Run27E">'Sample Setup'!$AB$31</definedName>
    <definedName name="Run27F">'Sample Setup'!$AB$32</definedName>
    <definedName name="Run27G">'Sample Setup'!$AB$33</definedName>
    <definedName name="Run27H">'Sample Setup'!$AB$34</definedName>
    <definedName name="Run28A">'Sample Setup'!$AC$27</definedName>
    <definedName name="Run28B">'Sample Setup'!$AC$28</definedName>
    <definedName name="Run28C">'Sample Setup'!$AC$29</definedName>
    <definedName name="Run28D">'Sample Setup'!$AC$30</definedName>
    <definedName name="Run28E">'Sample Setup'!$AC$31</definedName>
    <definedName name="Run28F">'Sample Setup'!$AC$32</definedName>
    <definedName name="Run28G">'Sample Setup'!$AC$33</definedName>
    <definedName name="Run28H">'Sample Setup'!$AC$34</definedName>
    <definedName name="Run29A">'Sample Setup'!$AD$27</definedName>
    <definedName name="Run29B">'Sample Setup'!$AD$28</definedName>
    <definedName name="Run29C">'Sample Setup'!$AD$29</definedName>
    <definedName name="Run29D">'Sample Setup'!$AD$30</definedName>
    <definedName name="Run29E">'Sample Setup'!$AD$31</definedName>
    <definedName name="Run29F">'Sample Setup'!$AD$32</definedName>
    <definedName name="Run29G">'Sample Setup'!$AD$33</definedName>
    <definedName name="Run29H">'Sample Setup'!$AD$34</definedName>
    <definedName name="Run2A">'Sample Setup'!$C$27</definedName>
    <definedName name="Run2B">'Sample Setup'!$C$28</definedName>
    <definedName name="Run2C">'Sample Setup'!$C$29</definedName>
    <definedName name="Run2D">'Sample Setup'!$C$30</definedName>
    <definedName name="Run2E">'Sample Setup'!$C$31</definedName>
    <definedName name="Run2F">'Sample Setup'!$C$32</definedName>
    <definedName name="Run2G">'Sample Setup'!$C$33</definedName>
    <definedName name="Run2H">'Sample Setup'!$C$34</definedName>
    <definedName name="Run30A">'Sample Setup'!$AE$27</definedName>
    <definedName name="Run30B">'Sample Setup'!$AE$28</definedName>
    <definedName name="Run30C">'Sample Setup'!$AE$29</definedName>
    <definedName name="Run30D">'Sample Setup'!$AE$30</definedName>
    <definedName name="Run30E">'Sample Setup'!$AE$31</definedName>
    <definedName name="Run30F">'Sample Setup'!$AE$32</definedName>
    <definedName name="Run30G">'Sample Setup'!$AE$33</definedName>
    <definedName name="Run30H">'Sample Setup'!$AE$34</definedName>
    <definedName name="Run31A">'Sample Setup'!$AF$27</definedName>
    <definedName name="Run31B">'Sample Setup'!$AF$28</definedName>
    <definedName name="Run31C">'Sample Setup'!$AF$29</definedName>
    <definedName name="Run31D">'Sample Setup'!$AF$30</definedName>
    <definedName name="Run31E">'Sample Setup'!$AF$31</definedName>
    <definedName name="Run31F">'Sample Setup'!$AF$32</definedName>
    <definedName name="Run31G">'Sample Setup'!$AF$33</definedName>
    <definedName name="Run31H">'Sample Setup'!$AF$34</definedName>
    <definedName name="Run32A">'Sample Setup'!$AG$27</definedName>
    <definedName name="Run32B">'Sample Setup'!$AG$28</definedName>
    <definedName name="Run32C">'Sample Setup'!$AG$29</definedName>
    <definedName name="Run32D">'Sample Setup'!$AG$30</definedName>
    <definedName name="Run32E">'Sample Setup'!$AG$31</definedName>
    <definedName name="Run32F">'Sample Setup'!$AG$32</definedName>
    <definedName name="Run32G">'Sample Setup'!$AG$33</definedName>
    <definedName name="Run32H">'Sample Setup'!$AG$34</definedName>
    <definedName name="Run33A">'Sample Setup'!$AH$27</definedName>
    <definedName name="Run33B">'Sample Setup'!$AH$28</definedName>
    <definedName name="Run33C">'Sample Setup'!$AH$29</definedName>
    <definedName name="Run33D">'Sample Setup'!$AH$30</definedName>
    <definedName name="Run33E">'Sample Setup'!$AH$31</definedName>
    <definedName name="Run33F">'Sample Setup'!$AH$32</definedName>
    <definedName name="Run33G">'Sample Setup'!$AH$33</definedName>
    <definedName name="Run33H">'Sample Setup'!$AH$34</definedName>
    <definedName name="Run34A">'Sample Setup'!$AI$27</definedName>
    <definedName name="Run34B">'Sample Setup'!$AI$28</definedName>
    <definedName name="Run34C">'Sample Setup'!$AI$29</definedName>
    <definedName name="Run34D">'Sample Setup'!$AI$30</definedName>
    <definedName name="Run34E">'Sample Setup'!$AI$31</definedName>
    <definedName name="Run34F">'Sample Setup'!$AI$32</definedName>
    <definedName name="Run34G">'Sample Setup'!$AI$33</definedName>
    <definedName name="Run34H">'Sample Setup'!$AI$34</definedName>
    <definedName name="Run35A">'Sample Setup'!$AJ$27</definedName>
    <definedName name="Run35B">'Sample Setup'!$AJ$28</definedName>
    <definedName name="Run35C">'Sample Setup'!$AJ$29</definedName>
    <definedName name="Run35D">'Sample Setup'!$AJ$30</definedName>
    <definedName name="Run35E">'Sample Setup'!$AJ$31</definedName>
    <definedName name="Run35F">'Sample Setup'!$AJ$32</definedName>
    <definedName name="Run35G">'Sample Setup'!$AJ$33</definedName>
    <definedName name="Run35H">'Sample Setup'!$AJ$34</definedName>
    <definedName name="Run36A">'Sample Setup'!$AK$27</definedName>
    <definedName name="Run36B">'Sample Setup'!$AK$28</definedName>
    <definedName name="Run36C">'Sample Setup'!$AK$29</definedName>
    <definedName name="Run36D">'Sample Setup'!$AK$30</definedName>
    <definedName name="Run36E">'Sample Setup'!$AK$31</definedName>
    <definedName name="Run36F">'Sample Setup'!$AK$32</definedName>
    <definedName name="Run36G">'Sample Setup'!$AK$33</definedName>
    <definedName name="Run36H">'Sample Setup'!$AK$34</definedName>
    <definedName name="Run3A">'Sample Setup'!$D$27</definedName>
    <definedName name="Run3B">'Sample Setup'!$D$28</definedName>
    <definedName name="Run3C">'Sample Setup'!$D$29</definedName>
    <definedName name="Run3D">'Sample Setup'!$D$30</definedName>
    <definedName name="Run3E">'Sample Setup'!$D$31</definedName>
    <definedName name="Run3F">'Sample Setup'!$D$32</definedName>
    <definedName name="Run3G">'Sample Setup'!$D$33</definedName>
    <definedName name="Run3H">'Sample Setup'!$D$34</definedName>
    <definedName name="Run4A">'Sample Setup'!$E$27</definedName>
    <definedName name="Run4B">'Sample Setup'!$E$28</definedName>
    <definedName name="Run4C">'Sample Setup'!$E$29</definedName>
    <definedName name="Run4D">'Sample Setup'!$E$30</definedName>
    <definedName name="Run4E">'Sample Setup'!$E$31</definedName>
    <definedName name="Run4F">'Sample Setup'!$E$32</definedName>
    <definedName name="Run4G">'Sample Setup'!$E$33</definedName>
    <definedName name="Run4H">'Sample Setup'!$E$34</definedName>
    <definedName name="Run5A">'Sample Setup'!$F$27</definedName>
    <definedName name="Run5B">'Sample Setup'!$F$28</definedName>
    <definedName name="Run5C">'Sample Setup'!$F$29</definedName>
    <definedName name="Run5D">'Sample Setup'!$F$30</definedName>
    <definedName name="Run5E">'Sample Setup'!$F$31</definedName>
    <definedName name="Run5F">'Sample Setup'!$F$32</definedName>
    <definedName name="Run5G">'Sample Setup'!$F$33</definedName>
    <definedName name="Run5H">'Sample Setup'!$F$34</definedName>
    <definedName name="Run6A">'Sample Setup'!$G$27</definedName>
    <definedName name="Run6B">'Sample Setup'!$G$28</definedName>
    <definedName name="Run6C">'Sample Setup'!$G$29</definedName>
    <definedName name="Run6D">'Sample Setup'!$G$30</definedName>
    <definedName name="Run6E">'Sample Setup'!$G$31</definedName>
    <definedName name="Run6F">'Sample Setup'!$G$32</definedName>
    <definedName name="Run6G">'Sample Setup'!$G$33</definedName>
    <definedName name="Run6H">'Sample Setup'!$G$34</definedName>
    <definedName name="Run7A">'Sample Setup'!$H$27</definedName>
    <definedName name="Run7B">'Sample Setup'!$H$28</definedName>
    <definedName name="Run7C">'Sample Setup'!$H$29</definedName>
    <definedName name="Run7D">'Sample Setup'!$H$30</definedName>
    <definedName name="Run7E">'Sample Setup'!$H$31</definedName>
    <definedName name="Run7F">'Sample Setup'!$H$32</definedName>
    <definedName name="Run7G">'Sample Setup'!$H$33</definedName>
    <definedName name="Run7H">'Sample Setup'!$H$34</definedName>
    <definedName name="Run8A">'Sample Setup'!$I$27</definedName>
    <definedName name="Run8B">'Sample Setup'!$I$28</definedName>
    <definedName name="Run8C">'Sample Setup'!$I$29</definedName>
    <definedName name="Run8D">'Sample Setup'!$I$30</definedName>
    <definedName name="Run8E">'Sample Setup'!$I$31</definedName>
    <definedName name="Run8F">'Sample Setup'!$I$32</definedName>
    <definedName name="Run8G">'Sample Setup'!$I$33</definedName>
    <definedName name="Run8H">'Sample Setup'!$I$34</definedName>
    <definedName name="Run9A">'Sample Setup'!$J$27</definedName>
    <definedName name="Run9B">'Sample Setup'!$J$28</definedName>
    <definedName name="Run9C">'Sample Setup'!$J$29</definedName>
    <definedName name="Run9D">'Sample Setup'!$J$30</definedName>
    <definedName name="Run9E">'Sample Setup'!$J$31</definedName>
    <definedName name="Run9F">'Sample Setup'!$J$32</definedName>
    <definedName name="Run9G">'Sample Setup'!$J$33</definedName>
    <definedName name="Run9H">'Sample Setup'!$J$34</definedName>
    <definedName name="RunLabel1">'Sample Setup'!$B$26</definedName>
    <definedName name="RunLabel10">'Sample Setup'!$K$26</definedName>
    <definedName name="RunLabel11">'Sample Setup'!$L$26</definedName>
    <definedName name="RunLabel12">'Sample Setup'!$M$26</definedName>
    <definedName name="RunLabel13">'Sample Setup'!$N$26</definedName>
    <definedName name="RunLabel14">'Sample Setup'!$O$26</definedName>
    <definedName name="RunLabel15">'Sample Setup'!$P$26</definedName>
    <definedName name="RunLabel16">'Sample Setup'!$Q$26</definedName>
    <definedName name="RunLabel17">'Sample Setup'!$R$26</definedName>
    <definedName name="RunLabel18">'Sample Setup'!$S$26</definedName>
    <definedName name="RunLabel19">'Sample Setup'!$T$26</definedName>
    <definedName name="RunLabel2">'Sample Setup'!$C$26</definedName>
    <definedName name="RunLabel20">'Sample Setup'!$U$26</definedName>
    <definedName name="RunLabel21">'Sample Setup'!$V$26</definedName>
    <definedName name="RunLabel22">'Sample Setup'!$W$26</definedName>
    <definedName name="RunLabel23">'Sample Setup'!$X$26</definedName>
    <definedName name="RunLabel24">'Sample Setup'!$Y$26</definedName>
    <definedName name="RunLabel25">'Sample Setup'!$Z$26</definedName>
    <definedName name="RunLabel26">'Sample Setup'!$AA$26</definedName>
    <definedName name="RunLabel27">'Sample Setup'!$AB$26</definedName>
    <definedName name="RunLabel28">'Sample Setup'!$AC$26</definedName>
    <definedName name="RunLabel29">'Sample Setup'!$AD$26</definedName>
    <definedName name="RunLabel3">'Sample Setup'!$D$26</definedName>
    <definedName name="RunLabel30">'Sample Setup'!$AE$26</definedName>
    <definedName name="RunLabel31">'Sample Setup'!$AF$26</definedName>
    <definedName name="RunLabel32">'Sample Setup'!$AG$26</definedName>
    <definedName name="RunLabel33">'Sample Setup'!$AH$26</definedName>
    <definedName name="RunLabel34">'Sample Setup'!$AI$26</definedName>
    <definedName name="RunLabel35">'Sample Setup'!$AJ$26</definedName>
    <definedName name="RunLabel36">'Sample Setup'!$AK$26</definedName>
    <definedName name="RunLabel4">'Sample Setup'!$E$26</definedName>
    <definedName name="RunLabel5">'Sample Setup'!$F$26</definedName>
    <definedName name="RunLabel6">'Sample Setup'!$G$26</definedName>
    <definedName name="RunLabel7">'Sample Setup'!$H$26</definedName>
    <definedName name="RunLabel8">'Sample Setup'!$I$26</definedName>
    <definedName name="RunLabel9">'Sample Setup'!$J$26</definedName>
    <definedName name="SamplePlateType">BioScale_Internal!$D$12</definedName>
    <definedName name="ScriptGrp">BioScale_Internal!$L$5</definedName>
    <definedName name="Sec1E">'Sample Setup'!$Q$5</definedName>
    <definedName name="Sec1S">'Sample Setup'!$O$5</definedName>
    <definedName name="Sec2E">'Sample Setup'!$Q$6</definedName>
    <definedName name="Sec2S">'Sample Setup'!$O$6</definedName>
    <definedName name="Sec3E">'Sample Setup'!$Q$7</definedName>
    <definedName name="Sec3S">'Sample Setup'!$O$7</definedName>
    <definedName name="solver_adj" localSheetId="8" hidden="1">Calculations!$C$111:$C$115</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100</definedName>
    <definedName name="solver_lhs1" localSheetId="8" hidden="1">Calculations!$C$111</definedName>
    <definedName name="solver_lhs2" localSheetId="8" hidden="1">Calculations!$C$112</definedName>
    <definedName name="solver_lin" localSheetId="8" hidden="1">2</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2</definedName>
    <definedName name="solver_nod" localSheetId="8" hidden="1">2147483647</definedName>
    <definedName name="solver_num" localSheetId="8" hidden="1">0</definedName>
    <definedName name="solver_nwt" localSheetId="8" hidden="1">1</definedName>
    <definedName name="solver_opt" localSheetId="8" hidden="1">Calculations!$C$116</definedName>
    <definedName name="solver_pre" localSheetId="8" hidden="1">0.000001</definedName>
    <definedName name="solver_rbv" localSheetId="8" hidden="1">1</definedName>
    <definedName name="solver_rel1" localSheetId="8" hidden="1">1</definedName>
    <definedName name="solver_rel2" localSheetId="8" hidden="1">3</definedName>
    <definedName name="solver_rhs1" localSheetId="8" hidden="1">Calculations!$C$119</definedName>
    <definedName name="solver_rhs2" localSheetId="8" hidden="1">Calculations!$C$120</definedName>
    <definedName name="solver_rlx" localSheetId="8" hidden="1">1</definedName>
    <definedName name="solver_rsd" localSheetId="8" hidden="1">0</definedName>
    <definedName name="solver_scl" localSheetId="8" hidden="1">2</definedName>
    <definedName name="solver_sho" localSheetId="8" hidden="1">2</definedName>
    <definedName name="solver_ssz" localSheetId="8" hidden="1">100</definedName>
    <definedName name="solver_tim" localSheetId="8" hidden="1">100</definedName>
    <definedName name="solver_tol" localSheetId="8" hidden="1">0.05</definedName>
    <definedName name="solver_typ" localSheetId="8" hidden="1">2</definedName>
    <definedName name="solver_val" localSheetId="8" hidden="1">0</definedName>
    <definedName name="solver_ver" localSheetId="8" hidden="1">3</definedName>
    <definedName name="SWCIncuTime">BioScale_Internal!$A$29</definedName>
    <definedName name="Trough1Desc">BioScale_Internal!$K$14</definedName>
    <definedName name="Trough1Vol">BioScale_Internal!$N$14</definedName>
    <definedName name="Trough2Desc">BioScale_Internal!$K$15</definedName>
    <definedName name="Trough2Vol">BioScale_Internal!$N$15</definedName>
    <definedName name="Trough3Desc">BioScale_Internal!$K$16</definedName>
    <definedName name="Trough3Vol">BioScale_Internal!$N$16</definedName>
    <definedName name="Trough4Desc">BioScale_Internal!$K$17</definedName>
    <definedName name="Trough4Vol">BioScale_Internal!$N$17</definedName>
    <definedName name="Trough5Desc">BioScale_Internal!$K$18</definedName>
    <definedName name="Trough5Vol">BioScale_Internal!$N$18</definedName>
    <definedName name="Trough6Desc">BioScale_Internal!$K$19</definedName>
    <definedName name="Trough6Vol">BioScale_Internal!$N$19</definedName>
  </definedNames>
  <calcPr calcId="179021"/>
</workbook>
</file>

<file path=xl/calcChain.xml><?xml version="1.0" encoding="utf-8"?>
<calcChain xmlns="http://schemas.openxmlformats.org/spreadsheetml/2006/main">
  <c r="J18" i="35" l="1"/>
  <c r="J16" i="35"/>
  <c r="J15" i="35"/>
  <c r="J14" i="35"/>
  <c r="J13" i="35"/>
  <c r="J12" i="35"/>
  <c r="J11" i="35"/>
  <c r="D42" i="26" l="1"/>
  <c r="Q60" i="24" l="1"/>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R114" i="24"/>
  <c r="Q115" i="24"/>
  <c r="R115" i="24"/>
  <c r="Q116" i="24"/>
  <c r="R116" i="24"/>
  <c r="Q117" i="24"/>
  <c r="R117" i="24"/>
  <c r="Q118" i="24"/>
  <c r="R118" i="24"/>
  <c r="Q119" i="24"/>
  <c r="R119" i="24"/>
  <c r="Q120" i="24"/>
  <c r="R120" i="24"/>
  <c r="Q121" i="24"/>
  <c r="R121" i="24"/>
  <c r="Q122" i="24"/>
  <c r="R122" i="24"/>
  <c r="Q123" i="24"/>
  <c r="R123" i="24"/>
  <c r="Q124" i="24"/>
  <c r="R124" i="24"/>
  <c r="Q125" i="24"/>
  <c r="R125" i="24"/>
  <c r="Q126" i="24"/>
  <c r="R126" i="24"/>
  <c r="Q127" i="24"/>
  <c r="R127" i="24"/>
  <c r="Q128" i="24"/>
  <c r="R128" i="24"/>
  <c r="Q129" i="24"/>
  <c r="R129" i="24"/>
  <c r="Q130" i="24"/>
  <c r="R130" i="24"/>
  <c r="Q131" i="24"/>
  <c r="R131" i="24"/>
  <c r="Q132" i="24"/>
  <c r="R132" i="24"/>
  <c r="Q133" i="24"/>
  <c r="R133" i="24"/>
  <c r="Q134" i="24"/>
  <c r="R134" i="24"/>
  <c r="Q135" i="24"/>
  <c r="R135" i="24"/>
  <c r="Q136" i="24"/>
  <c r="R136" i="24"/>
  <c r="Q137" i="24"/>
  <c r="R137" i="24"/>
  <c r="Q138" i="24"/>
  <c r="R138" i="24"/>
  <c r="Q139" i="24"/>
  <c r="R139" i="24"/>
  <c r="Q140" i="24"/>
  <c r="R140" i="24"/>
  <c r="Q141" i="24"/>
  <c r="R141" i="24"/>
  <c r="Q142" i="24"/>
  <c r="R142" i="24"/>
  <c r="Q143" i="24"/>
  <c r="R143" i="24"/>
  <c r="Q144" i="24"/>
  <c r="R144" i="24"/>
  <c r="Q145" i="24"/>
  <c r="R145" i="24"/>
  <c r="Q146" i="24"/>
  <c r="R146" i="24"/>
  <c r="Q147" i="24"/>
  <c r="R147" i="24"/>
  <c r="Q148" i="24"/>
  <c r="R148" i="24"/>
  <c r="Q149" i="24"/>
  <c r="R149" i="24"/>
  <c r="Q150" i="24"/>
  <c r="R150" i="24"/>
  <c r="Q151" i="24"/>
  <c r="R151" i="24"/>
  <c r="Q152" i="24"/>
  <c r="R152" i="24"/>
  <c r="Q153" i="24"/>
  <c r="R153" i="24"/>
  <c r="Q154" i="24"/>
  <c r="R154" i="24"/>
  <c r="Q155" i="24"/>
  <c r="R155" i="24"/>
  <c r="Q156" i="24"/>
  <c r="R156" i="24"/>
  <c r="Q157" i="24"/>
  <c r="R157" i="24"/>
  <c r="Q158" i="24"/>
  <c r="R158" i="24"/>
  <c r="Q159" i="24"/>
  <c r="R159" i="24"/>
  <c r="Q160" i="24"/>
  <c r="R160" i="24"/>
  <c r="Q161" i="24"/>
  <c r="R161" i="24"/>
  <c r="Q162" i="24"/>
  <c r="R162" i="24"/>
  <c r="Q163" i="24"/>
  <c r="R163" i="24"/>
  <c r="Q164" i="24"/>
  <c r="R164" i="24"/>
  <c r="Q165" i="24"/>
  <c r="R165" i="24"/>
  <c r="Q166" i="24"/>
  <c r="R166" i="24"/>
  <c r="Q167" i="24"/>
  <c r="R167"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4" i="24"/>
  <c r="B114" i="23" l="1"/>
  <c r="B25" i="26" s="1"/>
  <c r="C25" i="26" s="1"/>
  <c r="M42" i="14" l="1"/>
  <c r="M43" i="14"/>
  <c r="M41" i="14"/>
  <c r="I2" i="23" l="1"/>
  <c r="D2" i="23"/>
  <c r="C7" i="26" s="1"/>
  <c r="C2" i="23"/>
  <c r="C6" i="26" s="1"/>
  <c r="C11" i="26" l="1"/>
  <c r="B113" i="23"/>
  <c r="B24" i="26" s="1"/>
  <c r="C24" i="26" s="1"/>
  <c r="AL27" i="34" l="1"/>
  <c r="AL28" i="34"/>
  <c r="AL29" i="34"/>
  <c r="AL30" i="34"/>
  <c r="AL31" i="34"/>
  <c r="AL32" i="34"/>
  <c r="AL33" i="34"/>
  <c r="AL34" i="34"/>
  <c r="AL35" i="34"/>
  <c r="C114" i="23" l="1"/>
  <c r="C113" i="23"/>
  <c r="L4" i="23" l="1"/>
  <c r="L5" i="23"/>
  <c r="C10" i="26"/>
  <c r="A7" i="27"/>
  <c r="C17" i="26"/>
  <c r="D41" i="26" l="1"/>
  <c r="L6" i="23" l="1"/>
  <c r="B92" i="23"/>
  <c r="B100" i="23"/>
  <c r="B122" i="26" l="1"/>
  <c r="B130" i="26"/>
  <c r="B5" i="24"/>
  <c r="C5" i="24"/>
  <c r="D5" i="24"/>
  <c r="B6" i="24"/>
  <c r="C6" i="24"/>
  <c r="D6" i="24"/>
  <c r="B7" i="24"/>
  <c r="C7" i="24"/>
  <c r="D7" i="24"/>
  <c r="B8" i="24"/>
  <c r="C8" i="24"/>
  <c r="D8" i="24"/>
  <c r="B9" i="24"/>
  <c r="C9" i="24"/>
  <c r="D9" i="24"/>
  <c r="B10" i="24"/>
  <c r="C10" i="24"/>
  <c r="D10" i="24"/>
  <c r="B11" i="24"/>
  <c r="C11" i="24"/>
  <c r="D11" i="24"/>
  <c r="B12" i="24"/>
  <c r="C12" i="24"/>
  <c r="D12" i="24"/>
  <c r="B13" i="24"/>
  <c r="C13" i="24"/>
  <c r="D13" i="24"/>
  <c r="B14" i="24"/>
  <c r="C14" i="24"/>
  <c r="D14" i="24"/>
  <c r="B15" i="24"/>
  <c r="C15" i="24"/>
  <c r="D15" i="24"/>
  <c r="B16" i="24"/>
  <c r="C16" i="24"/>
  <c r="D16" i="24"/>
  <c r="B17" i="24"/>
  <c r="C17" i="24"/>
  <c r="D17" i="24"/>
  <c r="B18" i="24"/>
  <c r="C18" i="24"/>
  <c r="D18" i="24"/>
  <c r="B19" i="24"/>
  <c r="C19" i="24"/>
  <c r="D19" i="24"/>
  <c r="B20" i="24"/>
  <c r="C20" i="24"/>
  <c r="D20" i="24"/>
  <c r="B21" i="24"/>
  <c r="C21" i="24"/>
  <c r="D21" i="24"/>
  <c r="B22" i="24"/>
  <c r="C22" i="24"/>
  <c r="D22" i="24"/>
  <c r="B23" i="24"/>
  <c r="C23" i="24"/>
  <c r="D23" i="24"/>
  <c r="B24" i="24"/>
  <c r="C24" i="24"/>
  <c r="D24" i="24"/>
  <c r="B25" i="24"/>
  <c r="C25" i="24"/>
  <c r="D25" i="24"/>
  <c r="B26" i="24"/>
  <c r="C26" i="24"/>
  <c r="D26" i="24"/>
  <c r="B27" i="24"/>
  <c r="C27" i="24"/>
  <c r="D27" i="24"/>
  <c r="B28" i="24"/>
  <c r="C28" i="24"/>
  <c r="D28" i="24"/>
  <c r="B29" i="24"/>
  <c r="C29" i="24"/>
  <c r="D29" i="24"/>
  <c r="B30" i="24"/>
  <c r="C30" i="24"/>
  <c r="D30" i="24"/>
  <c r="B31" i="24"/>
  <c r="C31" i="24"/>
  <c r="D31" i="24"/>
  <c r="B32" i="24"/>
  <c r="C32" i="24"/>
  <c r="D32" i="24"/>
  <c r="B33" i="24"/>
  <c r="C33" i="24"/>
  <c r="D33" i="24"/>
  <c r="B34" i="24"/>
  <c r="C34" i="24"/>
  <c r="D34" i="24"/>
  <c r="B35" i="24"/>
  <c r="C35" i="24"/>
  <c r="D35" i="24"/>
  <c r="B36" i="24"/>
  <c r="C36" i="24"/>
  <c r="D36" i="24"/>
  <c r="B37" i="24"/>
  <c r="C37" i="24"/>
  <c r="D37" i="24"/>
  <c r="B38" i="24"/>
  <c r="C38" i="24"/>
  <c r="D38" i="24"/>
  <c r="B39" i="24"/>
  <c r="C39" i="24"/>
  <c r="D39" i="24"/>
  <c r="B40" i="24"/>
  <c r="C40" i="24"/>
  <c r="D40" i="24"/>
  <c r="B41" i="24"/>
  <c r="C41" i="24"/>
  <c r="D41" i="24"/>
  <c r="B42" i="24"/>
  <c r="C42" i="24"/>
  <c r="D42" i="24"/>
  <c r="B43" i="24"/>
  <c r="C43" i="24"/>
  <c r="D43" i="24"/>
  <c r="B44" i="24"/>
  <c r="C44" i="24"/>
  <c r="D44" i="24"/>
  <c r="B45" i="24"/>
  <c r="C45" i="24"/>
  <c r="D45" i="24"/>
  <c r="B46" i="24"/>
  <c r="C46" i="24"/>
  <c r="D46" i="24"/>
  <c r="B47" i="24"/>
  <c r="C47" i="24"/>
  <c r="D47" i="24"/>
  <c r="B48" i="24"/>
  <c r="C48" i="24"/>
  <c r="D48" i="24"/>
  <c r="B49" i="24"/>
  <c r="C49" i="24"/>
  <c r="D49" i="24"/>
  <c r="B50" i="24"/>
  <c r="C50" i="24"/>
  <c r="D50" i="24"/>
  <c r="B51" i="24"/>
  <c r="C51" i="24"/>
  <c r="D51" i="24"/>
  <c r="B52" i="24"/>
  <c r="C52" i="24"/>
  <c r="D52" i="24"/>
  <c r="B53" i="24"/>
  <c r="C53" i="24"/>
  <c r="D53" i="24"/>
  <c r="B54" i="24"/>
  <c r="C54" i="24"/>
  <c r="D54" i="24"/>
  <c r="B55" i="24"/>
  <c r="C55" i="24"/>
  <c r="D55" i="24"/>
  <c r="B56" i="24"/>
  <c r="C56" i="24"/>
  <c r="D56" i="24"/>
  <c r="B57" i="24"/>
  <c r="C57" i="24"/>
  <c r="D57" i="24"/>
  <c r="B58" i="24"/>
  <c r="C58" i="24"/>
  <c r="D58" i="24"/>
  <c r="B59" i="24"/>
  <c r="C59" i="24"/>
  <c r="D59" i="24"/>
  <c r="B60" i="24"/>
  <c r="C60" i="24"/>
  <c r="D60" i="24"/>
  <c r="B61" i="24"/>
  <c r="C61" i="24"/>
  <c r="D61" i="24"/>
  <c r="B62" i="24"/>
  <c r="C62" i="24"/>
  <c r="D62" i="24"/>
  <c r="B63" i="24"/>
  <c r="C63" i="24"/>
  <c r="D63" i="24"/>
  <c r="B64" i="24"/>
  <c r="C64" i="24"/>
  <c r="D64" i="24"/>
  <c r="B65" i="24"/>
  <c r="C65" i="24"/>
  <c r="D65" i="24"/>
  <c r="B66" i="24"/>
  <c r="C66" i="24"/>
  <c r="D66" i="24"/>
  <c r="B67" i="24"/>
  <c r="C67" i="24"/>
  <c r="D67" i="24"/>
  <c r="B68" i="24"/>
  <c r="C68" i="24"/>
  <c r="D68" i="24"/>
  <c r="B69" i="24"/>
  <c r="C69" i="24"/>
  <c r="D69" i="24"/>
  <c r="B70" i="24"/>
  <c r="C70" i="24"/>
  <c r="D70" i="24"/>
  <c r="B71" i="24"/>
  <c r="C71" i="24"/>
  <c r="D71" i="24"/>
  <c r="B72" i="24"/>
  <c r="C72" i="24"/>
  <c r="D72" i="24"/>
  <c r="B73" i="24"/>
  <c r="C73" i="24"/>
  <c r="D73" i="24"/>
  <c r="B74" i="24"/>
  <c r="C74" i="24"/>
  <c r="D74" i="24"/>
  <c r="B75" i="24"/>
  <c r="C75" i="24"/>
  <c r="D75" i="24"/>
  <c r="B76" i="24"/>
  <c r="C76" i="24"/>
  <c r="D76" i="24"/>
  <c r="B77" i="24"/>
  <c r="C77" i="24"/>
  <c r="D77" i="24"/>
  <c r="B78" i="24"/>
  <c r="C78" i="24"/>
  <c r="D78" i="24"/>
  <c r="B79" i="24"/>
  <c r="C79" i="24"/>
  <c r="D79" i="24"/>
  <c r="B80" i="24"/>
  <c r="C80" i="24"/>
  <c r="D80" i="24"/>
  <c r="B81" i="24"/>
  <c r="C81" i="24"/>
  <c r="D81" i="24"/>
  <c r="B82" i="24"/>
  <c r="C82" i="24"/>
  <c r="D82" i="24"/>
  <c r="B83" i="24"/>
  <c r="C83" i="24"/>
  <c r="D83" i="24"/>
  <c r="B84" i="24"/>
  <c r="C84" i="24"/>
  <c r="D84" i="24"/>
  <c r="B85" i="24"/>
  <c r="C85" i="24"/>
  <c r="D85" i="24"/>
  <c r="B86" i="24"/>
  <c r="C86" i="24"/>
  <c r="D86" i="24"/>
  <c r="B87" i="24"/>
  <c r="C87" i="24"/>
  <c r="D87" i="24"/>
  <c r="B88" i="24"/>
  <c r="C88" i="24"/>
  <c r="D88" i="24"/>
  <c r="B89" i="24"/>
  <c r="C89" i="24"/>
  <c r="D89" i="24"/>
  <c r="B90" i="24"/>
  <c r="C90" i="24"/>
  <c r="D90" i="24"/>
  <c r="B91" i="24"/>
  <c r="C91" i="24"/>
  <c r="D91" i="24"/>
  <c r="B92" i="24"/>
  <c r="C92" i="24"/>
  <c r="D92" i="24"/>
  <c r="B93" i="24"/>
  <c r="C93" i="24"/>
  <c r="D93" i="24"/>
  <c r="B94" i="24"/>
  <c r="C94" i="24"/>
  <c r="D94" i="24"/>
  <c r="B95" i="24"/>
  <c r="C95" i="24"/>
  <c r="D95" i="24"/>
  <c r="B96" i="24"/>
  <c r="C96" i="24"/>
  <c r="D96" i="24"/>
  <c r="B97" i="24"/>
  <c r="C97" i="24"/>
  <c r="D97" i="24"/>
  <c r="B98" i="24"/>
  <c r="C98" i="24"/>
  <c r="D98" i="24"/>
  <c r="B99" i="24"/>
  <c r="C99" i="24"/>
  <c r="D99" i="24"/>
  <c r="B100" i="24"/>
  <c r="C100" i="24"/>
  <c r="D100" i="24"/>
  <c r="B101" i="24"/>
  <c r="C101" i="24"/>
  <c r="D101" i="24"/>
  <c r="B102" i="24"/>
  <c r="C102" i="24"/>
  <c r="D102" i="24"/>
  <c r="B103" i="24"/>
  <c r="C103" i="24"/>
  <c r="D103" i="24"/>
  <c r="B104" i="24"/>
  <c r="C104" i="24"/>
  <c r="D104" i="24"/>
  <c r="B105" i="24"/>
  <c r="C105" i="24"/>
  <c r="D105" i="24"/>
  <c r="B106" i="24"/>
  <c r="C106" i="24"/>
  <c r="D106" i="24"/>
  <c r="B107" i="24"/>
  <c r="C107" i="24"/>
  <c r="D107" i="24"/>
  <c r="B108" i="24"/>
  <c r="C108" i="24"/>
  <c r="D108" i="24"/>
  <c r="B109" i="24"/>
  <c r="C109" i="24"/>
  <c r="D109" i="24"/>
  <c r="B110" i="24"/>
  <c r="C110" i="24"/>
  <c r="D110" i="24"/>
  <c r="B111" i="24"/>
  <c r="C111" i="24"/>
  <c r="D111" i="24"/>
  <c r="B112" i="24"/>
  <c r="C112" i="24"/>
  <c r="D112" i="24"/>
  <c r="B113" i="24"/>
  <c r="C113" i="24"/>
  <c r="D113" i="24"/>
  <c r="B114" i="24"/>
  <c r="C114" i="24"/>
  <c r="D114" i="24"/>
  <c r="B115" i="24"/>
  <c r="C115" i="24"/>
  <c r="D115" i="24"/>
  <c r="B116" i="24"/>
  <c r="C116" i="24"/>
  <c r="D116" i="24"/>
  <c r="B117" i="24"/>
  <c r="C117" i="24"/>
  <c r="D117" i="24"/>
  <c r="B118" i="24"/>
  <c r="C118" i="24"/>
  <c r="D118" i="24"/>
  <c r="B119" i="24"/>
  <c r="C119" i="24"/>
  <c r="D119" i="24"/>
  <c r="B120" i="24"/>
  <c r="C120" i="24"/>
  <c r="D120" i="24"/>
  <c r="B121" i="24"/>
  <c r="C121" i="24"/>
  <c r="D121" i="24"/>
  <c r="B122" i="24"/>
  <c r="C122" i="24"/>
  <c r="D122" i="24"/>
  <c r="B123" i="24"/>
  <c r="C123" i="24"/>
  <c r="D123" i="24"/>
  <c r="B124" i="24"/>
  <c r="C124" i="24"/>
  <c r="D124" i="24"/>
  <c r="B125" i="24"/>
  <c r="C125" i="24"/>
  <c r="D125" i="24"/>
  <c r="B126" i="24"/>
  <c r="C126" i="24"/>
  <c r="D126" i="24"/>
  <c r="B127" i="24"/>
  <c r="C127" i="24"/>
  <c r="D127" i="24"/>
  <c r="B128" i="24"/>
  <c r="C128" i="24"/>
  <c r="D128" i="24"/>
  <c r="B129" i="24"/>
  <c r="C129" i="24"/>
  <c r="D129" i="24"/>
  <c r="B130" i="24"/>
  <c r="C130" i="24"/>
  <c r="D130" i="24"/>
  <c r="B131" i="24"/>
  <c r="C131" i="24"/>
  <c r="D131" i="24"/>
  <c r="B132" i="24"/>
  <c r="C132" i="24"/>
  <c r="D132" i="24"/>
  <c r="B133" i="24"/>
  <c r="C133" i="24"/>
  <c r="D133" i="24"/>
  <c r="B134" i="24"/>
  <c r="C134" i="24"/>
  <c r="D134" i="24"/>
  <c r="B135" i="24"/>
  <c r="C135" i="24"/>
  <c r="D135" i="24"/>
  <c r="B136" i="24"/>
  <c r="C136" i="24"/>
  <c r="D136" i="24"/>
  <c r="B137" i="24"/>
  <c r="C137" i="24"/>
  <c r="D137" i="24"/>
  <c r="B138" i="24"/>
  <c r="C138" i="24"/>
  <c r="D138" i="24"/>
  <c r="B139" i="24"/>
  <c r="C139" i="24"/>
  <c r="D139" i="24"/>
  <c r="B140" i="24"/>
  <c r="C140" i="24"/>
  <c r="D140" i="24"/>
  <c r="B141" i="24"/>
  <c r="C141" i="24"/>
  <c r="D141" i="24"/>
  <c r="B142" i="24"/>
  <c r="C142" i="24"/>
  <c r="D142" i="24"/>
  <c r="B143" i="24"/>
  <c r="C143" i="24"/>
  <c r="D143" i="24"/>
  <c r="B144" i="24"/>
  <c r="C144" i="24"/>
  <c r="D144" i="24"/>
  <c r="B145" i="24"/>
  <c r="C145" i="24"/>
  <c r="D145" i="24"/>
  <c r="B146" i="24"/>
  <c r="C146" i="24"/>
  <c r="D146" i="24"/>
  <c r="B147" i="24"/>
  <c r="C147" i="24"/>
  <c r="D147" i="24"/>
  <c r="B148" i="24"/>
  <c r="C148" i="24"/>
  <c r="D148" i="24"/>
  <c r="B149" i="24"/>
  <c r="C149" i="24"/>
  <c r="D149" i="24"/>
  <c r="B150" i="24"/>
  <c r="C150" i="24"/>
  <c r="D150" i="24"/>
  <c r="B151" i="24"/>
  <c r="C151" i="24"/>
  <c r="D151" i="24"/>
  <c r="B152" i="24"/>
  <c r="C152" i="24"/>
  <c r="D152" i="24"/>
  <c r="B153" i="24"/>
  <c r="C153" i="24"/>
  <c r="D153" i="24"/>
  <c r="B154" i="24"/>
  <c r="C154" i="24"/>
  <c r="D154" i="24"/>
  <c r="B155" i="24"/>
  <c r="C155" i="24"/>
  <c r="D155" i="24"/>
  <c r="B156" i="24"/>
  <c r="C156" i="24"/>
  <c r="D156" i="24"/>
  <c r="B157" i="24"/>
  <c r="C157" i="24"/>
  <c r="D157" i="24"/>
  <c r="B158" i="24"/>
  <c r="C158" i="24"/>
  <c r="D158" i="24"/>
  <c r="B159" i="24"/>
  <c r="C159" i="24"/>
  <c r="D159" i="24"/>
  <c r="B160" i="24"/>
  <c r="C160" i="24"/>
  <c r="D160" i="24"/>
  <c r="B161" i="24"/>
  <c r="C161" i="24"/>
  <c r="D161" i="24"/>
  <c r="B162" i="24"/>
  <c r="C162" i="24"/>
  <c r="D162" i="24"/>
  <c r="B163" i="24"/>
  <c r="C163" i="24"/>
  <c r="D163" i="24"/>
  <c r="B164" i="24"/>
  <c r="C164" i="24"/>
  <c r="D164" i="24"/>
  <c r="B165" i="24"/>
  <c r="C165" i="24"/>
  <c r="D165" i="24"/>
  <c r="B166" i="24"/>
  <c r="C166" i="24"/>
  <c r="D166" i="24"/>
  <c r="B167" i="24"/>
  <c r="C167" i="24"/>
  <c r="D167" i="24"/>
  <c r="C4" i="24"/>
  <c r="D4" i="24"/>
  <c r="B4" i="24"/>
  <c r="BA57" i="33" l="1"/>
  <c r="BA58" i="33"/>
  <c r="BA59" i="33"/>
  <c r="BA60" i="33"/>
  <c r="BA61" i="33"/>
  <c r="BA62" i="33"/>
  <c r="BA63" i="33"/>
  <c r="BA64" i="33"/>
  <c r="AD58" i="33"/>
  <c r="AD59" i="33"/>
  <c r="AD60" i="33"/>
  <c r="AD61" i="33"/>
  <c r="AD62" i="33"/>
  <c r="AD63" i="33"/>
  <c r="AD64" i="33"/>
  <c r="AD57" i="33"/>
  <c r="BA49" i="33"/>
  <c r="BA50" i="33"/>
  <c r="BA51" i="33"/>
  <c r="BA52" i="33"/>
  <c r="BA53" i="33"/>
  <c r="BA54" i="33"/>
  <c r="BA55" i="33"/>
  <c r="BA48" i="33"/>
  <c r="AD55" i="33"/>
  <c r="AD49" i="33"/>
  <c r="AD50" i="33"/>
  <c r="AD51" i="33"/>
  <c r="AD52" i="33"/>
  <c r="AD53" i="33"/>
  <c r="AD54" i="33"/>
  <c r="AD48" i="33"/>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D167" i="34"/>
  <c r="B168" i="34"/>
  <c r="C168" i="34"/>
  <c r="D168" i="34"/>
  <c r="B169" i="34"/>
  <c r="C169" i="34"/>
  <c r="D169" i="34"/>
  <c r="B170" i="34"/>
  <c r="C170" i="34"/>
  <c r="D170" i="34"/>
  <c r="B171" i="34"/>
  <c r="C171" i="34"/>
  <c r="D171" i="34"/>
  <c r="B172" i="34"/>
  <c r="C172" i="34"/>
  <c r="D172" i="34"/>
  <c r="B173" i="34"/>
  <c r="C173" i="34"/>
  <c r="D173" i="34"/>
  <c r="B174" i="34"/>
  <c r="C174" i="34"/>
  <c r="D174" i="34"/>
  <c r="B175" i="34"/>
  <c r="C175" i="34"/>
  <c r="D175" i="34"/>
  <c r="B176" i="34"/>
  <c r="C176" i="34"/>
  <c r="D176" i="34"/>
  <c r="B177" i="34"/>
  <c r="C177" i="34"/>
  <c r="D177" i="34"/>
  <c r="B178" i="34"/>
  <c r="C178" i="34"/>
  <c r="D178" i="34"/>
  <c r="B179" i="34"/>
  <c r="C179" i="34"/>
  <c r="D179" i="34"/>
  <c r="B180" i="34"/>
  <c r="C180" i="34"/>
  <c r="D180" i="34"/>
  <c r="B181" i="34"/>
  <c r="C181" i="34"/>
  <c r="D181" i="34"/>
  <c r="B182" i="34"/>
  <c r="C182" i="34"/>
  <c r="D182" i="34"/>
  <c r="B183" i="34"/>
  <c r="C183" i="34"/>
  <c r="D183" i="34"/>
  <c r="B184" i="34"/>
  <c r="C184" i="34"/>
  <c r="D184" i="34"/>
  <c r="B185" i="34"/>
  <c r="C185" i="34"/>
  <c r="D185" i="34"/>
  <c r="B186" i="34"/>
  <c r="C186" i="34"/>
  <c r="D186" i="34"/>
  <c r="B187" i="34"/>
  <c r="C187" i="34"/>
  <c r="D187" i="34"/>
  <c r="B188" i="34"/>
  <c r="C188" i="34"/>
  <c r="D188" i="34"/>
  <c r="B189" i="34"/>
  <c r="C189" i="34"/>
  <c r="D189" i="34"/>
  <c r="B190" i="34"/>
  <c r="C190" i="34"/>
  <c r="D190" i="34"/>
  <c r="B191" i="34"/>
  <c r="C191" i="34"/>
  <c r="D191" i="34"/>
  <c r="B192" i="34"/>
  <c r="C192" i="34"/>
  <c r="D192" i="34"/>
  <c r="B193" i="34"/>
  <c r="C193" i="34"/>
  <c r="D193" i="34"/>
  <c r="B194" i="34"/>
  <c r="C194" i="34"/>
  <c r="D194" i="34"/>
  <c r="B195" i="34"/>
  <c r="C195" i="34"/>
  <c r="D195" i="34"/>
  <c r="B196" i="34"/>
  <c r="C196" i="34"/>
  <c r="D196" i="34"/>
  <c r="B197" i="34"/>
  <c r="C197" i="34"/>
  <c r="D197" i="34"/>
  <c r="B198" i="34"/>
  <c r="C198" i="34"/>
  <c r="D198" i="34"/>
  <c r="B199" i="34"/>
  <c r="C199" i="34"/>
  <c r="D199" i="34"/>
  <c r="B200" i="34"/>
  <c r="C200" i="34"/>
  <c r="D200" i="34"/>
  <c r="B201" i="34"/>
  <c r="C201" i="34"/>
  <c r="D201" i="34"/>
  <c r="B202" i="34"/>
  <c r="C202" i="34"/>
  <c r="D202" i="34"/>
  <c r="B203" i="34"/>
  <c r="C203" i="34"/>
  <c r="D203" i="34"/>
  <c r="B204" i="34"/>
  <c r="C204" i="34"/>
  <c r="D204" i="34"/>
  <c r="B205" i="34"/>
  <c r="C205" i="34"/>
  <c r="D205" i="34"/>
  <c r="B206" i="34"/>
  <c r="C206" i="34"/>
  <c r="D206" i="34"/>
  <c r="B207" i="34"/>
  <c r="C207" i="34"/>
  <c r="D207" i="34"/>
  <c r="B208" i="34"/>
  <c r="C208" i="34"/>
  <c r="D208" i="34"/>
  <c r="B209" i="34"/>
  <c r="C209" i="34"/>
  <c r="D209" i="34"/>
  <c r="B210" i="34"/>
  <c r="C210" i="34"/>
  <c r="D210" i="34"/>
  <c r="B211" i="34"/>
  <c r="C211" i="34"/>
  <c r="D211" i="34"/>
  <c r="B212" i="34"/>
  <c r="C212" i="34"/>
  <c r="D212" i="34"/>
  <c r="B213" i="34"/>
  <c r="C213" i="34"/>
  <c r="D213" i="34"/>
  <c r="B214" i="34"/>
  <c r="C214" i="34"/>
  <c r="D214" i="34"/>
  <c r="B215" i="34"/>
  <c r="C215" i="34"/>
  <c r="D215" i="34"/>
  <c r="B216" i="34"/>
  <c r="C216" i="34"/>
  <c r="D216" i="34"/>
  <c r="B217" i="34"/>
  <c r="C217" i="34"/>
  <c r="D217" i="34"/>
  <c r="B218" i="34"/>
  <c r="C218" i="34"/>
  <c r="D218" i="34"/>
  <c r="B219" i="34"/>
  <c r="C219" i="34"/>
  <c r="D219" i="34"/>
  <c r="B220" i="34"/>
  <c r="C220" i="34"/>
  <c r="D220" i="34"/>
  <c r="B221" i="34"/>
  <c r="C221" i="34"/>
  <c r="D221" i="34"/>
  <c r="B222" i="34"/>
  <c r="C222" i="34"/>
  <c r="D222" i="34"/>
  <c r="B223" i="34"/>
  <c r="C223" i="34"/>
  <c r="D223" i="34"/>
  <c r="B224" i="34"/>
  <c r="C224" i="34"/>
  <c r="D224" i="34"/>
  <c r="B143" i="34"/>
  <c r="C143" i="34"/>
  <c r="D143" i="34"/>
  <c r="A144" i="34"/>
  <c r="A145" i="34"/>
  <c r="A146" i="34"/>
  <c r="A147" i="34"/>
  <c r="A148" i="34"/>
  <c r="A149" i="34"/>
  <c r="A150" i="34"/>
  <c r="A151" i="34"/>
  <c r="A152" i="34"/>
  <c r="A153" i="34"/>
  <c r="A154" i="34"/>
  <c r="A155" i="34"/>
  <c r="A156" i="34"/>
  <c r="A157" i="34"/>
  <c r="A158" i="34"/>
  <c r="A159" i="34"/>
  <c r="A160" i="34"/>
  <c r="A161" i="34"/>
  <c r="A162" i="34"/>
  <c r="A163" i="34"/>
  <c r="A164" i="34"/>
  <c r="A165" i="34"/>
  <c r="A166" i="34"/>
  <c r="A167" i="34"/>
  <c r="A168" i="34"/>
  <c r="A169" i="34"/>
  <c r="A170" i="34"/>
  <c r="A171" i="34"/>
  <c r="A172" i="34"/>
  <c r="A173" i="34"/>
  <c r="A174" i="34"/>
  <c r="A175" i="34"/>
  <c r="A176" i="34"/>
  <c r="A177" i="34"/>
  <c r="A178" i="34"/>
  <c r="A179" i="34"/>
  <c r="A180" i="34"/>
  <c r="A181" i="34"/>
  <c r="A182" i="34"/>
  <c r="A183" i="34"/>
  <c r="A184" i="34"/>
  <c r="A185" i="34"/>
  <c r="A186" i="34"/>
  <c r="A187" i="34"/>
  <c r="A188" i="34"/>
  <c r="A189" i="34"/>
  <c r="A190" i="34"/>
  <c r="A191" i="34"/>
  <c r="A192" i="34"/>
  <c r="A193" i="34"/>
  <c r="A194" i="34"/>
  <c r="A195" i="34"/>
  <c r="A196" i="34"/>
  <c r="A197" i="34"/>
  <c r="A198" i="34"/>
  <c r="A199" i="34"/>
  <c r="A200" i="34"/>
  <c r="A201" i="34"/>
  <c r="A202" i="34"/>
  <c r="A203" i="34"/>
  <c r="A204" i="34"/>
  <c r="A205" i="34"/>
  <c r="A206" i="34"/>
  <c r="A207" i="34"/>
  <c r="A208" i="34"/>
  <c r="A209" i="34"/>
  <c r="A210" i="34"/>
  <c r="A211" i="34"/>
  <c r="A212" i="34"/>
  <c r="A213" i="34"/>
  <c r="A214" i="34"/>
  <c r="A215" i="34"/>
  <c r="A216" i="34"/>
  <c r="A217" i="34"/>
  <c r="A218" i="34"/>
  <c r="A219" i="34"/>
  <c r="A220" i="34"/>
  <c r="A221" i="34"/>
  <c r="A222" i="34"/>
  <c r="A223" i="34"/>
  <c r="A224" i="34"/>
  <c r="A143" i="34"/>
  <c r="A142" i="34"/>
  <c r="A62" i="34"/>
  <c r="A63" i="34"/>
  <c r="A64" i="34"/>
  <c r="A65" i="34"/>
  <c r="A66" i="34"/>
  <c r="A67" i="34"/>
  <c r="A68" i="34"/>
  <c r="A69" i="34"/>
  <c r="A70" i="34"/>
  <c r="A71" i="34"/>
  <c r="A72" i="34"/>
  <c r="A73" i="34"/>
  <c r="A74" i="34"/>
  <c r="A75" i="34"/>
  <c r="A76" i="34"/>
  <c r="A77" i="34"/>
  <c r="A78" i="34"/>
  <c r="A79" i="34"/>
  <c r="A80" i="34"/>
  <c r="A81" i="34"/>
  <c r="A82" i="34"/>
  <c r="A83" i="34"/>
  <c r="A84" i="34"/>
  <c r="A85" i="34"/>
  <c r="A86" i="34"/>
  <c r="A87" i="34"/>
  <c r="A88" i="34"/>
  <c r="A89" i="34"/>
  <c r="A90" i="34"/>
  <c r="A91" i="34"/>
  <c r="A92" i="34"/>
  <c r="A93" i="34"/>
  <c r="A94" i="34"/>
  <c r="A95" i="34"/>
  <c r="A96" i="34"/>
  <c r="A97" i="34"/>
  <c r="A98" i="34"/>
  <c r="A99" i="34"/>
  <c r="A100" i="34"/>
  <c r="A101" i="34"/>
  <c r="A102" i="34"/>
  <c r="A103" i="34"/>
  <c r="A104" i="34"/>
  <c r="A105" i="34"/>
  <c r="A106" i="34"/>
  <c r="A107" i="34"/>
  <c r="A108" i="34"/>
  <c r="A109" i="34"/>
  <c r="A110" i="34"/>
  <c r="A111" i="34"/>
  <c r="A112" i="34"/>
  <c r="A113" i="34"/>
  <c r="A114" i="34"/>
  <c r="A115" i="34"/>
  <c r="A116" i="34"/>
  <c r="A117" i="34"/>
  <c r="A118" i="34"/>
  <c r="A119" i="34"/>
  <c r="A120" i="34"/>
  <c r="A121" i="34"/>
  <c r="A122" i="34"/>
  <c r="A123" i="34"/>
  <c r="A124" i="34"/>
  <c r="A125" i="34"/>
  <c r="A126" i="34"/>
  <c r="A127" i="34"/>
  <c r="A128" i="34"/>
  <c r="A129" i="34"/>
  <c r="A130" i="34"/>
  <c r="A131" i="34"/>
  <c r="A132" i="34"/>
  <c r="A133" i="34"/>
  <c r="A134" i="34"/>
  <c r="A135" i="34"/>
  <c r="A136" i="34"/>
  <c r="A137" i="34"/>
  <c r="A138" i="34"/>
  <c r="A139" i="34"/>
  <c r="A140" i="34"/>
  <c r="A141" i="34"/>
  <c r="A61" i="34"/>
  <c r="B142" i="34"/>
  <c r="C142" i="34"/>
  <c r="D142"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C16" i="26"/>
  <c r="C8" i="14" l="1"/>
  <c r="C7" i="14"/>
  <c r="C6" i="14"/>
  <c r="C5" i="14"/>
  <c r="C4" i="14"/>
  <c r="C3" i="14"/>
  <c r="B16" i="14"/>
  <c r="C16" i="14"/>
  <c r="B17" i="14"/>
  <c r="C17" i="14"/>
  <c r="B18" i="14"/>
  <c r="C18" i="14"/>
  <c r="B19" i="14"/>
  <c r="C19" i="14"/>
  <c r="B20" i="14"/>
  <c r="C20" i="14"/>
  <c r="B21" i="14"/>
  <c r="C21" i="14"/>
  <c r="B22" i="14"/>
  <c r="C22" i="14"/>
  <c r="B15" i="14"/>
  <c r="C15" i="14"/>
  <c r="B10" i="14"/>
  <c r="B9" i="14"/>
  <c r="B8" i="14"/>
  <c r="B7" i="14"/>
  <c r="B6" i="14"/>
  <c r="B5" i="14"/>
  <c r="B4" i="14"/>
  <c r="B3" i="14"/>
  <c r="C40" i="14" l="1"/>
  <c r="C13" i="26" l="1"/>
  <c r="C12" i="26"/>
  <c r="V3" i="24"/>
  <c r="B97" i="26" s="1"/>
  <c r="K167" i="24"/>
  <c r="C355" i="26" s="1"/>
  <c r="J167" i="24"/>
  <c r="B355" i="26" s="1"/>
  <c r="I167" i="24"/>
  <c r="A355" i="26" s="1"/>
  <c r="K166" i="24"/>
  <c r="C354" i="26" s="1"/>
  <c r="J166" i="24"/>
  <c r="B354" i="26" s="1"/>
  <c r="I166" i="24"/>
  <c r="A354" i="26" s="1"/>
  <c r="K165" i="24"/>
  <c r="C353" i="26" s="1"/>
  <c r="J165" i="24"/>
  <c r="B353" i="26" s="1"/>
  <c r="I165" i="24"/>
  <c r="A353" i="26" s="1"/>
  <c r="K164" i="24"/>
  <c r="C352" i="26" s="1"/>
  <c r="J164" i="24"/>
  <c r="B352" i="26" s="1"/>
  <c r="I164" i="24"/>
  <c r="A352" i="26" s="1"/>
  <c r="K163" i="24"/>
  <c r="C351" i="26" s="1"/>
  <c r="J163" i="24"/>
  <c r="B351" i="26" s="1"/>
  <c r="I163" i="24"/>
  <c r="A351" i="26" s="1"/>
  <c r="K162" i="24"/>
  <c r="C350" i="26" s="1"/>
  <c r="J162" i="24"/>
  <c r="B350" i="26" s="1"/>
  <c r="I162" i="24"/>
  <c r="A350" i="26" s="1"/>
  <c r="K161" i="24"/>
  <c r="C349" i="26" s="1"/>
  <c r="J161" i="24"/>
  <c r="B349" i="26" s="1"/>
  <c r="I161" i="24"/>
  <c r="A349" i="26" s="1"/>
  <c r="K160" i="24"/>
  <c r="C348" i="26" s="1"/>
  <c r="J160" i="24"/>
  <c r="B348" i="26" s="1"/>
  <c r="I160" i="24"/>
  <c r="A348" i="26" s="1"/>
  <c r="K159" i="24"/>
  <c r="C347" i="26" s="1"/>
  <c r="J159" i="24"/>
  <c r="B347" i="26" s="1"/>
  <c r="I159" i="24"/>
  <c r="A347" i="26" s="1"/>
  <c r="K158" i="24"/>
  <c r="C346" i="26" s="1"/>
  <c r="J158" i="24"/>
  <c r="B346" i="26" s="1"/>
  <c r="I158" i="24"/>
  <c r="A346" i="26" s="1"/>
  <c r="K157" i="24"/>
  <c r="C345" i="26" s="1"/>
  <c r="J157" i="24"/>
  <c r="B345" i="26" s="1"/>
  <c r="I157" i="24"/>
  <c r="A345" i="26" s="1"/>
  <c r="K156" i="24"/>
  <c r="C344" i="26" s="1"/>
  <c r="J156" i="24"/>
  <c r="B344" i="26" s="1"/>
  <c r="I156" i="24"/>
  <c r="A344" i="26" s="1"/>
  <c r="K155" i="24"/>
  <c r="C343" i="26" s="1"/>
  <c r="J155" i="24"/>
  <c r="B343" i="26" s="1"/>
  <c r="I155" i="24"/>
  <c r="A343" i="26" s="1"/>
  <c r="K154" i="24"/>
  <c r="C342" i="26" s="1"/>
  <c r="J154" i="24"/>
  <c r="B342" i="26" s="1"/>
  <c r="I154" i="24"/>
  <c r="A342" i="26" s="1"/>
  <c r="K153" i="24"/>
  <c r="C341" i="26" s="1"/>
  <c r="J153" i="24"/>
  <c r="B341" i="26" s="1"/>
  <c r="I153" i="24"/>
  <c r="A341" i="26" s="1"/>
  <c r="K152" i="24"/>
  <c r="C340" i="26" s="1"/>
  <c r="J152" i="24"/>
  <c r="B340" i="26" s="1"/>
  <c r="I152" i="24"/>
  <c r="A340" i="26" s="1"/>
  <c r="K151" i="24"/>
  <c r="C339" i="26" s="1"/>
  <c r="J151" i="24"/>
  <c r="B339" i="26" s="1"/>
  <c r="I151" i="24"/>
  <c r="A339" i="26" s="1"/>
  <c r="K150" i="24"/>
  <c r="C338" i="26" s="1"/>
  <c r="J150" i="24"/>
  <c r="B338" i="26" s="1"/>
  <c r="I150" i="24"/>
  <c r="A338" i="26" s="1"/>
  <c r="K149" i="24"/>
  <c r="C337" i="26" s="1"/>
  <c r="J149" i="24"/>
  <c r="B337" i="26" s="1"/>
  <c r="I149" i="24"/>
  <c r="A337" i="26" s="1"/>
  <c r="K148" i="24"/>
  <c r="C336" i="26" s="1"/>
  <c r="J148" i="24"/>
  <c r="B336" i="26" s="1"/>
  <c r="I148" i="24"/>
  <c r="A336" i="26" s="1"/>
  <c r="K147" i="24"/>
  <c r="C335" i="26" s="1"/>
  <c r="J147" i="24"/>
  <c r="B335" i="26" s="1"/>
  <c r="I147" i="24"/>
  <c r="A335" i="26" s="1"/>
  <c r="K146" i="24"/>
  <c r="C334" i="26" s="1"/>
  <c r="J146" i="24"/>
  <c r="B334" i="26" s="1"/>
  <c r="I146" i="24"/>
  <c r="A334" i="26" s="1"/>
  <c r="K145" i="24"/>
  <c r="C333" i="26" s="1"/>
  <c r="J145" i="24"/>
  <c r="B333" i="26" s="1"/>
  <c r="I145" i="24"/>
  <c r="A333" i="26" s="1"/>
  <c r="K144" i="24"/>
  <c r="C332" i="26" s="1"/>
  <c r="J144" i="24"/>
  <c r="B332" i="26" s="1"/>
  <c r="I144" i="24"/>
  <c r="A332" i="26" s="1"/>
  <c r="K143" i="24"/>
  <c r="C331" i="26" s="1"/>
  <c r="J143" i="24"/>
  <c r="B331" i="26" s="1"/>
  <c r="I143" i="24"/>
  <c r="A331" i="26" s="1"/>
  <c r="K142" i="24"/>
  <c r="C330" i="26" s="1"/>
  <c r="J142" i="24"/>
  <c r="B330" i="26" s="1"/>
  <c r="I142" i="24"/>
  <c r="A330" i="26" s="1"/>
  <c r="K141" i="24"/>
  <c r="C329" i="26" s="1"/>
  <c r="J141" i="24"/>
  <c r="B329" i="26" s="1"/>
  <c r="I141" i="24"/>
  <c r="A329" i="26" s="1"/>
  <c r="K140" i="24"/>
  <c r="C328" i="26" s="1"/>
  <c r="J140" i="24"/>
  <c r="B328" i="26" s="1"/>
  <c r="I140" i="24"/>
  <c r="A328" i="26" s="1"/>
  <c r="K139" i="24"/>
  <c r="C327" i="26" s="1"/>
  <c r="J139" i="24"/>
  <c r="B327" i="26" s="1"/>
  <c r="I139" i="24"/>
  <c r="A327" i="26" s="1"/>
  <c r="K138" i="24"/>
  <c r="C326" i="26" s="1"/>
  <c r="J138" i="24"/>
  <c r="B326" i="26" s="1"/>
  <c r="I138" i="24"/>
  <c r="A326" i="26" s="1"/>
  <c r="K137" i="24"/>
  <c r="C325" i="26" s="1"/>
  <c r="J137" i="24"/>
  <c r="B325" i="26" s="1"/>
  <c r="I137" i="24"/>
  <c r="A325" i="26" s="1"/>
  <c r="K136" i="24"/>
  <c r="C324" i="26" s="1"/>
  <c r="J136" i="24"/>
  <c r="B324" i="26" s="1"/>
  <c r="I136" i="24"/>
  <c r="A324" i="26" s="1"/>
  <c r="K135" i="24"/>
  <c r="C323" i="26" s="1"/>
  <c r="J135" i="24"/>
  <c r="B323" i="26" s="1"/>
  <c r="I135" i="24"/>
  <c r="A323" i="26" s="1"/>
  <c r="K134" i="24"/>
  <c r="C322" i="26" s="1"/>
  <c r="J134" i="24"/>
  <c r="B322" i="26" s="1"/>
  <c r="I134" i="24"/>
  <c r="A322" i="26" s="1"/>
  <c r="K133" i="24"/>
  <c r="C321" i="26" s="1"/>
  <c r="J133" i="24"/>
  <c r="B321" i="26" s="1"/>
  <c r="I133" i="24"/>
  <c r="A321" i="26" s="1"/>
  <c r="K132" i="24"/>
  <c r="C320" i="26" s="1"/>
  <c r="J132" i="24"/>
  <c r="B320" i="26" s="1"/>
  <c r="I132" i="24"/>
  <c r="A320" i="26" s="1"/>
  <c r="K131" i="24"/>
  <c r="C319" i="26" s="1"/>
  <c r="J131" i="24"/>
  <c r="B319" i="26" s="1"/>
  <c r="I131" i="24"/>
  <c r="A319" i="26" s="1"/>
  <c r="K130" i="24"/>
  <c r="C318" i="26" s="1"/>
  <c r="J130" i="24"/>
  <c r="B318" i="26" s="1"/>
  <c r="I130" i="24"/>
  <c r="A318" i="26" s="1"/>
  <c r="K129" i="24"/>
  <c r="C317" i="26" s="1"/>
  <c r="J129" i="24"/>
  <c r="B317" i="26" s="1"/>
  <c r="I129" i="24"/>
  <c r="A317" i="26" s="1"/>
  <c r="K128" i="24"/>
  <c r="C316" i="26" s="1"/>
  <c r="J128" i="24"/>
  <c r="B316" i="26" s="1"/>
  <c r="I128" i="24"/>
  <c r="A316" i="26" s="1"/>
  <c r="K127" i="24"/>
  <c r="C315" i="26" s="1"/>
  <c r="J127" i="24"/>
  <c r="B315" i="26" s="1"/>
  <c r="I127" i="24"/>
  <c r="A315" i="26" s="1"/>
  <c r="K126" i="24"/>
  <c r="C314" i="26" s="1"/>
  <c r="J126" i="24"/>
  <c r="B314" i="26" s="1"/>
  <c r="I126" i="24"/>
  <c r="A314" i="26" s="1"/>
  <c r="K125" i="24"/>
  <c r="C313" i="26" s="1"/>
  <c r="J125" i="24"/>
  <c r="B313" i="26" s="1"/>
  <c r="I125" i="24"/>
  <c r="A313" i="26" s="1"/>
  <c r="K124" i="24"/>
  <c r="C312" i="26" s="1"/>
  <c r="J124" i="24"/>
  <c r="B312" i="26" s="1"/>
  <c r="I124" i="24"/>
  <c r="A312" i="26" s="1"/>
  <c r="K123" i="24"/>
  <c r="C311" i="26" s="1"/>
  <c r="J123" i="24"/>
  <c r="B311" i="26" s="1"/>
  <c r="I123" i="24"/>
  <c r="A311" i="26" s="1"/>
  <c r="K122" i="24"/>
  <c r="C310" i="26" s="1"/>
  <c r="J122" i="24"/>
  <c r="B310" i="26" s="1"/>
  <c r="I122" i="24"/>
  <c r="A310" i="26" s="1"/>
  <c r="K121" i="24"/>
  <c r="C309" i="26" s="1"/>
  <c r="J121" i="24"/>
  <c r="B309" i="26" s="1"/>
  <c r="I121" i="24"/>
  <c r="A309" i="26" s="1"/>
  <c r="K120" i="24"/>
  <c r="C308" i="26" s="1"/>
  <c r="J120" i="24"/>
  <c r="B308" i="26" s="1"/>
  <c r="I120" i="24"/>
  <c r="A308" i="26" s="1"/>
  <c r="K119" i="24"/>
  <c r="C307" i="26" s="1"/>
  <c r="J119" i="24"/>
  <c r="B307" i="26" s="1"/>
  <c r="I119" i="24"/>
  <c r="A307" i="26" s="1"/>
  <c r="K118" i="24"/>
  <c r="C306" i="26" s="1"/>
  <c r="J118" i="24"/>
  <c r="B306" i="26" s="1"/>
  <c r="I118" i="24"/>
  <c r="A306" i="26" s="1"/>
  <c r="K117" i="24"/>
  <c r="C305" i="26" s="1"/>
  <c r="J117" i="24"/>
  <c r="B305" i="26" s="1"/>
  <c r="I117" i="24"/>
  <c r="A305" i="26" s="1"/>
  <c r="K116" i="24"/>
  <c r="C304" i="26" s="1"/>
  <c r="J116" i="24"/>
  <c r="B304" i="26" s="1"/>
  <c r="I116" i="24"/>
  <c r="A304" i="26" s="1"/>
  <c r="K115" i="24"/>
  <c r="C303" i="26" s="1"/>
  <c r="J115" i="24"/>
  <c r="B303" i="26" s="1"/>
  <c r="I115" i="24"/>
  <c r="A303" i="26" s="1"/>
  <c r="K114" i="24"/>
  <c r="C302" i="26" s="1"/>
  <c r="J114" i="24"/>
  <c r="B302" i="26" s="1"/>
  <c r="I114" i="24"/>
  <c r="A302" i="26" s="1"/>
  <c r="K113" i="24"/>
  <c r="C301" i="26" s="1"/>
  <c r="J113" i="24"/>
  <c r="B301" i="26" s="1"/>
  <c r="I113" i="24"/>
  <c r="A301" i="26" s="1"/>
  <c r="K112" i="24"/>
  <c r="C300" i="26" s="1"/>
  <c r="J112" i="24"/>
  <c r="B300" i="26" s="1"/>
  <c r="I112" i="24"/>
  <c r="A300" i="26" s="1"/>
  <c r="K111" i="24"/>
  <c r="C299" i="26" s="1"/>
  <c r="J111" i="24"/>
  <c r="B299" i="26" s="1"/>
  <c r="I111" i="24"/>
  <c r="A299" i="26" s="1"/>
  <c r="K110" i="24"/>
  <c r="C298" i="26" s="1"/>
  <c r="J110" i="24"/>
  <c r="B298" i="26" s="1"/>
  <c r="I110" i="24"/>
  <c r="A298" i="26" s="1"/>
  <c r="K109" i="24"/>
  <c r="C297" i="26" s="1"/>
  <c r="J109" i="24"/>
  <c r="B297" i="26" s="1"/>
  <c r="I109" i="24"/>
  <c r="A297" i="26" s="1"/>
  <c r="K108" i="24"/>
  <c r="C296" i="26" s="1"/>
  <c r="J108" i="24"/>
  <c r="B296" i="26" s="1"/>
  <c r="I108" i="24"/>
  <c r="A296" i="26" s="1"/>
  <c r="K107" i="24"/>
  <c r="C295" i="26" s="1"/>
  <c r="J107" i="24"/>
  <c r="B295" i="26" s="1"/>
  <c r="I107" i="24"/>
  <c r="A295" i="26" s="1"/>
  <c r="K106" i="24"/>
  <c r="C294" i="26" s="1"/>
  <c r="J106" i="24"/>
  <c r="B294" i="26" s="1"/>
  <c r="I106" i="24"/>
  <c r="A294" i="26" s="1"/>
  <c r="K105" i="24"/>
  <c r="C293" i="26" s="1"/>
  <c r="J105" i="24"/>
  <c r="B293" i="26" s="1"/>
  <c r="I105" i="24"/>
  <c r="A293" i="26" s="1"/>
  <c r="K104" i="24"/>
  <c r="C292" i="26" s="1"/>
  <c r="J104" i="24"/>
  <c r="B292" i="26" s="1"/>
  <c r="I104" i="24"/>
  <c r="A292" i="26" s="1"/>
  <c r="K103" i="24"/>
  <c r="C291" i="26" s="1"/>
  <c r="J103" i="24"/>
  <c r="B291" i="26" s="1"/>
  <c r="I103" i="24"/>
  <c r="A291" i="26" s="1"/>
  <c r="K102" i="24"/>
  <c r="C290" i="26" s="1"/>
  <c r="J102" i="24"/>
  <c r="B290" i="26" s="1"/>
  <c r="I102" i="24"/>
  <c r="A290" i="26" s="1"/>
  <c r="K101" i="24"/>
  <c r="C289" i="26" s="1"/>
  <c r="J101" i="24"/>
  <c r="B289" i="26" s="1"/>
  <c r="I101" i="24"/>
  <c r="A289" i="26" s="1"/>
  <c r="K100" i="24"/>
  <c r="C288" i="26" s="1"/>
  <c r="J100" i="24"/>
  <c r="B288" i="26" s="1"/>
  <c r="I100" i="24"/>
  <c r="A288" i="26" s="1"/>
  <c r="K99" i="24"/>
  <c r="C287" i="26" s="1"/>
  <c r="J99" i="24"/>
  <c r="B287" i="26" s="1"/>
  <c r="I99" i="24"/>
  <c r="A287" i="26" s="1"/>
  <c r="K98" i="24"/>
  <c r="C286" i="26" s="1"/>
  <c r="J98" i="24"/>
  <c r="B286" i="26" s="1"/>
  <c r="I98" i="24"/>
  <c r="A286" i="26" s="1"/>
  <c r="K97" i="24"/>
  <c r="C285" i="26" s="1"/>
  <c r="J97" i="24"/>
  <c r="B285" i="26" s="1"/>
  <c r="I97" i="24"/>
  <c r="A285" i="26" s="1"/>
  <c r="K96" i="24"/>
  <c r="C284" i="26" s="1"/>
  <c r="J96" i="24"/>
  <c r="B284" i="26" s="1"/>
  <c r="I96" i="24"/>
  <c r="A284" i="26" s="1"/>
  <c r="K95" i="24"/>
  <c r="C283" i="26" s="1"/>
  <c r="J95" i="24"/>
  <c r="B283" i="26" s="1"/>
  <c r="I95" i="24"/>
  <c r="A283" i="26" s="1"/>
  <c r="K94" i="24"/>
  <c r="C282" i="26" s="1"/>
  <c r="J94" i="24"/>
  <c r="B282" i="26" s="1"/>
  <c r="I94" i="24"/>
  <c r="A282" i="26" s="1"/>
  <c r="K93" i="24"/>
  <c r="C281" i="26" s="1"/>
  <c r="J93" i="24"/>
  <c r="B281" i="26" s="1"/>
  <c r="I93" i="24"/>
  <c r="A281" i="26" s="1"/>
  <c r="K92" i="24"/>
  <c r="C280" i="26" s="1"/>
  <c r="J92" i="24"/>
  <c r="B280" i="26" s="1"/>
  <c r="I92" i="24"/>
  <c r="A280" i="26" s="1"/>
  <c r="K91" i="24"/>
  <c r="C279" i="26" s="1"/>
  <c r="J91" i="24"/>
  <c r="B279" i="26" s="1"/>
  <c r="I91" i="24"/>
  <c r="A279" i="26" s="1"/>
  <c r="K90" i="24"/>
  <c r="C278" i="26" s="1"/>
  <c r="J90" i="24"/>
  <c r="B278" i="26" s="1"/>
  <c r="I90" i="24"/>
  <c r="A278" i="26" s="1"/>
  <c r="K89" i="24"/>
  <c r="C277" i="26" s="1"/>
  <c r="J89" i="24"/>
  <c r="B277" i="26" s="1"/>
  <c r="I89" i="24"/>
  <c r="A277" i="26" s="1"/>
  <c r="K88" i="24"/>
  <c r="C276" i="26" s="1"/>
  <c r="J88" i="24"/>
  <c r="B276" i="26" s="1"/>
  <c r="I88" i="24"/>
  <c r="A276" i="26" s="1"/>
  <c r="K87" i="24"/>
  <c r="C275" i="26" s="1"/>
  <c r="J87" i="24"/>
  <c r="B275" i="26" s="1"/>
  <c r="I87" i="24"/>
  <c r="A275" i="26" s="1"/>
  <c r="K86" i="24"/>
  <c r="C274" i="26" s="1"/>
  <c r="J86" i="24"/>
  <c r="B274" i="26" s="1"/>
  <c r="I86" i="24"/>
  <c r="A274" i="26" s="1"/>
  <c r="K85" i="24"/>
  <c r="C273" i="26" s="1"/>
  <c r="J85" i="24"/>
  <c r="B273" i="26" s="1"/>
  <c r="I85" i="24"/>
  <c r="A273" i="26" s="1"/>
  <c r="K84" i="24"/>
  <c r="C272" i="26" s="1"/>
  <c r="J84" i="24"/>
  <c r="B272" i="26" s="1"/>
  <c r="I84" i="24"/>
  <c r="A272" i="26" s="1"/>
  <c r="K83" i="24"/>
  <c r="C271" i="26" s="1"/>
  <c r="J83" i="24"/>
  <c r="B271" i="26" s="1"/>
  <c r="I83" i="24"/>
  <c r="A271" i="26" s="1"/>
  <c r="K82" i="24"/>
  <c r="C270" i="26" s="1"/>
  <c r="J82" i="24"/>
  <c r="B270" i="26" s="1"/>
  <c r="I82" i="24"/>
  <c r="A270" i="26" s="1"/>
  <c r="K81" i="24"/>
  <c r="C269" i="26" s="1"/>
  <c r="J81" i="24"/>
  <c r="B269" i="26" s="1"/>
  <c r="I81" i="24"/>
  <c r="A269" i="26" s="1"/>
  <c r="K80" i="24"/>
  <c r="C268" i="26" s="1"/>
  <c r="J80" i="24"/>
  <c r="B268" i="26" s="1"/>
  <c r="I80" i="24"/>
  <c r="A268" i="26" s="1"/>
  <c r="K79" i="24"/>
  <c r="C267" i="26" s="1"/>
  <c r="J79" i="24"/>
  <c r="B267" i="26" s="1"/>
  <c r="I79" i="24"/>
  <c r="A267" i="26" s="1"/>
  <c r="K78" i="24"/>
  <c r="C266" i="26" s="1"/>
  <c r="J78" i="24"/>
  <c r="B266" i="26" s="1"/>
  <c r="I78" i="24"/>
  <c r="A266" i="26" s="1"/>
  <c r="K77" i="24"/>
  <c r="C265" i="26" s="1"/>
  <c r="J77" i="24"/>
  <c r="B265" i="26" s="1"/>
  <c r="I77" i="24"/>
  <c r="A265" i="26" s="1"/>
  <c r="K76" i="24"/>
  <c r="C264" i="26" s="1"/>
  <c r="J76" i="24"/>
  <c r="B264" i="26" s="1"/>
  <c r="I76" i="24"/>
  <c r="A264" i="26" s="1"/>
  <c r="K75" i="24"/>
  <c r="C263" i="26" s="1"/>
  <c r="J75" i="24"/>
  <c r="B263" i="26" s="1"/>
  <c r="I75" i="24"/>
  <c r="A263" i="26" s="1"/>
  <c r="K74" i="24"/>
  <c r="C262" i="26" s="1"/>
  <c r="J74" i="24"/>
  <c r="B262" i="26" s="1"/>
  <c r="I74" i="24"/>
  <c r="A262" i="26" s="1"/>
  <c r="K73" i="24"/>
  <c r="C261" i="26" s="1"/>
  <c r="J73" i="24"/>
  <c r="B261" i="26" s="1"/>
  <c r="I73" i="24"/>
  <c r="A261" i="26" s="1"/>
  <c r="K72" i="24"/>
  <c r="C260" i="26" s="1"/>
  <c r="J72" i="24"/>
  <c r="B260" i="26" s="1"/>
  <c r="I72" i="24"/>
  <c r="A260" i="26" s="1"/>
  <c r="K71" i="24"/>
  <c r="C259" i="26" s="1"/>
  <c r="J71" i="24"/>
  <c r="B259" i="26" s="1"/>
  <c r="I71" i="24"/>
  <c r="A259" i="26" s="1"/>
  <c r="K70" i="24"/>
  <c r="C258" i="26" s="1"/>
  <c r="J70" i="24"/>
  <c r="B258" i="26" s="1"/>
  <c r="I70" i="24"/>
  <c r="A258" i="26" s="1"/>
  <c r="K69" i="24"/>
  <c r="C257" i="26" s="1"/>
  <c r="J69" i="24"/>
  <c r="B257" i="26" s="1"/>
  <c r="I69" i="24"/>
  <c r="A257" i="26" s="1"/>
  <c r="K68" i="24"/>
  <c r="C256" i="26" s="1"/>
  <c r="J68" i="24"/>
  <c r="B256" i="26" s="1"/>
  <c r="I68" i="24"/>
  <c r="A256" i="26" s="1"/>
  <c r="K67" i="24"/>
  <c r="C255" i="26" s="1"/>
  <c r="J67" i="24"/>
  <c r="B255" i="26" s="1"/>
  <c r="I67" i="24"/>
  <c r="A255" i="26" s="1"/>
  <c r="K66" i="24"/>
  <c r="C254" i="26" s="1"/>
  <c r="J66" i="24"/>
  <c r="B254" i="26" s="1"/>
  <c r="I66" i="24"/>
  <c r="A254" i="26" s="1"/>
  <c r="K65" i="24"/>
  <c r="C253" i="26" s="1"/>
  <c r="J65" i="24"/>
  <c r="B253" i="26" s="1"/>
  <c r="I65" i="24"/>
  <c r="A253" i="26" s="1"/>
  <c r="K64" i="24"/>
  <c r="C252" i="26" s="1"/>
  <c r="J64" i="24"/>
  <c r="B252" i="26" s="1"/>
  <c r="I64" i="24"/>
  <c r="A252" i="26" s="1"/>
  <c r="K63" i="24"/>
  <c r="C251" i="26" s="1"/>
  <c r="J63" i="24"/>
  <c r="B251" i="26" s="1"/>
  <c r="I63" i="24"/>
  <c r="A251" i="26" s="1"/>
  <c r="K62" i="24"/>
  <c r="C250" i="26" s="1"/>
  <c r="J62" i="24"/>
  <c r="B250" i="26" s="1"/>
  <c r="I62" i="24"/>
  <c r="A250" i="26" s="1"/>
  <c r="K61" i="24"/>
  <c r="C249" i="26" s="1"/>
  <c r="J61" i="24"/>
  <c r="B249" i="26" s="1"/>
  <c r="I61" i="24"/>
  <c r="A249" i="26" s="1"/>
  <c r="K60" i="24"/>
  <c r="C248" i="26" s="1"/>
  <c r="J60" i="24"/>
  <c r="B248" i="26" s="1"/>
  <c r="I60" i="24"/>
  <c r="A248" i="26" s="1"/>
  <c r="K59" i="24"/>
  <c r="C247" i="26" s="1"/>
  <c r="J59" i="24"/>
  <c r="B247" i="26" s="1"/>
  <c r="I59" i="24"/>
  <c r="A247" i="26" s="1"/>
  <c r="K58" i="24"/>
  <c r="C246" i="26" s="1"/>
  <c r="J58" i="24"/>
  <c r="B246" i="26" s="1"/>
  <c r="I58" i="24"/>
  <c r="A246" i="26" s="1"/>
  <c r="K57" i="24"/>
  <c r="C245" i="26" s="1"/>
  <c r="J57" i="24"/>
  <c r="B245" i="26" s="1"/>
  <c r="I57" i="24"/>
  <c r="A245" i="26" s="1"/>
  <c r="K56" i="24"/>
  <c r="C244" i="26" s="1"/>
  <c r="J56" i="24"/>
  <c r="B244" i="26" s="1"/>
  <c r="I56" i="24"/>
  <c r="A244" i="26" s="1"/>
  <c r="K55" i="24"/>
  <c r="C243" i="26" s="1"/>
  <c r="J55" i="24"/>
  <c r="B243" i="26" s="1"/>
  <c r="I55" i="24"/>
  <c r="A243" i="26" s="1"/>
  <c r="K54" i="24"/>
  <c r="C242" i="26" s="1"/>
  <c r="J54" i="24"/>
  <c r="B242" i="26" s="1"/>
  <c r="I54" i="24"/>
  <c r="A242" i="26" s="1"/>
  <c r="K53" i="24"/>
  <c r="C241" i="26" s="1"/>
  <c r="J53" i="24"/>
  <c r="B241" i="26" s="1"/>
  <c r="I53" i="24"/>
  <c r="A241" i="26" s="1"/>
  <c r="K52" i="24"/>
  <c r="C240" i="26" s="1"/>
  <c r="J52" i="24"/>
  <c r="B240" i="26" s="1"/>
  <c r="I52" i="24"/>
  <c r="A240" i="26" s="1"/>
  <c r="K51" i="24"/>
  <c r="C239" i="26" s="1"/>
  <c r="J51" i="24"/>
  <c r="B239" i="26" s="1"/>
  <c r="I51" i="24"/>
  <c r="A239" i="26" s="1"/>
  <c r="K50" i="24"/>
  <c r="C238" i="26" s="1"/>
  <c r="J50" i="24"/>
  <c r="B238" i="26" s="1"/>
  <c r="I50" i="24"/>
  <c r="A238" i="26" s="1"/>
  <c r="K49" i="24"/>
  <c r="C237" i="26" s="1"/>
  <c r="J49" i="24"/>
  <c r="B237" i="26" s="1"/>
  <c r="I49" i="24"/>
  <c r="A237" i="26" s="1"/>
  <c r="K48" i="24"/>
  <c r="C236" i="26" s="1"/>
  <c r="J48" i="24"/>
  <c r="B236" i="26" s="1"/>
  <c r="I48" i="24"/>
  <c r="A236" i="26" s="1"/>
  <c r="K47" i="24"/>
  <c r="C235" i="26" s="1"/>
  <c r="J47" i="24"/>
  <c r="B235" i="26" s="1"/>
  <c r="I47" i="24"/>
  <c r="A235" i="26" s="1"/>
  <c r="K46" i="24"/>
  <c r="C234" i="26" s="1"/>
  <c r="J46" i="24"/>
  <c r="B234" i="26" s="1"/>
  <c r="I46" i="24"/>
  <c r="A234" i="26" s="1"/>
  <c r="K45" i="24"/>
  <c r="C233" i="26" s="1"/>
  <c r="J45" i="24"/>
  <c r="B233" i="26" s="1"/>
  <c r="I45" i="24"/>
  <c r="A233" i="26" s="1"/>
  <c r="K44" i="24"/>
  <c r="C232" i="26" s="1"/>
  <c r="J44" i="24"/>
  <c r="B232" i="26" s="1"/>
  <c r="I44" i="24"/>
  <c r="A232" i="26" s="1"/>
  <c r="K43" i="24"/>
  <c r="C231" i="26" s="1"/>
  <c r="J43" i="24"/>
  <c r="B231" i="26" s="1"/>
  <c r="I43" i="24"/>
  <c r="A231" i="26" s="1"/>
  <c r="K42" i="24"/>
  <c r="C230" i="26" s="1"/>
  <c r="J42" i="24"/>
  <c r="B230" i="26" s="1"/>
  <c r="I42" i="24"/>
  <c r="A230" i="26" s="1"/>
  <c r="K41" i="24"/>
  <c r="C229" i="26" s="1"/>
  <c r="J41" i="24"/>
  <c r="B229" i="26" s="1"/>
  <c r="I41" i="24"/>
  <c r="A229" i="26" s="1"/>
  <c r="K40" i="24"/>
  <c r="C228" i="26" s="1"/>
  <c r="J40" i="24"/>
  <c r="B228" i="26" s="1"/>
  <c r="I40" i="24"/>
  <c r="A228" i="26" s="1"/>
  <c r="K39" i="24"/>
  <c r="C227" i="26" s="1"/>
  <c r="J39" i="24"/>
  <c r="B227" i="26" s="1"/>
  <c r="I39" i="24"/>
  <c r="A227" i="26" s="1"/>
  <c r="K38" i="24"/>
  <c r="C226" i="26" s="1"/>
  <c r="J38" i="24"/>
  <c r="B226" i="26" s="1"/>
  <c r="I38" i="24"/>
  <c r="A226" i="26" s="1"/>
  <c r="K37" i="24"/>
  <c r="C225" i="26" s="1"/>
  <c r="J37" i="24"/>
  <c r="B225" i="26" s="1"/>
  <c r="I37" i="24"/>
  <c r="A225" i="26" s="1"/>
  <c r="K36" i="24"/>
  <c r="C224" i="26" s="1"/>
  <c r="J36" i="24"/>
  <c r="B224" i="26" s="1"/>
  <c r="I36" i="24"/>
  <c r="A224" i="26" s="1"/>
  <c r="K35" i="24"/>
  <c r="C223" i="26" s="1"/>
  <c r="J35" i="24"/>
  <c r="B223" i="26" s="1"/>
  <c r="I35" i="24"/>
  <c r="A223" i="26" s="1"/>
  <c r="K34" i="24"/>
  <c r="C222" i="26" s="1"/>
  <c r="J34" i="24"/>
  <c r="B222" i="26" s="1"/>
  <c r="I34" i="24"/>
  <c r="A222" i="26" s="1"/>
  <c r="K33" i="24"/>
  <c r="C221" i="26" s="1"/>
  <c r="J33" i="24"/>
  <c r="B221" i="26" s="1"/>
  <c r="I33" i="24"/>
  <c r="A221" i="26" s="1"/>
  <c r="K32" i="24"/>
  <c r="C220" i="26" s="1"/>
  <c r="J32" i="24"/>
  <c r="B220" i="26" s="1"/>
  <c r="I32" i="24"/>
  <c r="A220" i="26" s="1"/>
  <c r="K31" i="24"/>
  <c r="C219" i="26" s="1"/>
  <c r="J31" i="24"/>
  <c r="B219" i="26" s="1"/>
  <c r="I31" i="24"/>
  <c r="A219" i="26" s="1"/>
  <c r="K30" i="24"/>
  <c r="C218" i="26" s="1"/>
  <c r="J30" i="24"/>
  <c r="B218" i="26" s="1"/>
  <c r="I30" i="24"/>
  <c r="A218" i="26" s="1"/>
  <c r="K29" i="24"/>
  <c r="C217" i="26" s="1"/>
  <c r="J29" i="24"/>
  <c r="B217" i="26" s="1"/>
  <c r="I29" i="24"/>
  <c r="A217" i="26" s="1"/>
  <c r="K28" i="24"/>
  <c r="C216" i="26" s="1"/>
  <c r="J28" i="24"/>
  <c r="B216" i="26" s="1"/>
  <c r="I28" i="24"/>
  <c r="A216" i="26" s="1"/>
  <c r="K27" i="24"/>
  <c r="C215" i="26" s="1"/>
  <c r="J27" i="24"/>
  <c r="B215" i="26" s="1"/>
  <c r="I27" i="24"/>
  <c r="A215" i="26" s="1"/>
  <c r="K26" i="24"/>
  <c r="C214" i="26" s="1"/>
  <c r="J26" i="24"/>
  <c r="B214" i="26" s="1"/>
  <c r="I26" i="24"/>
  <c r="A214" i="26" s="1"/>
  <c r="K25" i="24"/>
  <c r="C213" i="26" s="1"/>
  <c r="J25" i="24"/>
  <c r="B213" i="26" s="1"/>
  <c r="I25" i="24"/>
  <c r="A213" i="26" s="1"/>
  <c r="K24" i="24"/>
  <c r="C212" i="26" s="1"/>
  <c r="J24" i="24"/>
  <c r="B212" i="26" s="1"/>
  <c r="I24" i="24"/>
  <c r="A212" i="26" s="1"/>
  <c r="K23" i="24"/>
  <c r="C211" i="26" s="1"/>
  <c r="J23" i="24"/>
  <c r="B211" i="26" s="1"/>
  <c r="I23" i="24"/>
  <c r="A211" i="26" s="1"/>
  <c r="K22" i="24"/>
  <c r="C210" i="26" s="1"/>
  <c r="J22" i="24"/>
  <c r="B210" i="26" s="1"/>
  <c r="I22" i="24"/>
  <c r="A210" i="26" s="1"/>
  <c r="K21" i="24"/>
  <c r="C209" i="26" s="1"/>
  <c r="J21" i="24"/>
  <c r="B209" i="26" s="1"/>
  <c r="I21" i="24"/>
  <c r="A209" i="26" s="1"/>
  <c r="K20" i="24"/>
  <c r="C208" i="26" s="1"/>
  <c r="J20" i="24"/>
  <c r="B208" i="26" s="1"/>
  <c r="I20" i="24"/>
  <c r="A208" i="26" s="1"/>
  <c r="K19" i="24"/>
  <c r="C207" i="26" s="1"/>
  <c r="J19" i="24"/>
  <c r="B207" i="26" s="1"/>
  <c r="I19" i="24"/>
  <c r="A207" i="26" s="1"/>
  <c r="K18" i="24"/>
  <c r="C206" i="26" s="1"/>
  <c r="J18" i="24"/>
  <c r="B206" i="26" s="1"/>
  <c r="I18" i="24"/>
  <c r="A206" i="26" s="1"/>
  <c r="K17" i="24"/>
  <c r="C205" i="26" s="1"/>
  <c r="J17" i="24"/>
  <c r="B205" i="26" s="1"/>
  <c r="I17" i="24"/>
  <c r="A205" i="26" s="1"/>
  <c r="K16" i="24"/>
  <c r="C204" i="26" s="1"/>
  <c r="J16" i="24"/>
  <c r="B204" i="26" s="1"/>
  <c r="I16" i="24"/>
  <c r="A204" i="26" s="1"/>
  <c r="K15" i="24"/>
  <c r="C203" i="26" s="1"/>
  <c r="J15" i="24"/>
  <c r="B203" i="26" s="1"/>
  <c r="I15" i="24"/>
  <c r="A203" i="26" s="1"/>
  <c r="K14" i="24"/>
  <c r="C202" i="26" s="1"/>
  <c r="J14" i="24"/>
  <c r="B202" i="26" s="1"/>
  <c r="I14" i="24"/>
  <c r="A202" i="26" s="1"/>
  <c r="K13" i="24"/>
  <c r="C201" i="26" s="1"/>
  <c r="J13" i="24"/>
  <c r="B201" i="26" s="1"/>
  <c r="I13" i="24"/>
  <c r="A201" i="26" s="1"/>
  <c r="K12" i="24"/>
  <c r="C200" i="26" s="1"/>
  <c r="J12" i="24"/>
  <c r="B200" i="26" s="1"/>
  <c r="I12" i="24"/>
  <c r="A200" i="26" s="1"/>
  <c r="K11" i="24"/>
  <c r="C199" i="26" s="1"/>
  <c r="J11" i="24"/>
  <c r="B199" i="26" s="1"/>
  <c r="I11" i="24"/>
  <c r="A199" i="26" s="1"/>
  <c r="K10" i="24"/>
  <c r="C198" i="26" s="1"/>
  <c r="J10" i="24"/>
  <c r="B198" i="26" s="1"/>
  <c r="I10" i="24"/>
  <c r="A198" i="26" s="1"/>
  <c r="K9" i="24"/>
  <c r="C197" i="26" s="1"/>
  <c r="J9" i="24"/>
  <c r="B197" i="26" s="1"/>
  <c r="I9" i="24"/>
  <c r="A197" i="26" s="1"/>
  <c r="K8" i="24"/>
  <c r="C196" i="26" s="1"/>
  <c r="J8" i="24"/>
  <c r="B196" i="26" s="1"/>
  <c r="I8" i="24"/>
  <c r="A196" i="26" s="1"/>
  <c r="K7" i="24"/>
  <c r="C195" i="26" s="1"/>
  <c r="J7" i="24"/>
  <c r="B195" i="26" s="1"/>
  <c r="I7" i="24"/>
  <c r="A195" i="26" s="1"/>
  <c r="K6" i="24"/>
  <c r="C194" i="26" s="1"/>
  <c r="J6" i="24"/>
  <c r="B194" i="26" s="1"/>
  <c r="I6" i="24"/>
  <c r="A194" i="26" s="1"/>
  <c r="K5" i="24"/>
  <c r="C193" i="26" s="1"/>
  <c r="J5" i="24"/>
  <c r="B193" i="26" s="1"/>
  <c r="I5" i="24"/>
  <c r="A193" i="26" s="1"/>
  <c r="K4" i="24"/>
  <c r="J4" i="24"/>
  <c r="I4" i="24"/>
  <c r="C24" i="23"/>
  <c r="D15" i="14"/>
  <c r="E15" i="14"/>
  <c r="F15" i="14"/>
  <c r="G15" i="14"/>
  <c r="H15" i="14"/>
  <c r="I15" i="14"/>
  <c r="J15" i="14"/>
  <c r="K15" i="14"/>
  <c r="L15" i="14"/>
  <c r="M15" i="14"/>
  <c r="N15" i="14"/>
  <c r="O15" i="14"/>
  <c r="P15" i="14"/>
  <c r="Q15" i="14"/>
  <c r="R15" i="14"/>
  <c r="S15" i="14"/>
  <c r="T15" i="14"/>
  <c r="U15" i="14"/>
  <c r="V15" i="14"/>
  <c r="W15" i="14"/>
  <c r="X15" i="14"/>
  <c r="Y15" i="14"/>
  <c r="Y24" i="23" s="1"/>
  <c r="Z15" i="14"/>
  <c r="Z24" i="23" s="1"/>
  <c r="AA15" i="14"/>
  <c r="AB15" i="14"/>
  <c r="AC15" i="14"/>
  <c r="AD15" i="14"/>
  <c r="AE15" i="14"/>
  <c r="AF15" i="14"/>
  <c r="AG15" i="14"/>
  <c r="AH15" i="14"/>
  <c r="AI15" i="14"/>
  <c r="AJ15" i="14"/>
  <c r="AK15" i="14"/>
  <c r="AL15" i="14"/>
  <c r="AM15" i="14"/>
  <c r="AN15" i="14"/>
  <c r="AO15" i="14"/>
  <c r="AP15" i="14"/>
  <c r="AQ15" i="14"/>
  <c r="AR15" i="14"/>
  <c r="AS15" i="14"/>
  <c r="AT15" i="14"/>
  <c r="AT24" i="23" s="1"/>
  <c r="AU15" i="14"/>
  <c r="AU24" i="23" s="1"/>
  <c r="AV15" i="14"/>
  <c r="AV24" i="23" s="1"/>
  <c r="AW15" i="14"/>
  <c r="AW24" i="23" s="1"/>
  <c r="C25" i="23"/>
  <c r="D16" i="14"/>
  <c r="E16" i="14"/>
  <c r="F16" i="14"/>
  <c r="G16" i="14"/>
  <c r="H16" i="14"/>
  <c r="I16" i="14"/>
  <c r="J16" i="14"/>
  <c r="K16" i="14"/>
  <c r="L16" i="14"/>
  <c r="M16" i="14"/>
  <c r="N16" i="14"/>
  <c r="O16" i="14"/>
  <c r="P16" i="14"/>
  <c r="Q16" i="14"/>
  <c r="R16" i="14"/>
  <c r="S16" i="14"/>
  <c r="T16" i="14"/>
  <c r="U16" i="14"/>
  <c r="V16" i="14"/>
  <c r="W16" i="14"/>
  <c r="X16" i="14"/>
  <c r="Y16" i="14"/>
  <c r="Y25" i="23" s="1"/>
  <c r="Z16" i="14"/>
  <c r="Z25" i="23" s="1"/>
  <c r="AA16" i="14"/>
  <c r="AA25" i="23" s="1"/>
  <c r="AB16" i="14"/>
  <c r="AC16" i="14"/>
  <c r="AD16" i="14"/>
  <c r="AE16" i="14"/>
  <c r="AF16" i="14"/>
  <c r="AG16" i="14"/>
  <c r="AH16" i="14"/>
  <c r="AI16" i="14"/>
  <c r="AJ16" i="14"/>
  <c r="AK16" i="14"/>
  <c r="AL16" i="14"/>
  <c r="AM16" i="14"/>
  <c r="AN16" i="14"/>
  <c r="AO16" i="14"/>
  <c r="AP16" i="14"/>
  <c r="AQ16" i="14"/>
  <c r="AR16" i="14"/>
  <c r="AS16" i="14"/>
  <c r="AS25" i="23" s="1"/>
  <c r="AT16" i="14"/>
  <c r="AT25" i="23" s="1"/>
  <c r="AU16" i="14"/>
  <c r="AU25" i="23" s="1"/>
  <c r="AV16" i="14"/>
  <c r="AV25" i="23" s="1"/>
  <c r="AW16" i="14"/>
  <c r="AW25" i="23" s="1"/>
  <c r="C26" i="23"/>
  <c r="D17" i="14"/>
  <c r="E17" i="14"/>
  <c r="F17" i="14"/>
  <c r="G17" i="14"/>
  <c r="H17" i="14"/>
  <c r="I17" i="14"/>
  <c r="J17" i="14"/>
  <c r="K17" i="14"/>
  <c r="L17" i="14"/>
  <c r="M17" i="14"/>
  <c r="N17" i="14"/>
  <c r="O17" i="14"/>
  <c r="P17" i="14"/>
  <c r="Q17" i="14"/>
  <c r="R17" i="14"/>
  <c r="S17" i="14"/>
  <c r="T17" i="14"/>
  <c r="U17" i="14"/>
  <c r="V17" i="14"/>
  <c r="W17" i="14"/>
  <c r="X17" i="14"/>
  <c r="Y17" i="14"/>
  <c r="Y26" i="23" s="1"/>
  <c r="Z17" i="14"/>
  <c r="Z26" i="23" s="1"/>
  <c r="AA17" i="14"/>
  <c r="AB17" i="14"/>
  <c r="AC17" i="14"/>
  <c r="AD17" i="14"/>
  <c r="AE17" i="14"/>
  <c r="AF17" i="14"/>
  <c r="AG17" i="14"/>
  <c r="AH17" i="14"/>
  <c r="AI17" i="14"/>
  <c r="AJ17" i="14"/>
  <c r="AK17" i="14"/>
  <c r="AL17" i="14"/>
  <c r="AM17" i="14"/>
  <c r="AN17" i="14"/>
  <c r="AO17" i="14"/>
  <c r="AP17" i="14"/>
  <c r="AQ17" i="14"/>
  <c r="AR17" i="14"/>
  <c r="AS17" i="14"/>
  <c r="AS26" i="23" s="1"/>
  <c r="AT17" i="14"/>
  <c r="AT26" i="23" s="1"/>
  <c r="AU17" i="14"/>
  <c r="AU26" i="23" s="1"/>
  <c r="AV17" i="14"/>
  <c r="AV26" i="23" s="1"/>
  <c r="AW17" i="14"/>
  <c r="AW26" i="23" s="1"/>
  <c r="C27" i="23"/>
  <c r="D18" i="14"/>
  <c r="E18" i="14"/>
  <c r="F18" i="14"/>
  <c r="G18" i="14"/>
  <c r="H18" i="14"/>
  <c r="I18" i="14"/>
  <c r="J18" i="14"/>
  <c r="K18" i="14"/>
  <c r="L18" i="14"/>
  <c r="M18" i="14"/>
  <c r="N18" i="14"/>
  <c r="O18" i="14"/>
  <c r="P18" i="14"/>
  <c r="Q18" i="14"/>
  <c r="R18" i="14"/>
  <c r="S18" i="14"/>
  <c r="T18" i="14"/>
  <c r="U18" i="14"/>
  <c r="V18" i="14"/>
  <c r="W18" i="14"/>
  <c r="X18" i="14"/>
  <c r="X27" i="23" s="1"/>
  <c r="Y18" i="14"/>
  <c r="Y27" i="23" s="1"/>
  <c r="Z18" i="14"/>
  <c r="Z27" i="23" s="1"/>
  <c r="AA18" i="14"/>
  <c r="AA27" i="23" s="1"/>
  <c r="AB18" i="14"/>
  <c r="AC18" i="14"/>
  <c r="AD18" i="14"/>
  <c r="AE18" i="14"/>
  <c r="AF18" i="14"/>
  <c r="AG18" i="14"/>
  <c r="AH18" i="14"/>
  <c r="AI18" i="14"/>
  <c r="AJ18" i="14"/>
  <c r="AK18" i="14"/>
  <c r="AL18" i="14"/>
  <c r="AM18" i="14"/>
  <c r="AN18" i="14"/>
  <c r="AO18" i="14"/>
  <c r="AP18" i="14"/>
  <c r="AQ18" i="14"/>
  <c r="AR18" i="14"/>
  <c r="AS18" i="14"/>
  <c r="AS27" i="23" s="1"/>
  <c r="AT18" i="14"/>
  <c r="AT27" i="23" s="1"/>
  <c r="AU18" i="14"/>
  <c r="AU27" i="23" s="1"/>
  <c r="AV18" i="14"/>
  <c r="AV27" i="23" s="1"/>
  <c r="AW18" i="14"/>
  <c r="AW27" i="23" s="1"/>
  <c r="C28" i="23"/>
  <c r="D19" i="14"/>
  <c r="D28" i="23" s="1"/>
  <c r="E19" i="14"/>
  <c r="F19" i="14"/>
  <c r="F28" i="23" s="1"/>
  <c r="G19" i="14"/>
  <c r="G28" i="23" s="1"/>
  <c r="H19" i="14"/>
  <c r="H28" i="23" s="1"/>
  <c r="I19" i="14"/>
  <c r="I28" i="23" s="1"/>
  <c r="J19" i="14"/>
  <c r="J28" i="23" s="1"/>
  <c r="K19" i="14"/>
  <c r="K28" i="23" s="1"/>
  <c r="L19" i="14"/>
  <c r="L28" i="23" s="1"/>
  <c r="M19" i="14"/>
  <c r="M28" i="23" s="1"/>
  <c r="N19" i="14"/>
  <c r="N28" i="23" s="1"/>
  <c r="O19" i="14"/>
  <c r="O28" i="23" s="1"/>
  <c r="P19" i="14"/>
  <c r="P28" i="23" s="1"/>
  <c r="Q19" i="14"/>
  <c r="Q28" i="23" s="1"/>
  <c r="R19" i="14"/>
  <c r="R28" i="23" s="1"/>
  <c r="S19" i="14"/>
  <c r="S28" i="23" s="1"/>
  <c r="T19" i="14"/>
  <c r="T28" i="23" s="1"/>
  <c r="U19" i="14"/>
  <c r="U28" i="23" s="1"/>
  <c r="V19" i="14"/>
  <c r="V28" i="23" s="1"/>
  <c r="W19" i="14"/>
  <c r="W28" i="23" s="1"/>
  <c r="X19" i="14"/>
  <c r="X28" i="23" s="1"/>
  <c r="Y19" i="14"/>
  <c r="Y28" i="23" s="1"/>
  <c r="Z19" i="14"/>
  <c r="Z28" i="23" s="1"/>
  <c r="AA19" i="14"/>
  <c r="AA28" i="23" s="1"/>
  <c r="AB19" i="14"/>
  <c r="AC19" i="14"/>
  <c r="AD19" i="14"/>
  <c r="AE19" i="14"/>
  <c r="AF19" i="14"/>
  <c r="AG19" i="14"/>
  <c r="AH19" i="14"/>
  <c r="AI19" i="14"/>
  <c r="AJ19" i="14"/>
  <c r="AK19" i="14"/>
  <c r="AL19" i="14"/>
  <c r="AL28" i="23" s="1"/>
  <c r="AM19" i="14"/>
  <c r="AM28" i="23" s="1"/>
  <c r="AN19" i="14"/>
  <c r="AN28" i="23" s="1"/>
  <c r="AO19" i="14"/>
  <c r="AO28" i="23" s="1"/>
  <c r="AP19" i="14"/>
  <c r="AP28" i="23" s="1"/>
  <c r="AQ19" i="14"/>
  <c r="AQ28" i="23" s="1"/>
  <c r="AR19" i="14"/>
  <c r="AR28" i="23" s="1"/>
  <c r="AS19" i="14"/>
  <c r="AS28" i="23" s="1"/>
  <c r="AT19" i="14"/>
  <c r="AT28" i="23" s="1"/>
  <c r="AU19" i="14"/>
  <c r="AU28" i="23" s="1"/>
  <c r="AV19" i="14"/>
  <c r="AV28" i="23" s="1"/>
  <c r="AW19" i="14"/>
  <c r="AW28" i="23" s="1"/>
  <c r="D20" i="14"/>
  <c r="D29" i="23" s="1"/>
  <c r="E20" i="14"/>
  <c r="F20" i="14"/>
  <c r="F29" i="23" s="1"/>
  <c r="G20" i="14"/>
  <c r="H20" i="14"/>
  <c r="H29" i="23" s="1"/>
  <c r="I20" i="14"/>
  <c r="I29" i="23" s="1"/>
  <c r="J20" i="14"/>
  <c r="K20" i="14"/>
  <c r="K29" i="23" s="1"/>
  <c r="L20" i="14"/>
  <c r="L29" i="23" s="1"/>
  <c r="M20" i="14"/>
  <c r="M29" i="23" s="1"/>
  <c r="N20" i="14"/>
  <c r="N29" i="23" s="1"/>
  <c r="O20" i="14"/>
  <c r="O29" i="23" s="1"/>
  <c r="P20" i="14"/>
  <c r="P29" i="23" s="1"/>
  <c r="Q20" i="14"/>
  <c r="Q29" i="23" s="1"/>
  <c r="R20" i="14"/>
  <c r="R29" i="23" s="1"/>
  <c r="S20" i="14"/>
  <c r="S29" i="23" s="1"/>
  <c r="T20" i="14"/>
  <c r="T29" i="23" s="1"/>
  <c r="U20" i="14"/>
  <c r="U29" i="23" s="1"/>
  <c r="V20" i="14"/>
  <c r="V29" i="23" s="1"/>
  <c r="W20" i="14"/>
  <c r="W29" i="23" s="1"/>
  <c r="X20" i="14"/>
  <c r="X29" i="23" s="1"/>
  <c r="Y20" i="14"/>
  <c r="Y29" i="23" s="1"/>
  <c r="Z20" i="14"/>
  <c r="Z29" i="23" s="1"/>
  <c r="AA20" i="14"/>
  <c r="AA29" i="23" s="1"/>
  <c r="AB20" i="14"/>
  <c r="AC20" i="14"/>
  <c r="AD20" i="14"/>
  <c r="AE20" i="14"/>
  <c r="AF20" i="14"/>
  <c r="AG20" i="14"/>
  <c r="AH20" i="14"/>
  <c r="AI20" i="14"/>
  <c r="AJ20" i="14"/>
  <c r="AK20" i="14"/>
  <c r="AL20" i="14"/>
  <c r="AL29" i="23" s="1"/>
  <c r="AM20" i="14"/>
  <c r="AM29" i="23" s="1"/>
  <c r="AN20" i="14"/>
  <c r="AN29" i="23" s="1"/>
  <c r="AO20" i="14"/>
  <c r="AO29" i="23" s="1"/>
  <c r="AP20" i="14"/>
  <c r="AP29" i="23" s="1"/>
  <c r="AQ20" i="14"/>
  <c r="AQ29" i="23" s="1"/>
  <c r="AR20" i="14"/>
  <c r="AR29" i="23" s="1"/>
  <c r="AS20" i="14"/>
  <c r="AS29" i="23" s="1"/>
  <c r="AT20" i="14"/>
  <c r="AT29" i="23" s="1"/>
  <c r="AU20" i="14"/>
  <c r="AU29" i="23" s="1"/>
  <c r="AV20" i="14"/>
  <c r="AV29" i="23" s="1"/>
  <c r="AW20" i="14"/>
  <c r="AW29" i="23" s="1"/>
  <c r="C30" i="23"/>
  <c r="D21" i="14"/>
  <c r="E21" i="14"/>
  <c r="E30" i="23" s="1"/>
  <c r="F21" i="14"/>
  <c r="F30" i="23" s="1"/>
  <c r="G21" i="14"/>
  <c r="G30" i="23" s="1"/>
  <c r="H21" i="14"/>
  <c r="H30" i="23" s="1"/>
  <c r="I21" i="14"/>
  <c r="I30" i="23" s="1"/>
  <c r="J21" i="14"/>
  <c r="J30" i="23" s="1"/>
  <c r="K21" i="14"/>
  <c r="L21" i="14"/>
  <c r="L30" i="23" s="1"/>
  <c r="M21" i="14"/>
  <c r="M30" i="23" s="1"/>
  <c r="N21" i="14"/>
  <c r="N30" i="23" s="1"/>
  <c r="O21" i="14"/>
  <c r="O30" i="23" s="1"/>
  <c r="P21" i="14"/>
  <c r="P30" i="23" s="1"/>
  <c r="Q21" i="14"/>
  <c r="Q30" i="23" s="1"/>
  <c r="R21" i="14"/>
  <c r="R30" i="23" s="1"/>
  <c r="S21" i="14"/>
  <c r="S30" i="23" s="1"/>
  <c r="T21" i="14"/>
  <c r="T30" i="23" s="1"/>
  <c r="U21" i="14"/>
  <c r="U30" i="23" s="1"/>
  <c r="V21" i="14"/>
  <c r="V30" i="23" s="1"/>
  <c r="W21" i="14"/>
  <c r="W30" i="23" s="1"/>
  <c r="X21" i="14"/>
  <c r="X30" i="23" s="1"/>
  <c r="Y21" i="14"/>
  <c r="Y30" i="23" s="1"/>
  <c r="Z21" i="14"/>
  <c r="Z30" i="23" s="1"/>
  <c r="AA21" i="14"/>
  <c r="AB21" i="14"/>
  <c r="AC21" i="14"/>
  <c r="AD21" i="14"/>
  <c r="AE21" i="14"/>
  <c r="AF21" i="14"/>
  <c r="AG21" i="14"/>
  <c r="AH21" i="14"/>
  <c r="AI21" i="14"/>
  <c r="AJ21" i="14"/>
  <c r="AK21" i="14"/>
  <c r="AL21" i="14"/>
  <c r="AL30" i="23" s="1"/>
  <c r="AM21" i="14"/>
  <c r="AM30" i="23" s="1"/>
  <c r="AN21" i="14"/>
  <c r="AN30" i="23" s="1"/>
  <c r="AO21" i="14"/>
  <c r="AO30" i="23" s="1"/>
  <c r="AP21" i="14"/>
  <c r="AP30" i="23" s="1"/>
  <c r="AQ21" i="14"/>
  <c r="AQ30" i="23" s="1"/>
  <c r="AR21" i="14"/>
  <c r="AR30" i="23" s="1"/>
  <c r="AS21" i="14"/>
  <c r="AS30" i="23" s="1"/>
  <c r="AT21" i="14"/>
  <c r="AT30" i="23" s="1"/>
  <c r="AU21" i="14"/>
  <c r="AU30" i="23" s="1"/>
  <c r="AV21" i="14"/>
  <c r="AV30" i="23" s="1"/>
  <c r="AW21" i="14"/>
  <c r="AW30" i="23" s="1"/>
  <c r="C31" i="23"/>
  <c r="D22" i="14"/>
  <c r="E22" i="14"/>
  <c r="F22" i="14"/>
  <c r="F31" i="23" s="1"/>
  <c r="G22" i="14"/>
  <c r="H22" i="14"/>
  <c r="I22" i="14"/>
  <c r="I31" i="23" s="1"/>
  <c r="J22" i="14"/>
  <c r="J31" i="23" s="1"/>
  <c r="K22" i="14"/>
  <c r="K31" i="23" s="1"/>
  <c r="L22" i="14"/>
  <c r="M22" i="14"/>
  <c r="M31" i="23" s="1"/>
  <c r="N22" i="14"/>
  <c r="N31" i="23" s="1"/>
  <c r="O22" i="14"/>
  <c r="O31" i="23" s="1"/>
  <c r="P22" i="14"/>
  <c r="P31" i="23" s="1"/>
  <c r="Q22" i="14"/>
  <c r="Q31" i="23" s="1"/>
  <c r="R22" i="14"/>
  <c r="R31" i="23" s="1"/>
  <c r="S22" i="14"/>
  <c r="S31" i="23" s="1"/>
  <c r="T22" i="14"/>
  <c r="T31" i="23" s="1"/>
  <c r="U22" i="14"/>
  <c r="U31" i="23" s="1"/>
  <c r="V22" i="14"/>
  <c r="V31" i="23" s="1"/>
  <c r="W22" i="14"/>
  <c r="W31" i="23" s="1"/>
  <c r="X22" i="14"/>
  <c r="X31" i="23" s="1"/>
  <c r="Y22" i="14"/>
  <c r="Y31" i="23" s="1"/>
  <c r="Z22" i="14"/>
  <c r="Z31" i="23" s="1"/>
  <c r="AA22" i="14"/>
  <c r="AB22" i="14"/>
  <c r="AC22" i="14"/>
  <c r="AD22" i="14"/>
  <c r="AE22" i="14"/>
  <c r="AF22" i="14"/>
  <c r="AG22" i="14"/>
  <c r="AH22" i="14"/>
  <c r="AI22" i="14"/>
  <c r="AJ22" i="14"/>
  <c r="AK22" i="14"/>
  <c r="AL22" i="14"/>
  <c r="AL31" i="23" s="1"/>
  <c r="AM22" i="14"/>
  <c r="AM31" i="23" s="1"/>
  <c r="AN22" i="14"/>
  <c r="AN31" i="23" s="1"/>
  <c r="AO22" i="14"/>
  <c r="AO31" i="23" s="1"/>
  <c r="AP22" i="14"/>
  <c r="AP31" i="23" s="1"/>
  <c r="AQ22" i="14"/>
  <c r="AQ31" i="23" s="1"/>
  <c r="AR22" i="14"/>
  <c r="AR31" i="23" s="1"/>
  <c r="AS22" i="14"/>
  <c r="AS31" i="23" s="1"/>
  <c r="AT22" i="14"/>
  <c r="AT31" i="23" s="1"/>
  <c r="AU22" i="14"/>
  <c r="AU31" i="23" s="1"/>
  <c r="AV22" i="14"/>
  <c r="AV31" i="23" s="1"/>
  <c r="AW22" i="14"/>
  <c r="AW31" i="23" s="1"/>
  <c r="B25" i="23"/>
  <c r="B26" i="23"/>
  <c r="B27" i="23"/>
  <c r="B28" i="23"/>
  <c r="B29" i="23"/>
  <c r="B30" i="23"/>
  <c r="B31" i="23"/>
  <c r="P3" i="14"/>
  <c r="Q3" i="14"/>
  <c r="R3" i="14"/>
  <c r="S3" i="14"/>
  <c r="T3" i="14"/>
  <c r="U3" i="14"/>
  <c r="V3" i="14"/>
  <c r="W3" i="14"/>
  <c r="X3" i="14"/>
  <c r="Y3" i="14"/>
  <c r="Z3" i="14"/>
  <c r="AA3" i="14"/>
  <c r="AB3" i="14"/>
  <c r="AC3" i="14"/>
  <c r="AD3" i="14"/>
  <c r="AE3" i="14"/>
  <c r="AF3" i="14"/>
  <c r="AG3" i="14"/>
  <c r="AH3" i="14"/>
  <c r="AI3" i="14"/>
  <c r="AJ3" i="14"/>
  <c r="AK3" i="14"/>
  <c r="AL3" i="14"/>
  <c r="AM3" i="14"/>
  <c r="AN3" i="14"/>
  <c r="AO3" i="14"/>
  <c r="AP3" i="14"/>
  <c r="AQ3" i="14"/>
  <c r="AR3" i="14"/>
  <c r="AS3" i="14"/>
  <c r="AT3" i="14"/>
  <c r="AU3" i="14"/>
  <c r="AV3" i="14"/>
  <c r="AW3" i="14"/>
  <c r="P4" i="14"/>
  <c r="Q4" i="14"/>
  <c r="R4" i="14"/>
  <c r="S4" i="14"/>
  <c r="T4" i="14"/>
  <c r="U4" i="14"/>
  <c r="V4" i="14"/>
  <c r="W4" i="14"/>
  <c r="X4" i="14"/>
  <c r="Y4" i="14"/>
  <c r="Z4" i="14"/>
  <c r="AA4" i="14"/>
  <c r="AB4" i="14"/>
  <c r="AC4" i="14"/>
  <c r="AD4" i="14"/>
  <c r="AE4" i="14"/>
  <c r="AF4" i="14"/>
  <c r="AG4" i="14"/>
  <c r="AH4" i="14"/>
  <c r="AI4" i="14"/>
  <c r="AJ4" i="14"/>
  <c r="AK4" i="14"/>
  <c r="AL4" i="14"/>
  <c r="AM4" i="14"/>
  <c r="AN4" i="14"/>
  <c r="AO4" i="14"/>
  <c r="AP4" i="14"/>
  <c r="AQ4" i="14"/>
  <c r="AR4" i="14"/>
  <c r="AS4" i="14"/>
  <c r="AT4" i="14"/>
  <c r="AU4" i="14"/>
  <c r="AV4" i="14"/>
  <c r="AW4" i="14"/>
  <c r="P5" i="14"/>
  <c r="Q5" i="14"/>
  <c r="R5" i="14"/>
  <c r="S5" i="14"/>
  <c r="T5" i="14"/>
  <c r="U5" i="14"/>
  <c r="V5" i="14"/>
  <c r="W5" i="14"/>
  <c r="X5" i="14"/>
  <c r="Y5" i="14"/>
  <c r="Z5" i="14"/>
  <c r="AA5" i="14"/>
  <c r="AB5" i="14"/>
  <c r="AC5" i="14"/>
  <c r="AD5" i="14"/>
  <c r="AE5" i="14"/>
  <c r="AF5" i="14"/>
  <c r="AG5" i="14"/>
  <c r="AH5" i="14"/>
  <c r="AI5" i="14"/>
  <c r="AJ5" i="14"/>
  <c r="AK5" i="14"/>
  <c r="AL5" i="14"/>
  <c r="AM5" i="14"/>
  <c r="AN5" i="14"/>
  <c r="AO5" i="14"/>
  <c r="AP5" i="14"/>
  <c r="AQ5" i="14"/>
  <c r="AR5" i="14"/>
  <c r="AS5" i="14"/>
  <c r="AT5" i="14"/>
  <c r="AU5" i="14"/>
  <c r="AV5" i="14"/>
  <c r="AW5" i="14"/>
  <c r="P6" i="14"/>
  <c r="Q6" i="14"/>
  <c r="R6" i="14"/>
  <c r="S6" i="14"/>
  <c r="T6" i="14"/>
  <c r="U6" i="14"/>
  <c r="V6" i="14"/>
  <c r="W6" i="14"/>
  <c r="X6" i="14"/>
  <c r="Y6" i="14"/>
  <c r="Z6" i="14"/>
  <c r="AA6" i="14"/>
  <c r="AB6" i="14"/>
  <c r="AC6" i="14"/>
  <c r="AD6" i="14"/>
  <c r="AE6" i="14"/>
  <c r="AF6" i="14"/>
  <c r="AG6" i="14"/>
  <c r="AH6" i="14"/>
  <c r="AI6" i="14"/>
  <c r="AJ6" i="14"/>
  <c r="AK6" i="14"/>
  <c r="AL6" i="14"/>
  <c r="AM6" i="14"/>
  <c r="AN6" i="14"/>
  <c r="AO6" i="14"/>
  <c r="AP6" i="14"/>
  <c r="AQ6" i="14"/>
  <c r="AR6" i="14"/>
  <c r="AS6" i="14"/>
  <c r="AT6" i="14"/>
  <c r="AU6" i="14"/>
  <c r="AV6" i="14"/>
  <c r="AW6" i="14"/>
  <c r="P7" i="14"/>
  <c r="Q7" i="14"/>
  <c r="R7" i="14"/>
  <c r="S7" i="14"/>
  <c r="T7" i="14"/>
  <c r="U7" i="14"/>
  <c r="V7" i="14"/>
  <c r="W7" i="14"/>
  <c r="X7" i="14"/>
  <c r="Y7" i="14"/>
  <c r="Z7" i="14"/>
  <c r="AA7" i="14"/>
  <c r="AB7" i="14"/>
  <c r="AC7" i="14"/>
  <c r="AD7" i="14"/>
  <c r="AE7" i="14"/>
  <c r="AF7" i="14"/>
  <c r="AG7" i="14"/>
  <c r="AH7" i="14"/>
  <c r="AI7" i="14"/>
  <c r="AJ7" i="14"/>
  <c r="AK7" i="14"/>
  <c r="AL7" i="14"/>
  <c r="AM7" i="14"/>
  <c r="AN7" i="14"/>
  <c r="AO7" i="14"/>
  <c r="AP7" i="14"/>
  <c r="AQ7" i="14"/>
  <c r="AR7" i="14"/>
  <c r="AS7" i="14"/>
  <c r="AT7" i="14"/>
  <c r="AU7" i="14"/>
  <c r="AV7" i="14"/>
  <c r="AW7" i="14"/>
  <c r="P8" i="14"/>
  <c r="Q8" i="14"/>
  <c r="R8" i="14"/>
  <c r="S8" i="14"/>
  <c r="T8" i="14"/>
  <c r="U8" i="14"/>
  <c r="V8" i="14"/>
  <c r="W8" i="14"/>
  <c r="X8" i="14"/>
  <c r="Y8" i="14"/>
  <c r="Z8" i="14"/>
  <c r="AA8" i="14"/>
  <c r="AB8" i="14"/>
  <c r="AC8" i="14"/>
  <c r="AD8" i="14"/>
  <c r="AE8" i="14"/>
  <c r="AF8" i="14"/>
  <c r="AG8" i="14"/>
  <c r="AH8" i="14"/>
  <c r="AI8" i="14"/>
  <c r="AJ8" i="14"/>
  <c r="AK8" i="14"/>
  <c r="AL8" i="14"/>
  <c r="AM8" i="14"/>
  <c r="AN8" i="14"/>
  <c r="AO8" i="14"/>
  <c r="AP8" i="14"/>
  <c r="AQ8" i="14"/>
  <c r="AR8" i="14"/>
  <c r="AS8" i="14"/>
  <c r="AT8" i="14"/>
  <c r="AU8" i="14"/>
  <c r="AV8" i="14"/>
  <c r="AW8" i="14"/>
  <c r="P9" i="14"/>
  <c r="Q9" i="14"/>
  <c r="R9" i="14"/>
  <c r="S9" i="14"/>
  <c r="T9" i="14"/>
  <c r="U9" i="14"/>
  <c r="V9" i="14"/>
  <c r="W9" i="14"/>
  <c r="X9" i="14"/>
  <c r="Y9" i="14"/>
  <c r="Z9" i="14"/>
  <c r="AA9" i="14"/>
  <c r="AB9" i="14"/>
  <c r="AC9" i="14"/>
  <c r="AD9" i="14"/>
  <c r="AE9" i="14"/>
  <c r="AF9" i="14"/>
  <c r="AG9" i="14"/>
  <c r="AH9" i="14"/>
  <c r="AI9" i="14"/>
  <c r="AJ9" i="14"/>
  <c r="AK9" i="14"/>
  <c r="AL9" i="14"/>
  <c r="AM9" i="14"/>
  <c r="AN9" i="14"/>
  <c r="AO9" i="14"/>
  <c r="AP9" i="14"/>
  <c r="AQ9" i="14"/>
  <c r="AR9" i="14"/>
  <c r="AS9" i="14"/>
  <c r="AT9" i="14"/>
  <c r="AU9" i="14"/>
  <c r="AV9" i="14"/>
  <c r="AW9" i="14"/>
  <c r="P10" i="14"/>
  <c r="Q10" i="14"/>
  <c r="R10" i="14"/>
  <c r="S10" i="14"/>
  <c r="T10" i="14"/>
  <c r="U10" i="14"/>
  <c r="V10" i="14"/>
  <c r="W10" i="14"/>
  <c r="X10" i="14"/>
  <c r="Y10" i="14"/>
  <c r="Z10" i="14"/>
  <c r="AA10" i="14"/>
  <c r="AB10" i="14"/>
  <c r="AC10" i="14"/>
  <c r="AD10" i="14"/>
  <c r="AE10" i="14"/>
  <c r="AF10" i="14"/>
  <c r="AG10" i="14"/>
  <c r="AH10" i="14"/>
  <c r="AI10" i="14"/>
  <c r="AJ10" i="14"/>
  <c r="AK10" i="14"/>
  <c r="AL10" i="14"/>
  <c r="AM10" i="14"/>
  <c r="AN10" i="14"/>
  <c r="AO10" i="14"/>
  <c r="AP10" i="14"/>
  <c r="AQ10" i="14"/>
  <c r="AR10" i="14"/>
  <c r="AS10" i="14"/>
  <c r="AT10" i="14"/>
  <c r="AU10" i="14"/>
  <c r="AV10" i="14"/>
  <c r="AW10" i="14"/>
  <c r="D3" i="14"/>
  <c r="E3" i="14"/>
  <c r="F3" i="14"/>
  <c r="G3" i="14"/>
  <c r="H3" i="14"/>
  <c r="I3" i="14"/>
  <c r="J3" i="14"/>
  <c r="K3" i="14"/>
  <c r="L3" i="14"/>
  <c r="M3" i="14"/>
  <c r="N3" i="14"/>
  <c r="O3" i="14"/>
  <c r="D4" i="14"/>
  <c r="E4" i="14"/>
  <c r="F4" i="14"/>
  <c r="G4" i="14"/>
  <c r="H4" i="14"/>
  <c r="I4" i="14"/>
  <c r="J4" i="14"/>
  <c r="K4" i="14"/>
  <c r="L4" i="14"/>
  <c r="M4" i="14"/>
  <c r="N4" i="14"/>
  <c r="O4" i="14"/>
  <c r="D5" i="14"/>
  <c r="E5" i="14"/>
  <c r="F5" i="14"/>
  <c r="G5" i="14"/>
  <c r="H5" i="14"/>
  <c r="I5" i="14"/>
  <c r="J5" i="14"/>
  <c r="K5" i="14"/>
  <c r="L5" i="14"/>
  <c r="M5" i="14"/>
  <c r="N5" i="14"/>
  <c r="O5" i="14"/>
  <c r="D6" i="14"/>
  <c r="E6" i="14"/>
  <c r="F6" i="14"/>
  <c r="G6" i="14"/>
  <c r="H6" i="14"/>
  <c r="I6" i="14"/>
  <c r="J6" i="14"/>
  <c r="K6" i="14"/>
  <c r="L6" i="14"/>
  <c r="M6" i="14"/>
  <c r="N6" i="14"/>
  <c r="O6" i="14"/>
  <c r="D7" i="14"/>
  <c r="E7" i="14"/>
  <c r="F7" i="14"/>
  <c r="G7" i="14"/>
  <c r="H7" i="14"/>
  <c r="I7" i="14"/>
  <c r="J7" i="14"/>
  <c r="K7" i="14"/>
  <c r="L7" i="14"/>
  <c r="M7" i="14"/>
  <c r="N7" i="14"/>
  <c r="O7" i="14"/>
  <c r="D8" i="14"/>
  <c r="E8" i="14"/>
  <c r="F8" i="14"/>
  <c r="G8" i="14"/>
  <c r="H8" i="14"/>
  <c r="I8" i="14"/>
  <c r="J8" i="14"/>
  <c r="K8" i="14"/>
  <c r="L8" i="14"/>
  <c r="M8" i="14"/>
  <c r="N8" i="14"/>
  <c r="O8" i="14"/>
  <c r="D9" i="14"/>
  <c r="E9" i="14"/>
  <c r="F9" i="14"/>
  <c r="G9" i="14"/>
  <c r="H9" i="14"/>
  <c r="I9" i="14"/>
  <c r="J9" i="14"/>
  <c r="K9" i="14"/>
  <c r="L9" i="14"/>
  <c r="M9" i="14"/>
  <c r="N9" i="14"/>
  <c r="O9" i="14"/>
  <c r="D10" i="14"/>
  <c r="E10" i="14"/>
  <c r="F10" i="14"/>
  <c r="G10" i="14"/>
  <c r="H10" i="14"/>
  <c r="I10" i="14"/>
  <c r="J10" i="14"/>
  <c r="K10" i="14"/>
  <c r="L10" i="14"/>
  <c r="M10" i="14"/>
  <c r="N10" i="14"/>
  <c r="O10" i="14"/>
  <c r="K155" i="14" l="1"/>
  <c r="K179" i="14"/>
  <c r="K170" i="14"/>
  <c r="K193" i="14"/>
  <c r="K161" i="14"/>
  <c r="K152" i="14"/>
  <c r="K162" i="14"/>
  <c r="K185" i="14"/>
  <c r="K176" i="14"/>
  <c r="K209" i="14"/>
  <c r="K225" i="14"/>
  <c r="K210" i="14"/>
  <c r="K226" i="14"/>
  <c r="K211" i="14"/>
  <c r="K227" i="14"/>
  <c r="K208" i="14"/>
  <c r="K224" i="14"/>
  <c r="K240" i="14"/>
  <c r="K216" i="14"/>
  <c r="K237" i="14"/>
  <c r="K238" i="14"/>
  <c r="K220" i="14"/>
  <c r="K213" i="14"/>
  <c r="K229" i="14"/>
  <c r="K214" i="14"/>
  <c r="K230" i="14"/>
  <c r="K215" i="14"/>
  <c r="K231" i="14"/>
  <c r="K212" i="14"/>
  <c r="K228" i="14"/>
  <c r="K217" i="14"/>
  <c r="K233" i="14"/>
  <c r="K218" i="14"/>
  <c r="K234" i="14"/>
  <c r="K219" i="14"/>
  <c r="K235" i="14"/>
  <c r="K232" i="14"/>
  <c r="K221" i="14"/>
  <c r="K222" i="14"/>
  <c r="K223" i="14"/>
  <c r="K239" i="14"/>
  <c r="K236" i="14"/>
  <c r="K202" i="14"/>
  <c r="K184" i="14"/>
  <c r="K194" i="14"/>
  <c r="K153" i="14"/>
  <c r="AP27" i="23"/>
  <c r="K172" i="14"/>
  <c r="AL27" i="23"/>
  <c r="K204" i="14"/>
  <c r="AR25" i="23"/>
  <c r="K158" i="14"/>
  <c r="AQ24" i="23"/>
  <c r="K167" i="14"/>
  <c r="K203" i="14"/>
  <c r="AR27" i="23"/>
  <c r="K156" i="14"/>
  <c r="AN27" i="23"/>
  <c r="K188" i="14"/>
  <c r="K195" i="14"/>
  <c r="K163" i="14"/>
  <c r="AQ26" i="23"/>
  <c r="K165" i="14"/>
  <c r="AM26" i="23"/>
  <c r="K197" i="14"/>
  <c r="K186" i="14"/>
  <c r="K154" i="14"/>
  <c r="AP25" i="23"/>
  <c r="K174" i="14"/>
  <c r="AL25" i="23"/>
  <c r="K206" i="14"/>
  <c r="K177" i="14"/>
  <c r="AS24" i="23"/>
  <c r="K151" i="14"/>
  <c r="AO24" i="23"/>
  <c r="K183" i="14"/>
  <c r="K200" i="14"/>
  <c r="K168" i="14"/>
  <c r="AO26" i="23"/>
  <c r="K181" i="14"/>
  <c r="AN25" i="23"/>
  <c r="K190" i="14"/>
  <c r="AM24" i="23"/>
  <c r="K199" i="14"/>
  <c r="AO27" i="23"/>
  <c r="K180" i="14"/>
  <c r="K171" i="14"/>
  <c r="AR26" i="23"/>
  <c r="K157" i="14"/>
  <c r="AN26" i="23"/>
  <c r="K189" i="14"/>
  <c r="AQ25" i="23"/>
  <c r="K166" i="14"/>
  <c r="AM25" i="23"/>
  <c r="K198" i="14"/>
  <c r="AP24" i="23"/>
  <c r="K175" i="14"/>
  <c r="AL24" i="23"/>
  <c r="K207" i="14"/>
  <c r="AQ27" i="23"/>
  <c r="K164" i="14"/>
  <c r="AM27" i="23"/>
  <c r="K196" i="14"/>
  <c r="K187" i="14"/>
  <c r="AP26" i="23"/>
  <c r="K173" i="14"/>
  <c r="AL26" i="23"/>
  <c r="K205" i="14"/>
  <c r="K178" i="14"/>
  <c r="AO25" i="23"/>
  <c r="K182" i="14"/>
  <c r="K201" i="14"/>
  <c r="K169" i="14"/>
  <c r="AR24" i="23"/>
  <c r="K159" i="14"/>
  <c r="AN24" i="23"/>
  <c r="K191" i="14"/>
  <c r="K192" i="14"/>
  <c r="K160" i="14"/>
  <c r="G64" i="23"/>
  <c r="H64" i="23"/>
  <c r="D54" i="23"/>
  <c r="C54" i="23"/>
  <c r="D57" i="23"/>
  <c r="C57" i="23"/>
  <c r="D53" i="23"/>
  <c r="C53" i="23"/>
  <c r="D56" i="23"/>
  <c r="C56" i="23"/>
  <c r="D52" i="23"/>
  <c r="C52" i="23"/>
  <c r="D55" i="23"/>
  <c r="C55" i="23"/>
  <c r="K81" i="14"/>
  <c r="K80" i="14"/>
  <c r="AK30" i="23"/>
  <c r="AC30" i="23"/>
  <c r="K142" i="14"/>
  <c r="AF29" i="23"/>
  <c r="AI25" i="23"/>
  <c r="AE25" i="23"/>
  <c r="W25" i="23"/>
  <c r="K52" i="14"/>
  <c r="O25" i="23"/>
  <c r="K116" i="14"/>
  <c r="K25" i="23"/>
  <c r="K103" i="14"/>
  <c r="AK31" i="23"/>
  <c r="AC31" i="23"/>
  <c r="K143" i="14"/>
  <c r="AF30" i="23"/>
  <c r="D27" i="23"/>
  <c r="K49" i="14"/>
  <c r="AI26" i="23"/>
  <c r="AE26" i="23"/>
  <c r="AA26" i="23"/>
  <c r="K42" i="14"/>
  <c r="W26" i="23"/>
  <c r="K51" i="14"/>
  <c r="S26" i="23"/>
  <c r="K83" i="14"/>
  <c r="O26" i="23"/>
  <c r="K115" i="14"/>
  <c r="K26" i="23"/>
  <c r="K104" i="14"/>
  <c r="G26" i="23"/>
  <c r="K72" i="14"/>
  <c r="AH25" i="23"/>
  <c r="AD25" i="23"/>
  <c r="K145" i="14"/>
  <c r="V25" i="23"/>
  <c r="K60" i="14"/>
  <c r="R25" i="23"/>
  <c r="K92" i="14"/>
  <c r="N25" i="23"/>
  <c r="K124" i="14"/>
  <c r="J25" i="23"/>
  <c r="K95" i="14"/>
  <c r="AK24" i="23"/>
  <c r="AC24" i="23"/>
  <c r="K136" i="14"/>
  <c r="U24" i="23"/>
  <c r="K69" i="14"/>
  <c r="I24" i="23"/>
  <c r="K86" i="14"/>
  <c r="AJ31" i="23"/>
  <c r="AB31" i="23"/>
  <c r="K135" i="14"/>
  <c r="AE30" i="23"/>
  <c r="AF28" i="23"/>
  <c r="AB28" i="23"/>
  <c r="K132" i="14"/>
  <c r="AE27" i="23"/>
  <c r="W27" i="23"/>
  <c r="K50" i="14"/>
  <c r="S27" i="23"/>
  <c r="K82" i="14"/>
  <c r="O27" i="23"/>
  <c r="K114" i="14"/>
  <c r="K27" i="23"/>
  <c r="K105" i="14"/>
  <c r="G27" i="23"/>
  <c r="K73" i="14"/>
  <c r="AH26" i="23"/>
  <c r="AD26" i="23"/>
  <c r="K146" i="14"/>
  <c r="V26" i="23"/>
  <c r="K59" i="14"/>
  <c r="R26" i="23"/>
  <c r="K91" i="14"/>
  <c r="N26" i="23"/>
  <c r="K123" i="14"/>
  <c r="J26" i="23"/>
  <c r="K96" i="14"/>
  <c r="F26" i="23"/>
  <c r="K64" i="14"/>
  <c r="AK25" i="23"/>
  <c r="AG25" i="23"/>
  <c r="AC25" i="23"/>
  <c r="K137" i="14"/>
  <c r="U25" i="23"/>
  <c r="K68" i="14"/>
  <c r="Q25" i="23"/>
  <c r="K100" i="14"/>
  <c r="M25" i="23"/>
  <c r="K119" i="14"/>
  <c r="I25" i="23"/>
  <c r="K87" i="14"/>
  <c r="E25" i="23"/>
  <c r="K55" i="14"/>
  <c r="AJ24" i="23"/>
  <c r="AF24" i="23"/>
  <c r="AB24" i="23"/>
  <c r="K128" i="14"/>
  <c r="X24" i="23"/>
  <c r="K45" i="14"/>
  <c r="T24" i="23"/>
  <c r="K77" i="14"/>
  <c r="P24" i="23"/>
  <c r="K109" i="14"/>
  <c r="L24" i="23"/>
  <c r="K110" i="14"/>
  <c r="H24" i="23"/>
  <c r="K78" i="14"/>
  <c r="K46" i="14"/>
  <c r="AH31" i="23"/>
  <c r="AD31" i="23"/>
  <c r="AG30" i="23"/>
  <c r="AJ29" i="23"/>
  <c r="AB29" i="23"/>
  <c r="K133" i="14"/>
  <c r="AH28" i="23"/>
  <c r="AD28" i="23"/>
  <c r="K148" i="14"/>
  <c r="AK27" i="23"/>
  <c r="AG27" i="23"/>
  <c r="AC27" i="23"/>
  <c r="K139" i="14"/>
  <c r="U27" i="23"/>
  <c r="K66" i="14"/>
  <c r="Q27" i="23"/>
  <c r="K98" i="14"/>
  <c r="M27" i="23"/>
  <c r="K121" i="14"/>
  <c r="I27" i="23"/>
  <c r="K89" i="14"/>
  <c r="E27" i="23"/>
  <c r="K57" i="14"/>
  <c r="AJ26" i="23"/>
  <c r="AF26" i="23"/>
  <c r="AB26" i="23"/>
  <c r="K130" i="14"/>
  <c r="X26" i="23"/>
  <c r="K43" i="14"/>
  <c r="T26" i="23"/>
  <c r="K75" i="14"/>
  <c r="P26" i="23"/>
  <c r="K107" i="14"/>
  <c r="L26" i="23"/>
  <c r="K112" i="14"/>
  <c r="D26" i="23"/>
  <c r="K48" i="14"/>
  <c r="S25" i="23"/>
  <c r="K84" i="14"/>
  <c r="G25" i="23"/>
  <c r="K71" i="14"/>
  <c r="AH24" i="23"/>
  <c r="AD24" i="23"/>
  <c r="K144" i="14"/>
  <c r="V24" i="23"/>
  <c r="K61" i="14"/>
  <c r="R24" i="23"/>
  <c r="K93" i="14"/>
  <c r="N24" i="23"/>
  <c r="K125" i="14"/>
  <c r="J24" i="23"/>
  <c r="K94" i="14"/>
  <c r="F24" i="23"/>
  <c r="K62" i="14"/>
  <c r="AG31" i="23"/>
  <c r="AJ30" i="23"/>
  <c r="AB30" i="23"/>
  <c r="K134" i="14"/>
  <c r="AI29" i="23"/>
  <c r="AE29" i="23"/>
  <c r="AK28" i="23"/>
  <c r="AG28" i="23"/>
  <c r="AC28" i="23"/>
  <c r="K140" i="14"/>
  <c r="AJ27" i="23"/>
  <c r="AF27" i="23"/>
  <c r="AB27" i="23"/>
  <c r="K131" i="14"/>
  <c r="T27" i="23"/>
  <c r="K74" i="14"/>
  <c r="P27" i="23"/>
  <c r="K106" i="14"/>
  <c r="L27" i="23"/>
  <c r="K113" i="14"/>
  <c r="K63" i="14"/>
  <c r="AG24" i="23"/>
  <c r="Q24" i="23"/>
  <c r="K101" i="14"/>
  <c r="M24" i="23"/>
  <c r="K118" i="14"/>
  <c r="E24" i="23"/>
  <c r="K54" i="14"/>
  <c r="AF31" i="23"/>
  <c r="AI30" i="23"/>
  <c r="AA30" i="23"/>
  <c r="K126" i="14"/>
  <c r="AH29" i="23"/>
  <c r="AD29" i="23"/>
  <c r="K149" i="14"/>
  <c r="AJ28" i="23"/>
  <c r="AI27" i="23"/>
  <c r="AI31" i="23"/>
  <c r="AE31" i="23"/>
  <c r="AA31" i="23"/>
  <c r="K127" i="14"/>
  <c r="AH30" i="23"/>
  <c r="AD30" i="23"/>
  <c r="K150" i="14"/>
  <c r="AK29" i="23"/>
  <c r="AG29" i="23"/>
  <c r="AC29" i="23"/>
  <c r="K141" i="14"/>
  <c r="AI28" i="23"/>
  <c r="AE28" i="23"/>
  <c r="AH27" i="23"/>
  <c r="AD27" i="23"/>
  <c r="K147" i="14"/>
  <c r="V27" i="23"/>
  <c r="K58" i="14"/>
  <c r="R27" i="23"/>
  <c r="K90" i="14"/>
  <c r="N27" i="23"/>
  <c r="K122" i="14"/>
  <c r="J27" i="23"/>
  <c r="K97" i="14"/>
  <c r="F27" i="23"/>
  <c r="K65" i="14"/>
  <c r="AK26" i="23"/>
  <c r="AG26" i="23"/>
  <c r="AC26" i="23"/>
  <c r="K138" i="14"/>
  <c r="U26" i="23"/>
  <c r="K67" i="14"/>
  <c r="Q26" i="23"/>
  <c r="K99" i="14"/>
  <c r="M26" i="23"/>
  <c r="K120" i="14"/>
  <c r="I26" i="23"/>
  <c r="K88" i="14"/>
  <c r="E26" i="23"/>
  <c r="K56" i="14"/>
  <c r="AJ25" i="23"/>
  <c r="AF25" i="23"/>
  <c r="AB25" i="23"/>
  <c r="K129" i="14"/>
  <c r="X25" i="23"/>
  <c r="K44" i="14"/>
  <c r="T25" i="23"/>
  <c r="K76" i="14"/>
  <c r="P25" i="23"/>
  <c r="K108" i="14"/>
  <c r="L25" i="23"/>
  <c r="K111" i="14"/>
  <c r="H25" i="23"/>
  <c r="K79" i="14"/>
  <c r="D25" i="23"/>
  <c r="K47" i="14"/>
  <c r="AI24" i="23"/>
  <c r="AE24" i="23"/>
  <c r="AA24" i="23"/>
  <c r="K41" i="14"/>
  <c r="W24" i="23"/>
  <c r="K53" i="14"/>
  <c r="S24" i="23"/>
  <c r="K85" i="14"/>
  <c r="O24" i="23"/>
  <c r="K117" i="14"/>
  <c r="K24" i="23"/>
  <c r="K102" i="14"/>
  <c r="G24" i="23"/>
  <c r="K70" i="14"/>
  <c r="D24" i="23"/>
  <c r="G31" i="23"/>
  <c r="H31" i="23"/>
  <c r="H26" i="23"/>
  <c r="J29" i="23"/>
  <c r="F25" i="23"/>
  <c r="L31" i="23"/>
  <c r="K30" i="23"/>
  <c r="C29" i="23"/>
  <c r="E29" i="23"/>
  <c r="E31" i="23"/>
  <c r="D30" i="23"/>
  <c r="H27" i="23"/>
  <c r="E28" i="23"/>
  <c r="D31" i="23"/>
  <c r="G29" i="23"/>
  <c r="BA19" i="33" l="1"/>
  <c r="AZ19" i="33"/>
  <c r="AY19" i="33"/>
  <c r="AX19" i="33"/>
  <c r="AW19" i="33"/>
  <c r="AV19" i="33"/>
  <c r="AU19" i="33"/>
  <c r="AT19" i="33"/>
  <c r="AS19" i="33"/>
  <c r="AR19" i="33"/>
  <c r="AQ19" i="33"/>
  <c r="AP19" i="33"/>
  <c r="AO19" i="33"/>
  <c r="AN19" i="33"/>
  <c r="AM19" i="33"/>
  <c r="AL19" i="33"/>
  <c r="AK19" i="33"/>
  <c r="AJ19" i="33"/>
  <c r="AI19" i="33"/>
  <c r="AH19" i="33"/>
  <c r="AG19" i="33"/>
  <c r="AF19" i="33"/>
  <c r="AE19" i="33"/>
  <c r="AD19" i="33"/>
  <c r="BA18" i="33"/>
  <c r="AZ18" i="33"/>
  <c r="AY18" i="33"/>
  <c r="AX18" i="33"/>
  <c r="AW18" i="33"/>
  <c r="AV18" i="33"/>
  <c r="AU18" i="33"/>
  <c r="AT18" i="33"/>
  <c r="AS18" i="33"/>
  <c r="AR18" i="33"/>
  <c r="AQ18" i="33"/>
  <c r="AP18" i="33"/>
  <c r="AO18" i="33"/>
  <c r="AN18" i="33"/>
  <c r="AM18" i="33"/>
  <c r="AL18" i="33"/>
  <c r="AK18" i="33"/>
  <c r="AJ18" i="33"/>
  <c r="AI18" i="33"/>
  <c r="AH18" i="33"/>
  <c r="AG18" i="33"/>
  <c r="AF18" i="33"/>
  <c r="AE18" i="33"/>
  <c r="AD18" i="33"/>
  <c r="BA17" i="33"/>
  <c r="AZ17" i="33"/>
  <c r="AY17" i="33"/>
  <c r="AX17" i="33"/>
  <c r="AW17" i="33"/>
  <c r="AV17" i="33"/>
  <c r="AU17" i="33"/>
  <c r="AT17" i="33"/>
  <c r="AS17" i="33"/>
  <c r="AR17" i="33"/>
  <c r="AQ17" i="33"/>
  <c r="AP17" i="33"/>
  <c r="AO17" i="33"/>
  <c r="AN17" i="33"/>
  <c r="AM17" i="33"/>
  <c r="AL17" i="33"/>
  <c r="AK17" i="33"/>
  <c r="AJ17" i="33"/>
  <c r="AI17" i="33"/>
  <c r="AH17" i="33"/>
  <c r="AG17" i="33"/>
  <c r="AF17" i="33"/>
  <c r="AE17" i="33"/>
  <c r="AD17" i="33"/>
  <c r="BA16" i="33"/>
  <c r="AZ16" i="33"/>
  <c r="AY16" i="33"/>
  <c r="AX16" i="33"/>
  <c r="AW16" i="33"/>
  <c r="AV16" i="33"/>
  <c r="AU16" i="33"/>
  <c r="AT16" i="33"/>
  <c r="AS16" i="33"/>
  <c r="AR16" i="33"/>
  <c r="AQ16" i="33"/>
  <c r="AP16" i="33"/>
  <c r="AO16" i="33"/>
  <c r="AN16" i="33"/>
  <c r="AM16" i="33"/>
  <c r="AL16" i="33"/>
  <c r="AK16" i="33"/>
  <c r="AJ16" i="33"/>
  <c r="AI16" i="33"/>
  <c r="AH16" i="33"/>
  <c r="AG16" i="33"/>
  <c r="AF16" i="33"/>
  <c r="AE16" i="33"/>
  <c r="AD16" i="33"/>
  <c r="BA15" i="33"/>
  <c r="AZ15" i="33"/>
  <c r="AY15" i="33"/>
  <c r="AX15" i="33"/>
  <c r="AW15" i="33"/>
  <c r="AV15" i="33"/>
  <c r="AU15" i="33"/>
  <c r="AT15" i="33"/>
  <c r="AS15" i="33"/>
  <c r="AR15" i="33"/>
  <c r="AQ15" i="33"/>
  <c r="AP15" i="33"/>
  <c r="AO15" i="33"/>
  <c r="AN15" i="33"/>
  <c r="AM15" i="33"/>
  <c r="AL15" i="33"/>
  <c r="AK15" i="33"/>
  <c r="AJ15" i="33"/>
  <c r="AI15" i="33"/>
  <c r="AH15" i="33"/>
  <c r="AG15" i="33"/>
  <c r="AF15" i="33"/>
  <c r="AE15" i="33"/>
  <c r="AD15" i="33"/>
  <c r="BA14" i="33"/>
  <c r="AZ14" i="33"/>
  <c r="AY14" i="33"/>
  <c r="AX14" i="33"/>
  <c r="AW14" i="33"/>
  <c r="AV14" i="33"/>
  <c r="AU14" i="33"/>
  <c r="AT14" i="33"/>
  <c r="AS14" i="33"/>
  <c r="AR14" i="33"/>
  <c r="AQ14" i="33"/>
  <c r="AP14" i="33"/>
  <c r="AO14" i="33"/>
  <c r="AN14" i="33"/>
  <c r="AM14" i="33"/>
  <c r="AL14" i="33"/>
  <c r="AK14" i="33"/>
  <c r="AJ14" i="33"/>
  <c r="AI14" i="33"/>
  <c r="AH14" i="33"/>
  <c r="AG14" i="33"/>
  <c r="AF14" i="33"/>
  <c r="AE14" i="33"/>
  <c r="AD14" i="33"/>
  <c r="BA13" i="33"/>
  <c r="AZ13" i="33"/>
  <c r="AY13" i="33"/>
  <c r="AX13" i="33"/>
  <c r="AW13" i="33"/>
  <c r="AV13" i="33"/>
  <c r="AU13" i="33"/>
  <c r="AT13" i="33"/>
  <c r="AS13" i="33"/>
  <c r="AR13" i="33"/>
  <c r="AQ13" i="33"/>
  <c r="AP13" i="33"/>
  <c r="AO13" i="33"/>
  <c r="AN13" i="33"/>
  <c r="AM13" i="33"/>
  <c r="AL13" i="33"/>
  <c r="AK13" i="33"/>
  <c r="AJ13" i="33"/>
  <c r="AI13" i="33"/>
  <c r="AH13" i="33"/>
  <c r="AG13" i="33"/>
  <c r="AF13" i="33"/>
  <c r="AE13" i="33"/>
  <c r="AD13" i="33"/>
  <c r="BA12" i="33"/>
  <c r="AZ12" i="33"/>
  <c r="AY12" i="33"/>
  <c r="AX12" i="33"/>
  <c r="AW12" i="33"/>
  <c r="AV12" i="33"/>
  <c r="AU12" i="33"/>
  <c r="AT12" i="33"/>
  <c r="AS12" i="33"/>
  <c r="AR12" i="33"/>
  <c r="AQ12" i="33"/>
  <c r="AP12" i="33"/>
  <c r="AO12" i="33"/>
  <c r="AN12" i="33"/>
  <c r="AM12" i="33"/>
  <c r="AL12" i="33"/>
  <c r="AK12" i="33"/>
  <c r="AJ12" i="33"/>
  <c r="AI12" i="33"/>
  <c r="AH12" i="33"/>
  <c r="AG12" i="33"/>
  <c r="AF12" i="33"/>
  <c r="AE12" i="33"/>
  <c r="AD12" i="33"/>
  <c r="BA11" i="33"/>
  <c r="AZ11" i="33"/>
  <c r="AY11" i="33"/>
  <c r="AX11" i="33"/>
  <c r="AW11" i="33"/>
  <c r="AV11" i="33"/>
  <c r="AU11" i="33"/>
  <c r="AT11" i="33"/>
  <c r="AS11" i="33"/>
  <c r="AR11" i="33"/>
  <c r="AQ11" i="33"/>
  <c r="AP11" i="33"/>
  <c r="AO11" i="33"/>
  <c r="AN11" i="33"/>
  <c r="AM11" i="33"/>
  <c r="AL11" i="33"/>
  <c r="AK11" i="33"/>
  <c r="AJ11" i="33"/>
  <c r="AI11" i="33"/>
  <c r="AH11" i="33"/>
  <c r="AG11" i="33"/>
  <c r="AF11" i="33"/>
  <c r="AE11" i="33"/>
  <c r="AD11" i="33"/>
  <c r="BA10" i="33"/>
  <c r="AZ10" i="33"/>
  <c r="AY10" i="33"/>
  <c r="AX10" i="33"/>
  <c r="AW10" i="33"/>
  <c r="AV10" i="33"/>
  <c r="AU10" i="33"/>
  <c r="AT10" i="33"/>
  <c r="AS10" i="33"/>
  <c r="AR10" i="33"/>
  <c r="AQ10" i="33"/>
  <c r="AP10" i="33"/>
  <c r="AO10" i="33"/>
  <c r="AN10" i="33"/>
  <c r="AM10" i="33"/>
  <c r="AL10" i="33"/>
  <c r="AK10" i="33"/>
  <c r="AJ10" i="33"/>
  <c r="AI10" i="33"/>
  <c r="AH10" i="33"/>
  <c r="AG10" i="33"/>
  <c r="AF10" i="33"/>
  <c r="AE10" i="33"/>
  <c r="AD10" i="33"/>
  <c r="BA9" i="33"/>
  <c r="AZ9" i="33"/>
  <c r="AY9" i="33"/>
  <c r="AX9" i="33"/>
  <c r="AW9" i="33"/>
  <c r="AV9" i="33"/>
  <c r="AU9" i="33"/>
  <c r="AT9" i="33"/>
  <c r="AS9" i="33"/>
  <c r="AR9" i="33"/>
  <c r="AQ9" i="33"/>
  <c r="AP9" i="33"/>
  <c r="AO9" i="33"/>
  <c r="AN9" i="33"/>
  <c r="AM9" i="33"/>
  <c r="AL9" i="33"/>
  <c r="AK9" i="33"/>
  <c r="AJ9" i="33"/>
  <c r="AI9" i="33"/>
  <c r="AH9" i="33"/>
  <c r="AG9" i="33"/>
  <c r="AF9" i="33"/>
  <c r="AE9" i="33"/>
  <c r="AD9" i="33"/>
  <c r="BA8" i="33"/>
  <c r="AZ8" i="33"/>
  <c r="AY8" i="33"/>
  <c r="AX8" i="33"/>
  <c r="AW8" i="33"/>
  <c r="AV8" i="33"/>
  <c r="AU8" i="33"/>
  <c r="AT8" i="33"/>
  <c r="AS8" i="33"/>
  <c r="AR8" i="33"/>
  <c r="AQ8" i="33"/>
  <c r="AP8" i="33"/>
  <c r="AO8" i="33"/>
  <c r="AN8" i="33"/>
  <c r="AM8" i="33"/>
  <c r="AL8" i="33"/>
  <c r="AK8" i="33"/>
  <c r="AJ8" i="33"/>
  <c r="AI8" i="33"/>
  <c r="AH8" i="33"/>
  <c r="AG8" i="33"/>
  <c r="AF8" i="33"/>
  <c r="AE8" i="33"/>
  <c r="AD8" i="33"/>
  <c r="BA7" i="33"/>
  <c r="AZ7" i="33"/>
  <c r="AY7" i="33"/>
  <c r="AX7" i="33"/>
  <c r="AW7" i="33"/>
  <c r="AV7" i="33"/>
  <c r="AU7" i="33"/>
  <c r="AT7" i="33"/>
  <c r="AS7" i="33"/>
  <c r="AR7" i="33"/>
  <c r="AQ7" i="33"/>
  <c r="AP7" i="33"/>
  <c r="AO7" i="33"/>
  <c r="AN7" i="33"/>
  <c r="AM7" i="33"/>
  <c r="AL7" i="33"/>
  <c r="AK7" i="33"/>
  <c r="AJ7" i="33"/>
  <c r="AI7" i="33"/>
  <c r="AH7" i="33"/>
  <c r="AG7" i="33"/>
  <c r="AF7" i="33"/>
  <c r="AE7" i="33"/>
  <c r="AD7" i="33"/>
  <c r="BA6" i="33"/>
  <c r="AZ6" i="33"/>
  <c r="AY6" i="33"/>
  <c r="AX6" i="33"/>
  <c r="AW6" i="33"/>
  <c r="AV6" i="33"/>
  <c r="AU6" i="33"/>
  <c r="AT6" i="33"/>
  <c r="AS6" i="33"/>
  <c r="AR6" i="33"/>
  <c r="AQ6" i="33"/>
  <c r="AP6" i="33"/>
  <c r="AO6" i="33"/>
  <c r="AN6" i="33"/>
  <c r="AM6" i="33"/>
  <c r="AL6" i="33"/>
  <c r="AK6" i="33"/>
  <c r="AJ6" i="33"/>
  <c r="AI6" i="33"/>
  <c r="AH6" i="33"/>
  <c r="AG6" i="33"/>
  <c r="AF6" i="33"/>
  <c r="AE6" i="33"/>
  <c r="AD6" i="33"/>
  <c r="BA5" i="33"/>
  <c r="AZ5" i="33"/>
  <c r="AY5" i="33"/>
  <c r="AX5" i="33"/>
  <c r="AW5" i="33"/>
  <c r="AV5" i="33"/>
  <c r="AU5" i="33"/>
  <c r="AT5" i="33"/>
  <c r="AS5" i="33"/>
  <c r="AR5" i="33"/>
  <c r="AQ5" i="33"/>
  <c r="AP5" i="33"/>
  <c r="AO5" i="33"/>
  <c r="AN5" i="33"/>
  <c r="AM5" i="33"/>
  <c r="AL5" i="33"/>
  <c r="AK5" i="33"/>
  <c r="AJ5" i="33"/>
  <c r="AI5" i="33"/>
  <c r="AH5" i="33"/>
  <c r="AG5" i="33"/>
  <c r="AF5" i="33"/>
  <c r="AE5" i="33"/>
  <c r="AD5" i="33"/>
  <c r="BA4" i="33"/>
  <c r="AZ4" i="33"/>
  <c r="AY4" i="33"/>
  <c r="AX4" i="33"/>
  <c r="AW4" i="33"/>
  <c r="AV4" i="33"/>
  <c r="AU4" i="33"/>
  <c r="AT4" i="33"/>
  <c r="AS4" i="33"/>
  <c r="AR4" i="33"/>
  <c r="AQ4" i="33"/>
  <c r="AP4" i="33"/>
  <c r="AO4" i="33"/>
  <c r="AN4" i="33"/>
  <c r="AM4" i="33"/>
  <c r="AL4" i="33"/>
  <c r="AK4" i="33"/>
  <c r="AJ4" i="33"/>
  <c r="AI4" i="33"/>
  <c r="AH4" i="33"/>
  <c r="AG4" i="33"/>
  <c r="AF4" i="33"/>
  <c r="AE4" i="33"/>
  <c r="AD4" i="33"/>
  <c r="Y141" i="12" l="1"/>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Y301" i="12"/>
  <c r="Y302" i="12"/>
  <c r="Y303" i="12"/>
  <c r="Y304" i="12"/>
  <c r="Y305" i="12"/>
  <c r="Y306" i="12"/>
  <c r="Y307" i="12"/>
  <c r="Y308" i="12"/>
  <c r="Y309" i="12"/>
  <c r="Y310" i="12"/>
  <c r="Y311" i="12"/>
  <c r="Y312" i="12"/>
  <c r="Y313" i="12"/>
  <c r="Y314" i="12"/>
  <c r="Y315" i="12"/>
  <c r="Y316" i="12"/>
  <c r="Y317" i="12"/>
  <c r="Y318" i="12"/>
  <c r="Y319" i="12"/>
  <c r="Y320" i="12"/>
  <c r="Y321" i="12"/>
  <c r="Y322" i="12"/>
  <c r="Y323" i="12"/>
  <c r="Y324" i="12"/>
  <c r="Y325" i="12"/>
  <c r="Y326" i="12"/>
  <c r="Y327" i="12"/>
  <c r="Y328" i="12"/>
  <c r="Y329" i="12"/>
  <c r="Y330" i="12"/>
  <c r="Y331" i="12"/>
  <c r="Y332" i="12"/>
  <c r="Y333" i="12"/>
  <c r="Y334" i="12"/>
  <c r="Y335" i="12"/>
  <c r="Y336" i="12"/>
  <c r="Y337" i="12"/>
  <c r="Y338" i="12"/>
  <c r="Y339" i="12"/>
  <c r="Y140" i="12"/>
  <c r="AV128" i="12"/>
  <c r="AW128" i="12"/>
  <c r="AN128" i="12"/>
  <c r="AO128" i="12"/>
  <c r="AP128" i="12"/>
  <c r="AQ128" i="12"/>
  <c r="AR128" i="12"/>
  <c r="AS128" i="12"/>
  <c r="AT128" i="12"/>
  <c r="AU128" i="12"/>
  <c r="AL128" i="12"/>
  <c r="AM128" i="12"/>
  <c r="AP58" i="33" l="1"/>
  <c r="AQ58" i="33"/>
  <c r="AR58" i="33"/>
  <c r="AS58" i="33"/>
  <c r="AT58" i="33"/>
  <c r="AU58" i="33"/>
  <c r="AV58" i="33"/>
  <c r="AW58" i="33"/>
  <c r="AX58" i="33"/>
  <c r="AY58" i="33"/>
  <c r="AZ58" i="33"/>
  <c r="AP59" i="33"/>
  <c r="AQ59" i="33"/>
  <c r="AR59" i="33"/>
  <c r="AS59" i="33"/>
  <c r="AT59" i="33"/>
  <c r="AU59" i="33"/>
  <c r="AV59" i="33"/>
  <c r="AW59" i="33"/>
  <c r="AX59" i="33"/>
  <c r="AY59" i="33"/>
  <c r="AZ59" i="33"/>
  <c r="AP60" i="33"/>
  <c r="AQ60" i="33"/>
  <c r="AR60" i="33"/>
  <c r="AS60" i="33"/>
  <c r="AT60" i="33"/>
  <c r="AU60" i="33"/>
  <c r="AV60" i="33"/>
  <c r="AW60" i="33"/>
  <c r="AX60" i="33"/>
  <c r="AY60" i="33"/>
  <c r="AZ60" i="33"/>
  <c r="AP61" i="33"/>
  <c r="AQ61" i="33"/>
  <c r="AR61" i="33"/>
  <c r="AS61" i="33"/>
  <c r="AT61" i="33"/>
  <c r="AU61" i="33"/>
  <c r="AV61" i="33"/>
  <c r="AW61" i="33"/>
  <c r="AX61" i="33"/>
  <c r="AY61" i="33"/>
  <c r="AZ61" i="33"/>
  <c r="AP62" i="33"/>
  <c r="AQ62" i="33"/>
  <c r="AR62" i="33"/>
  <c r="AS62" i="33"/>
  <c r="AT62" i="33"/>
  <c r="AU62" i="33"/>
  <c r="AV62" i="33"/>
  <c r="AW62" i="33"/>
  <c r="AX62" i="33"/>
  <c r="AY62" i="33"/>
  <c r="AZ62" i="33"/>
  <c r="AP63" i="33"/>
  <c r="AQ63" i="33"/>
  <c r="AR63" i="33"/>
  <c r="AS63" i="33"/>
  <c r="AT63" i="33"/>
  <c r="AU63" i="33"/>
  <c r="AV63" i="33"/>
  <c r="AW63" i="33"/>
  <c r="AX63" i="33"/>
  <c r="AY63" i="33"/>
  <c r="AZ63" i="33"/>
  <c r="AP64" i="33"/>
  <c r="AQ64" i="33"/>
  <c r="AR64" i="33"/>
  <c r="AS64" i="33"/>
  <c r="AT64" i="33"/>
  <c r="AU64" i="33"/>
  <c r="AV64" i="33"/>
  <c r="AW64" i="33"/>
  <c r="AX64" i="33"/>
  <c r="AY64" i="33"/>
  <c r="AZ64" i="33"/>
  <c r="AQ57" i="33"/>
  <c r="AR57" i="33"/>
  <c r="AS57" i="33"/>
  <c r="AT57" i="33"/>
  <c r="AU57" i="33"/>
  <c r="AV57" i="33"/>
  <c r="AW57" i="33"/>
  <c r="AX57" i="33"/>
  <c r="AY57" i="33"/>
  <c r="AZ57" i="33"/>
  <c r="AP57" i="33"/>
  <c r="AF57" i="33"/>
  <c r="AG57" i="33"/>
  <c r="AH57" i="33"/>
  <c r="AI57" i="33"/>
  <c r="AJ57" i="33"/>
  <c r="AK57" i="33"/>
  <c r="AL57" i="33"/>
  <c r="AM57" i="33"/>
  <c r="AN57" i="33"/>
  <c r="AO57" i="33"/>
  <c r="AF58" i="33"/>
  <c r="AG58" i="33"/>
  <c r="AH58" i="33"/>
  <c r="AI58" i="33"/>
  <c r="AJ58" i="33"/>
  <c r="AK58" i="33"/>
  <c r="AL58" i="33"/>
  <c r="AM58" i="33"/>
  <c r="AN58" i="33"/>
  <c r="AO58" i="33"/>
  <c r="AF59" i="33"/>
  <c r="AG59" i="33"/>
  <c r="AH59" i="33"/>
  <c r="AI59" i="33"/>
  <c r="AJ59" i="33"/>
  <c r="AK59" i="33"/>
  <c r="AL59" i="33"/>
  <c r="AM59" i="33"/>
  <c r="AN59" i="33"/>
  <c r="AO59" i="33"/>
  <c r="AF60" i="33"/>
  <c r="AG60" i="33"/>
  <c r="AH60" i="33"/>
  <c r="AI60" i="33"/>
  <c r="AJ60" i="33"/>
  <c r="AK60" i="33"/>
  <c r="AL60" i="33"/>
  <c r="AM60" i="33"/>
  <c r="AN60" i="33"/>
  <c r="AO60" i="33"/>
  <c r="AF61" i="33"/>
  <c r="AG61" i="33"/>
  <c r="AH61" i="33"/>
  <c r="AI61" i="33"/>
  <c r="AJ61" i="33"/>
  <c r="AK61" i="33"/>
  <c r="AL61" i="33"/>
  <c r="AM61" i="33"/>
  <c r="AN61" i="33"/>
  <c r="AO61" i="33"/>
  <c r="AF62" i="33"/>
  <c r="AG62" i="33"/>
  <c r="AH62" i="33"/>
  <c r="AI62" i="33"/>
  <c r="AJ62" i="33"/>
  <c r="AK62" i="33"/>
  <c r="AL62" i="33"/>
  <c r="AM62" i="33"/>
  <c r="AN62" i="33"/>
  <c r="AO62" i="33"/>
  <c r="AF63" i="33"/>
  <c r="AG63" i="33"/>
  <c r="AH63" i="33"/>
  <c r="AI63" i="33"/>
  <c r="AJ63" i="33"/>
  <c r="AK63" i="33"/>
  <c r="AL63" i="33"/>
  <c r="AM63" i="33"/>
  <c r="AN63" i="33"/>
  <c r="AO63" i="33"/>
  <c r="AF64" i="33"/>
  <c r="AG64" i="33"/>
  <c r="AH64" i="33"/>
  <c r="AI64" i="33"/>
  <c r="AJ64" i="33"/>
  <c r="AK64" i="33"/>
  <c r="AL64" i="33"/>
  <c r="AM64" i="33"/>
  <c r="AN64" i="33"/>
  <c r="AO64" i="33"/>
  <c r="AE58" i="33"/>
  <c r="AE59" i="33"/>
  <c r="AE60" i="33"/>
  <c r="AE61" i="33"/>
  <c r="AE62" i="33"/>
  <c r="AE63" i="33"/>
  <c r="AE64" i="33"/>
  <c r="AE57" i="33"/>
  <c r="AE48" i="33"/>
  <c r="AE49" i="33"/>
  <c r="AF49" i="33"/>
  <c r="AG49" i="33"/>
  <c r="AH49" i="33"/>
  <c r="AI49" i="33"/>
  <c r="AJ49" i="33"/>
  <c r="AK49" i="33"/>
  <c r="AL49" i="33"/>
  <c r="AM49" i="33"/>
  <c r="AN49" i="33"/>
  <c r="AO49" i="33"/>
  <c r="AE50" i="33"/>
  <c r="AF50" i="33"/>
  <c r="AG50" i="33"/>
  <c r="AH50" i="33"/>
  <c r="AI50" i="33"/>
  <c r="AJ50" i="33"/>
  <c r="AK50" i="33"/>
  <c r="AL50" i="33"/>
  <c r="AM50" i="33"/>
  <c r="AN50" i="33"/>
  <c r="AO50" i="33"/>
  <c r="AE51" i="33"/>
  <c r="AF51" i="33"/>
  <c r="AG51" i="33"/>
  <c r="AH51" i="33"/>
  <c r="AI51" i="33"/>
  <c r="AJ51" i="33"/>
  <c r="AK51" i="33"/>
  <c r="AL51" i="33"/>
  <c r="AM51" i="33"/>
  <c r="AN51" i="33"/>
  <c r="AO51" i="33"/>
  <c r="AE52" i="33"/>
  <c r="AF52" i="33"/>
  <c r="AG52" i="33"/>
  <c r="AH52" i="33"/>
  <c r="AI52" i="33"/>
  <c r="AJ52" i="33"/>
  <c r="AK52" i="33"/>
  <c r="AL52" i="33"/>
  <c r="AM52" i="33"/>
  <c r="AN52" i="33"/>
  <c r="AO52" i="33"/>
  <c r="AE53" i="33"/>
  <c r="AF53" i="33"/>
  <c r="AG53" i="33"/>
  <c r="AH53" i="33"/>
  <c r="AI53" i="33"/>
  <c r="AJ53" i="33"/>
  <c r="AK53" i="33"/>
  <c r="AL53" i="33"/>
  <c r="AM53" i="33"/>
  <c r="AN53" i="33"/>
  <c r="AO53" i="33"/>
  <c r="AE54" i="33"/>
  <c r="AF54" i="33"/>
  <c r="AG54" i="33"/>
  <c r="AH54" i="33"/>
  <c r="AI54" i="33"/>
  <c r="AJ54" i="33"/>
  <c r="AK54" i="33"/>
  <c r="AL54" i="33"/>
  <c r="AM54" i="33"/>
  <c r="AN54" i="33"/>
  <c r="AO54" i="33"/>
  <c r="AE55" i="33"/>
  <c r="AF55" i="33"/>
  <c r="AG55" i="33"/>
  <c r="AH55" i="33"/>
  <c r="AI55" i="33"/>
  <c r="AJ55" i="33"/>
  <c r="AK55" i="33"/>
  <c r="AL55" i="33"/>
  <c r="AM55" i="33"/>
  <c r="AN55" i="33"/>
  <c r="AO55" i="33"/>
  <c r="AF48" i="33"/>
  <c r="AG48" i="33"/>
  <c r="AH48" i="33"/>
  <c r="AI48" i="33"/>
  <c r="AJ48" i="33"/>
  <c r="AK48" i="33"/>
  <c r="AL48" i="33"/>
  <c r="AM48" i="33"/>
  <c r="AN48" i="33"/>
  <c r="AO48" i="33"/>
  <c r="AP49" i="33"/>
  <c r="AQ49" i="33"/>
  <c r="AR49" i="33"/>
  <c r="AS49" i="33"/>
  <c r="AT49" i="33"/>
  <c r="AU49" i="33"/>
  <c r="AV49" i="33"/>
  <c r="AW49" i="33"/>
  <c r="AX49" i="33"/>
  <c r="AY49" i="33"/>
  <c r="AZ49" i="33"/>
  <c r="AP50" i="33"/>
  <c r="AQ50" i="33"/>
  <c r="AR50" i="33"/>
  <c r="AS50" i="33"/>
  <c r="AT50" i="33"/>
  <c r="AU50" i="33"/>
  <c r="AV50" i="33"/>
  <c r="AW50" i="33"/>
  <c r="AX50" i="33"/>
  <c r="AY50" i="33"/>
  <c r="AZ50" i="33"/>
  <c r="AP51" i="33"/>
  <c r="AQ51" i="33"/>
  <c r="AR51" i="33"/>
  <c r="AS51" i="33"/>
  <c r="AT51" i="33"/>
  <c r="AU51" i="33"/>
  <c r="AV51" i="33"/>
  <c r="AW51" i="33"/>
  <c r="AX51" i="33"/>
  <c r="AY51" i="33"/>
  <c r="AZ51" i="33"/>
  <c r="AP52" i="33"/>
  <c r="AQ52" i="33"/>
  <c r="AR52" i="33"/>
  <c r="AS52" i="33"/>
  <c r="AT52" i="33"/>
  <c r="AU52" i="33"/>
  <c r="AV52" i="33"/>
  <c r="AW52" i="33"/>
  <c r="AX52" i="33"/>
  <c r="AY52" i="33"/>
  <c r="AZ52" i="33"/>
  <c r="AP53" i="33"/>
  <c r="AQ53" i="33"/>
  <c r="AR53" i="33"/>
  <c r="AS53" i="33"/>
  <c r="AT53" i="33"/>
  <c r="AU53" i="33"/>
  <c r="AV53" i="33"/>
  <c r="AW53" i="33"/>
  <c r="AX53" i="33"/>
  <c r="AY53" i="33"/>
  <c r="AZ53" i="33"/>
  <c r="AP54" i="33"/>
  <c r="AQ54" i="33"/>
  <c r="AR54" i="33"/>
  <c r="AS54" i="33"/>
  <c r="AT54" i="33"/>
  <c r="AU54" i="33"/>
  <c r="AV54" i="33"/>
  <c r="AW54" i="33"/>
  <c r="AX54" i="33"/>
  <c r="AY54" i="33"/>
  <c r="AZ54" i="33"/>
  <c r="AP55" i="33"/>
  <c r="AQ55" i="33"/>
  <c r="AR55" i="33"/>
  <c r="AS55" i="33"/>
  <c r="AT55" i="33"/>
  <c r="AU55" i="33"/>
  <c r="AV55" i="33"/>
  <c r="AW55" i="33"/>
  <c r="AX55" i="33"/>
  <c r="AY55" i="33"/>
  <c r="AZ55" i="33"/>
  <c r="AQ48" i="33"/>
  <c r="AR48" i="33"/>
  <c r="AS48" i="33"/>
  <c r="AT48" i="33"/>
  <c r="AU48" i="33"/>
  <c r="AV48" i="33"/>
  <c r="AW48" i="33"/>
  <c r="AX48" i="33"/>
  <c r="AY48" i="33"/>
  <c r="AZ48" i="33"/>
  <c r="AP48" i="33"/>
  <c r="A1" i="27" l="1"/>
  <c r="D6" i="34" l="1"/>
  <c r="C17" i="34" l="1"/>
  <c r="D17" i="34" s="1"/>
  <c r="C16" i="34"/>
  <c r="D16" i="34" s="1"/>
  <c r="C6" i="34"/>
  <c r="C5" i="34"/>
  <c r="D5" i="34" s="1"/>
  <c r="C4" i="34"/>
  <c r="D4" i="34" l="1"/>
  <c r="C9" i="26"/>
  <c r="D2" i="34"/>
  <c r="AL26" i="34"/>
  <c r="C9" i="34" l="1"/>
  <c r="C7" i="34"/>
  <c r="D7" i="34" s="1"/>
  <c r="C8" i="34"/>
  <c r="D8" i="34" s="1"/>
  <c r="AL20" i="34"/>
  <c r="AL21" i="34"/>
  <c r="AL22" i="34"/>
  <c r="AL23" i="34"/>
  <c r="AL24" i="34"/>
  <c r="AL25" i="34"/>
  <c r="B61" i="34"/>
  <c r="C61" i="34"/>
  <c r="D61" i="34"/>
  <c r="B62" i="34"/>
  <c r="C62" i="34"/>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C3" i="34" l="1"/>
  <c r="D9" i="34"/>
  <c r="F2" i="23"/>
  <c r="C2" i="34"/>
  <c r="D3" i="34" l="1"/>
  <c r="C1" i="23"/>
  <c r="P20" i="34"/>
  <c r="C14" i="34" l="1"/>
  <c r="D14" i="34" s="1"/>
  <c r="C13" i="34"/>
  <c r="D13" i="34" s="1"/>
  <c r="C15" i="34"/>
  <c r="D15" i="34" s="1"/>
  <c r="C18" i="34" l="1"/>
  <c r="D18" i="34" s="1"/>
  <c r="C5" i="23"/>
  <c r="C12" i="34"/>
  <c r="D12" i="34" s="1"/>
  <c r="C10" i="34"/>
  <c r="D10" i="34" s="1"/>
  <c r="C11" i="34"/>
  <c r="D11" i="34" s="1"/>
  <c r="I6" i="23"/>
  <c r="B51" i="26" s="1"/>
  <c r="I5" i="23"/>
  <c r="I4" i="23"/>
  <c r="B52" i="26" s="1"/>
  <c r="C5" i="26"/>
  <c r="C15" i="26" l="1"/>
  <c r="C39" i="26"/>
  <c r="L1" i="23"/>
  <c r="C14" i="26" s="1"/>
  <c r="I1" i="23" l="1"/>
  <c r="C8" i="26"/>
  <c r="M3" i="24" l="1"/>
  <c r="E191" i="26" s="1"/>
  <c r="B192" i="26" l="1"/>
  <c r="C192" i="26"/>
  <c r="A192" i="26"/>
  <c r="B35" i="26" l="1"/>
  <c r="B36" i="26"/>
  <c r="B37" i="26"/>
  <c r="C61" i="23" l="1"/>
  <c r="B114" i="26" l="1"/>
  <c r="B1" i="24"/>
  <c r="L3" i="24"/>
  <c r="U5" i="24" s="1"/>
  <c r="A100" i="26" s="1"/>
  <c r="B2" i="24"/>
  <c r="D61" i="23"/>
  <c r="B51" i="23"/>
  <c r="B78" i="23" s="1"/>
  <c r="B53" i="26" s="1"/>
  <c r="B50" i="23"/>
  <c r="D191" i="26" l="1"/>
  <c r="B52" i="23"/>
  <c r="B53" i="23" l="1"/>
  <c r="B79" i="23"/>
  <c r="B54" i="26" s="1"/>
  <c r="B80" i="23" l="1"/>
  <c r="B55" i="26" s="1"/>
  <c r="B54" i="23"/>
  <c r="B55" i="23" l="1"/>
  <c r="B81" i="23"/>
  <c r="B56" i="26" s="1"/>
  <c r="B82" i="23" l="1"/>
  <c r="B57" i="26" s="1"/>
  <c r="B56" i="23"/>
  <c r="B57" i="23" l="1"/>
  <c r="B84" i="23" s="1"/>
  <c r="B59" i="26" s="1"/>
  <c r="B83" i="23"/>
  <c r="B58" i="26" s="1"/>
  <c r="J27" i="17" l="1"/>
  <c r="AK94" i="12"/>
  <c r="AL94" i="12"/>
  <c r="AM94" i="12"/>
  <c r="AK95" i="12"/>
  <c r="AL95" i="12"/>
  <c r="AM95" i="12"/>
  <c r="AL96" i="12"/>
  <c r="AM96" i="12"/>
  <c r="AL97" i="12"/>
  <c r="AM97" i="12"/>
  <c r="AL98" i="12"/>
  <c r="AM98" i="12"/>
  <c r="AL99" i="12"/>
  <c r="AM99" i="12"/>
  <c r="AL100" i="12"/>
  <c r="AM100" i="12"/>
  <c r="AD101" i="12"/>
  <c r="AE101" i="12"/>
  <c r="AF101" i="12"/>
  <c r="AG101" i="12"/>
  <c r="AH101" i="12"/>
  <c r="AI101" i="12"/>
  <c r="AJ101" i="12"/>
  <c r="AK101" i="12"/>
  <c r="AL101" i="12"/>
  <c r="AM101" i="12"/>
  <c r="AD102" i="12"/>
  <c r="AE102" i="12"/>
  <c r="AF102" i="12"/>
  <c r="AG102" i="12"/>
  <c r="AH102" i="12"/>
  <c r="AI102" i="12"/>
  <c r="AJ102" i="12"/>
  <c r="AK102" i="12"/>
  <c r="AL102" i="12"/>
  <c r="AM102" i="12"/>
  <c r="AD103" i="12"/>
  <c r="AE103" i="12"/>
  <c r="AF103" i="12"/>
  <c r="AG103" i="12"/>
  <c r="AH103" i="12"/>
  <c r="AI103" i="12"/>
  <c r="AJ103" i="12"/>
  <c r="AK103" i="12"/>
  <c r="AL103" i="12"/>
  <c r="AM103" i="12"/>
  <c r="AD104" i="12"/>
  <c r="AE104" i="12"/>
  <c r="AF104" i="12"/>
  <c r="AG104" i="12"/>
  <c r="AH104" i="12"/>
  <c r="AI104" i="12"/>
  <c r="AJ104" i="12"/>
  <c r="AK104" i="12"/>
  <c r="AL104" i="12"/>
  <c r="AM104" i="12"/>
  <c r="AD105" i="12"/>
  <c r="AE105" i="12"/>
  <c r="AF105" i="12"/>
  <c r="AG105" i="12"/>
  <c r="AH105" i="12"/>
  <c r="AI105" i="12"/>
  <c r="AJ105" i="12"/>
  <c r="AK105" i="12"/>
  <c r="AL105" i="12"/>
  <c r="AM105" i="12"/>
  <c r="AD106" i="12"/>
  <c r="AE106" i="12"/>
  <c r="AF106" i="12"/>
  <c r="AG106" i="12"/>
  <c r="AH106" i="12"/>
  <c r="AI106" i="12"/>
  <c r="AJ106" i="12"/>
  <c r="AK106" i="12"/>
  <c r="AL106" i="12"/>
  <c r="AM106" i="12"/>
  <c r="AD107" i="12"/>
  <c r="AE107" i="12"/>
  <c r="AF107" i="12"/>
  <c r="AG107" i="12"/>
  <c r="AH107" i="12"/>
  <c r="AI107" i="12"/>
  <c r="AJ107" i="12"/>
  <c r="AK107" i="12"/>
  <c r="AL107" i="12"/>
  <c r="AM107" i="12"/>
  <c r="AD108" i="12"/>
  <c r="AE108" i="12"/>
  <c r="AF108" i="12"/>
  <c r="AG108" i="12"/>
  <c r="AH108" i="12"/>
  <c r="AI108" i="12"/>
  <c r="AJ108" i="12"/>
  <c r="AK108" i="12"/>
  <c r="AL108" i="12"/>
  <c r="AM108" i="12"/>
  <c r="AL93" i="12"/>
  <c r="AM93" i="12"/>
  <c r="S94" i="12"/>
  <c r="T94" i="12"/>
  <c r="U94" i="12"/>
  <c r="V94" i="12"/>
  <c r="W94" i="12"/>
  <c r="X94" i="12"/>
  <c r="Y94" i="12"/>
  <c r="S95" i="12"/>
  <c r="T95" i="12"/>
  <c r="U95" i="12"/>
  <c r="V95" i="12"/>
  <c r="W95" i="12"/>
  <c r="X95" i="12"/>
  <c r="Y95" i="12"/>
  <c r="T96" i="12"/>
  <c r="U96" i="12"/>
  <c r="V96" i="12"/>
  <c r="W96" i="12"/>
  <c r="X96" i="12"/>
  <c r="Y96" i="12"/>
  <c r="T97" i="12"/>
  <c r="U97" i="12"/>
  <c r="V97" i="12"/>
  <c r="W97" i="12"/>
  <c r="X97" i="12"/>
  <c r="Y97" i="12"/>
  <c r="T98" i="12"/>
  <c r="U98" i="12"/>
  <c r="V98" i="12"/>
  <c r="W98" i="12"/>
  <c r="X98" i="12"/>
  <c r="Y98" i="12"/>
  <c r="T99" i="12"/>
  <c r="U99" i="12"/>
  <c r="V99" i="12"/>
  <c r="W99" i="12"/>
  <c r="X99" i="12"/>
  <c r="Y99" i="12"/>
  <c r="T100" i="12"/>
  <c r="U100" i="12"/>
  <c r="V100" i="12"/>
  <c r="W100" i="12"/>
  <c r="X100" i="12"/>
  <c r="Y100" i="12"/>
  <c r="R101" i="12"/>
  <c r="S101" i="12"/>
  <c r="T101" i="12"/>
  <c r="U101" i="12"/>
  <c r="V101" i="12"/>
  <c r="W101" i="12"/>
  <c r="X101" i="12"/>
  <c r="Y101" i="12"/>
  <c r="R102" i="12"/>
  <c r="S102" i="12"/>
  <c r="T102" i="12"/>
  <c r="U102" i="12"/>
  <c r="V102" i="12"/>
  <c r="W102" i="12"/>
  <c r="X102" i="12"/>
  <c r="Y102" i="12"/>
  <c r="R103" i="12"/>
  <c r="S103" i="12"/>
  <c r="T103" i="12"/>
  <c r="U103" i="12"/>
  <c r="V103" i="12"/>
  <c r="W103" i="12"/>
  <c r="X103" i="12"/>
  <c r="Y103" i="12"/>
  <c r="R104" i="12"/>
  <c r="S104" i="12"/>
  <c r="T104" i="12"/>
  <c r="U104" i="12"/>
  <c r="V104" i="12"/>
  <c r="W104" i="12"/>
  <c r="X104" i="12"/>
  <c r="Y104" i="12"/>
  <c r="R105" i="12"/>
  <c r="S105" i="12"/>
  <c r="T105" i="12"/>
  <c r="U105" i="12"/>
  <c r="V105" i="12"/>
  <c r="W105" i="12"/>
  <c r="X105" i="12"/>
  <c r="Y105" i="12"/>
  <c r="R106" i="12"/>
  <c r="S106" i="12"/>
  <c r="T106" i="12"/>
  <c r="U106" i="12"/>
  <c r="V106" i="12"/>
  <c r="W106" i="12"/>
  <c r="X106" i="12"/>
  <c r="Y106" i="12"/>
  <c r="R107" i="12"/>
  <c r="S107" i="12"/>
  <c r="T107" i="12"/>
  <c r="U107" i="12"/>
  <c r="V107" i="12"/>
  <c r="W107" i="12"/>
  <c r="X107" i="12"/>
  <c r="Y107" i="12"/>
  <c r="P108" i="12"/>
  <c r="Q108" i="12"/>
  <c r="R108" i="12"/>
  <c r="S108" i="12"/>
  <c r="T108" i="12"/>
  <c r="U108" i="12"/>
  <c r="V108" i="12"/>
  <c r="W108" i="12"/>
  <c r="X108" i="12"/>
  <c r="Y108" i="12"/>
  <c r="T93" i="12"/>
  <c r="U93" i="12"/>
  <c r="V93" i="12"/>
  <c r="W93" i="12"/>
  <c r="X93" i="12"/>
  <c r="Y93" i="12"/>
  <c r="K94" i="12"/>
  <c r="K95" i="12"/>
  <c r="K96" i="12"/>
  <c r="K97" i="12"/>
  <c r="K98" i="12"/>
  <c r="K99" i="12"/>
  <c r="K100" i="12"/>
  <c r="B101" i="12"/>
  <c r="C101" i="12"/>
  <c r="D101" i="12"/>
  <c r="E101" i="12"/>
  <c r="F101" i="12"/>
  <c r="G101" i="12"/>
  <c r="H101" i="12"/>
  <c r="I101" i="12"/>
  <c r="J101" i="12"/>
  <c r="K101" i="12"/>
  <c r="B102" i="12"/>
  <c r="C102" i="12"/>
  <c r="D102" i="12"/>
  <c r="E102" i="12"/>
  <c r="F102" i="12"/>
  <c r="G102" i="12"/>
  <c r="H102" i="12"/>
  <c r="I102" i="12"/>
  <c r="J102" i="12"/>
  <c r="K102" i="12"/>
  <c r="B103" i="12"/>
  <c r="C103" i="12"/>
  <c r="D103" i="12"/>
  <c r="E103" i="12"/>
  <c r="F103" i="12"/>
  <c r="G103" i="12"/>
  <c r="H103" i="12"/>
  <c r="I103" i="12"/>
  <c r="J103" i="12"/>
  <c r="K103" i="12"/>
  <c r="B104" i="12"/>
  <c r="C104" i="12"/>
  <c r="D104" i="12"/>
  <c r="E104" i="12"/>
  <c r="F104" i="12"/>
  <c r="G104" i="12"/>
  <c r="H104" i="12"/>
  <c r="I104" i="12"/>
  <c r="J104" i="12"/>
  <c r="K104" i="12"/>
  <c r="B105" i="12"/>
  <c r="C105" i="12"/>
  <c r="D105" i="12"/>
  <c r="E105" i="12"/>
  <c r="F105" i="12"/>
  <c r="G105" i="12"/>
  <c r="H105" i="12"/>
  <c r="I105" i="12"/>
  <c r="J105" i="12"/>
  <c r="K105" i="12"/>
  <c r="B106" i="12"/>
  <c r="C106" i="12"/>
  <c r="D106" i="12"/>
  <c r="E106" i="12"/>
  <c r="F106" i="12"/>
  <c r="G106" i="12"/>
  <c r="H106" i="12"/>
  <c r="I106" i="12"/>
  <c r="J106" i="12"/>
  <c r="K106" i="12"/>
  <c r="B107" i="12"/>
  <c r="C107" i="12"/>
  <c r="D107" i="12"/>
  <c r="E107" i="12"/>
  <c r="F107" i="12"/>
  <c r="G107" i="12"/>
  <c r="H107" i="12"/>
  <c r="I107" i="12"/>
  <c r="J107" i="12"/>
  <c r="K107" i="12"/>
  <c r="B108" i="12"/>
  <c r="C108" i="12"/>
  <c r="D108" i="12"/>
  <c r="E108" i="12"/>
  <c r="F108" i="12"/>
  <c r="G108" i="12"/>
  <c r="H108" i="12"/>
  <c r="I108" i="12"/>
  <c r="J108" i="12"/>
  <c r="K108" i="12"/>
  <c r="K93" i="12"/>
  <c r="AM115" i="12"/>
  <c r="AL115" i="12"/>
  <c r="AK115" i="12"/>
  <c r="AJ115" i="12"/>
  <c r="Y115" i="12"/>
  <c r="X115" i="12"/>
  <c r="W115" i="12"/>
  <c r="V115" i="12"/>
  <c r="K115" i="12"/>
  <c r="J115" i="12"/>
  <c r="I115" i="12"/>
  <c r="H115" i="12"/>
  <c r="AK111" i="12"/>
  <c r="AL111" i="12"/>
  <c r="AM111" i="12"/>
  <c r="AK112" i="12"/>
  <c r="AL112" i="12"/>
  <c r="AM112" i="12"/>
  <c r="AJ112" i="12"/>
  <c r="AJ111" i="12"/>
  <c r="W111" i="12"/>
  <c r="X111" i="12"/>
  <c r="Y111" i="12"/>
  <c r="W112" i="12"/>
  <c r="X112" i="12"/>
  <c r="Y112" i="12"/>
  <c r="I111" i="12"/>
  <c r="J111" i="12"/>
  <c r="K111" i="12"/>
  <c r="I112" i="12"/>
  <c r="J112" i="12"/>
  <c r="K112" i="12"/>
  <c r="V111" i="12"/>
  <c r="V112" i="12"/>
  <c r="H112" i="12"/>
  <c r="H111" i="12"/>
  <c r="N10" i="17"/>
  <c r="N11" i="17" s="1"/>
  <c r="N8" i="17"/>
  <c r="N14" i="17" s="1"/>
  <c r="L5" i="17"/>
  <c r="B24" i="23"/>
  <c r="AD339" i="12" a="1"/>
  <c r="AD339" i="12" s="1"/>
  <c r="AD310" i="12" a="1"/>
  <c r="AD310" i="12" s="1"/>
  <c r="AD311" i="12" a="1"/>
  <c r="AD311" i="12" s="1"/>
  <c r="AD312" i="12" a="1"/>
  <c r="AD312" i="12" s="1"/>
  <c r="AD313" i="12" a="1"/>
  <c r="AD313" i="12" s="1"/>
  <c r="AD314" i="12" a="1"/>
  <c r="AD314" i="12" s="1"/>
  <c r="AD315" i="12" a="1"/>
  <c r="AD315" i="12" s="1"/>
  <c r="AD316" i="12" a="1"/>
  <c r="AD316" i="12" s="1"/>
  <c r="AD317" i="12" a="1"/>
  <c r="AD317" i="12" s="1"/>
  <c r="AD318" i="12" a="1"/>
  <c r="AD318" i="12" s="1"/>
  <c r="AD319" i="12" a="1"/>
  <c r="AD319" i="12" s="1"/>
  <c r="AD320" i="12" a="1"/>
  <c r="AD320" i="12" s="1"/>
  <c r="AD321" i="12" a="1"/>
  <c r="AD321" i="12" s="1"/>
  <c r="AD322" i="12" a="1"/>
  <c r="AD322" i="12" s="1"/>
  <c r="AD323" i="12" a="1"/>
  <c r="AD323" i="12" s="1"/>
  <c r="AD324" i="12" a="1"/>
  <c r="AD324" i="12" s="1"/>
  <c r="AD325" i="12" a="1"/>
  <c r="AD325" i="12" s="1"/>
  <c r="AD326" i="12" a="1"/>
  <c r="AD326" i="12" s="1"/>
  <c r="AD327" i="12" a="1"/>
  <c r="AD327" i="12" s="1"/>
  <c r="AD328" i="12" a="1"/>
  <c r="AD328" i="12" s="1"/>
  <c r="AD329" i="12" a="1"/>
  <c r="AD329" i="12" s="1"/>
  <c r="AD330" i="12" a="1"/>
  <c r="AD330" i="12" s="1"/>
  <c r="AD331" i="12" a="1"/>
  <c r="AD331" i="12" s="1"/>
  <c r="AD332" i="12" a="1"/>
  <c r="AD332" i="12" s="1"/>
  <c r="AD333" i="12" a="1"/>
  <c r="AD333" i="12" s="1"/>
  <c r="AD334" i="12" a="1"/>
  <c r="AD334" i="12" s="1"/>
  <c r="AD335" i="12" a="1"/>
  <c r="AD335" i="12" s="1"/>
  <c r="AD336" i="12" a="1"/>
  <c r="AD336" i="12" s="1"/>
  <c r="AD337" i="12" a="1"/>
  <c r="AD337" i="12" s="1"/>
  <c r="AD338" i="12" a="1"/>
  <c r="AD338" i="12" s="1"/>
  <c r="J23" i="21"/>
  <c r="C23" i="16"/>
  <c r="D23" i="16"/>
  <c r="D22" i="16"/>
  <c r="C22" i="16"/>
  <c r="D21" i="16"/>
  <c r="C21" i="16"/>
  <c r="D20" i="16"/>
  <c r="C20" i="16"/>
  <c r="D19" i="16"/>
  <c r="D48" i="16"/>
  <c r="C48" i="16"/>
  <c r="D47" i="16"/>
  <c r="D46" i="16"/>
  <c r="D45" i="16"/>
  <c r="D41" i="16"/>
  <c r="C41" i="16"/>
  <c r="D40" i="16"/>
  <c r="C40" i="16"/>
  <c r="D39" i="16"/>
  <c r="D38" i="16"/>
  <c r="L17" i="21"/>
  <c r="L16" i="21"/>
  <c r="O17" i="21" a="1"/>
  <c r="O17" i="21" s="1"/>
  <c r="O16" i="21" a="1"/>
  <c r="O16" i="21" s="1"/>
  <c r="I4" i="21"/>
  <c r="G19" i="17"/>
  <c r="K33" i="17"/>
  <c r="A29" i="17"/>
  <c r="D12" i="17"/>
  <c r="D11" i="17"/>
  <c r="E15" i="17"/>
  <c r="C128" i="12"/>
  <c r="D128" i="12"/>
  <c r="E128" i="12"/>
  <c r="F128" i="12"/>
  <c r="G128" i="12"/>
  <c r="H128" i="12"/>
  <c r="I128" i="12"/>
  <c r="J128" i="12"/>
  <c r="K128" i="12"/>
  <c r="L128" i="12"/>
  <c r="M128" i="12"/>
  <c r="N128" i="12"/>
  <c r="O128" i="12"/>
  <c r="P128" i="12"/>
  <c r="Q128" i="12"/>
  <c r="R128" i="12"/>
  <c r="S128" i="12"/>
  <c r="T128" i="12"/>
  <c r="U128" i="12"/>
  <c r="V128" i="12"/>
  <c r="W128" i="12"/>
  <c r="X128" i="12"/>
  <c r="Y128" i="12"/>
  <c r="Z128" i="12"/>
  <c r="AA128" i="12"/>
  <c r="AB128" i="12"/>
  <c r="AC128" i="12"/>
  <c r="AD128" i="12"/>
  <c r="AE128" i="12"/>
  <c r="AF128" i="12"/>
  <c r="AG128" i="12"/>
  <c r="AH128" i="12"/>
  <c r="AI128" i="12"/>
  <c r="AJ128" i="12"/>
  <c r="AK128" i="12"/>
  <c r="B128" i="12"/>
  <c r="AJ124" i="12" a="1"/>
  <c r="AJ124" i="12" s="1"/>
  <c r="V124" i="12" a="1"/>
  <c r="V124" i="12" s="1"/>
  <c r="AO59" i="12"/>
  <c r="Z36" i="22" s="1"/>
  <c r="AN59" i="12"/>
  <c r="Y36" i="22" s="1"/>
  <c r="W78" i="12"/>
  <c r="X36" i="22" s="1"/>
  <c r="AO58" i="12"/>
  <c r="Z35" i="22" s="1"/>
  <c r="AN58" i="12"/>
  <c r="Y35" i="22" s="1"/>
  <c r="AO57" i="12"/>
  <c r="AN57" i="12"/>
  <c r="Y34" i="22" s="1"/>
  <c r="AO56" i="12"/>
  <c r="Z33" i="22" s="1"/>
  <c r="AN56" i="12"/>
  <c r="Y33" i="22" s="1"/>
  <c r="AO55" i="12"/>
  <c r="Z32" i="22" s="1"/>
  <c r="AN55" i="12"/>
  <c r="Y32" i="22" s="1"/>
  <c r="AO54" i="12"/>
  <c r="Z31" i="22" s="1"/>
  <c r="AN54" i="12"/>
  <c r="Y31" i="22" s="1"/>
  <c r="AO53" i="12"/>
  <c r="Z30" i="22" s="1"/>
  <c r="AN53" i="12"/>
  <c r="Y30" i="22" s="1"/>
  <c r="AO52" i="12"/>
  <c r="Z29" i="22" s="1"/>
  <c r="AN52" i="12"/>
  <c r="Y29" i="22" s="1"/>
  <c r="AO51" i="12"/>
  <c r="Z28" i="22" s="1"/>
  <c r="AN51" i="12"/>
  <c r="Y28" i="22" s="1"/>
  <c r="AO50" i="12"/>
  <c r="Z27" i="22" s="1"/>
  <c r="AN50" i="12"/>
  <c r="Y27" i="22" s="1"/>
  <c r="AO49" i="12"/>
  <c r="Z26" i="22" s="1"/>
  <c r="AN49" i="12"/>
  <c r="Y26" i="22" s="1"/>
  <c r="AO48" i="12"/>
  <c r="Z25" i="22" s="1"/>
  <c r="AN48" i="12"/>
  <c r="Y25" i="22" s="1"/>
  <c r="AO47" i="12"/>
  <c r="Z24" i="22" s="1"/>
  <c r="AN47" i="12"/>
  <c r="AO46" i="12"/>
  <c r="Z23" i="22" s="1"/>
  <c r="AN46" i="12"/>
  <c r="Y23" i="22" s="1"/>
  <c r="AO45" i="12"/>
  <c r="Z22" i="22" s="1"/>
  <c r="AN45" i="12"/>
  <c r="W64" i="12" s="1"/>
  <c r="AO44" i="12"/>
  <c r="Z21" i="22" s="1"/>
  <c r="AN44" i="12"/>
  <c r="W63" i="12" s="1"/>
  <c r="AA59" i="12"/>
  <c r="O36" i="22" s="1"/>
  <c r="Z59" i="12"/>
  <c r="N36" i="22" s="1"/>
  <c r="T78" i="12"/>
  <c r="AA58" i="12"/>
  <c r="O35" i="22" s="1"/>
  <c r="Z58" i="12"/>
  <c r="N35" i="22" s="1"/>
  <c r="AA57" i="12"/>
  <c r="O34" i="22" s="1"/>
  <c r="Z57" i="12"/>
  <c r="N34" i="22" s="1"/>
  <c r="AA56" i="12"/>
  <c r="O33" i="22" s="1"/>
  <c r="Z56" i="12"/>
  <c r="N33" i="22" s="1"/>
  <c r="AA55" i="12"/>
  <c r="O32" i="22" s="1"/>
  <c r="Z55" i="12"/>
  <c r="N32" i="22" s="1"/>
  <c r="AA54" i="12"/>
  <c r="O31" i="22" s="1"/>
  <c r="Z54" i="12"/>
  <c r="N31" i="22" s="1"/>
  <c r="AA53" i="12"/>
  <c r="O30" i="22" s="1"/>
  <c r="Z53" i="12"/>
  <c r="N30" i="22" s="1"/>
  <c r="AA52" i="12"/>
  <c r="O29" i="22" s="1"/>
  <c r="Z52" i="12"/>
  <c r="N29" i="22" s="1"/>
  <c r="AA51" i="12"/>
  <c r="O28" i="22" s="1"/>
  <c r="Z51" i="12"/>
  <c r="N28" i="22" s="1"/>
  <c r="AA50" i="12"/>
  <c r="O27" i="22" s="1"/>
  <c r="Z50" i="12"/>
  <c r="N27" i="22" s="1"/>
  <c r="AA49" i="12"/>
  <c r="O26" i="22" s="1"/>
  <c r="Z49" i="12"/>
  <c r="N26" i="22" s="1"/>
  <c r="AA48" i="12"/>
  <c r="O25" i="22" s="1"/>
  <c r="Z48" i="12"/>
  <c r="N25" i="22" s="1"/>
  <c r="AA47" i="12"/>
  <c r="O24" i="22" s="1"/>
  <c r="Z47" i="12"/>
  <c r="N24" i="22" s="1"/>
  <c r="AA46" i="12"/>
  <c r="O23" i="22" s="1"/>
  <c r="Z46" i="12"/>
  <c r="N23" i="22" s="1"/>
  <c r="AA45" i="12"/>
  <c r="O22" i="22" s="1"/>
  <c r="Z45" i="12"/>
  <c r="T64" i="12" s="1"/>
  <c r="P94" i="12" s="1"/>
  <c r="AA44" i="12"/>
  <c r="O21" i="22" s="1"/>
  <c r="Z44" i="12"/>
  <c r="M45" i="12"/>
  <c r="D22" i="22" s="1"/>
  <c r="M46" i="12"/>
  <c r="D23" i="22" s="1"/>
  <c r="M47" i="12"/>
  <c r="D24" i="22" s="1"/>
  <c r="M48" i="12"/>
  <c r="D25" i="22" s="1"/>
  <c r="M49" i="12"/>
  <c r="D26" i="22" s="1"/>
  <c r="M50" i="12"/>
  <c r="D27" i="22" s="1"/>
  <c r="M51" i="12"/>
  <c r="D28" i="22" s="1"/>
  <c r="M52" i="12"/>
  <c r="D29" i="22" s="1"/>
  <c r="M53" i="12"/>
  <c r="D30" i="22" s="1"/>
  <c r="M54" i="12"/>
  <c r="D31" i="22" s="1"/>
  <c r="M55" i="12"/>
  <c r="D32" i="22" s="1"/>
  <c r="M56" i="12"/>
  <c r="D33" i="22" s="1"/>
  <c r="M57" i="12"/>
  <c r="D34" i="22" s="1"/>
  <c r="M58" i="12"/>
  <c r="D35" i="22" s="1"/>
  <c r="M59" i="12"/>
  <c r="D36" i="22" s="1"/>
  <c r="M44" i="12"/>
  <c r="L45" i="12"/>
  <c r="F94" i="12"/>
  <c r="L46" i="12"/>
  <c r="C23" i="22" s="1"/>
  <c r="L47" i="12"/>
  <c r="C24" i="22" s="1"/>
  <c r="L48" i="12"/>
  <c r="L49" i="12"/>
  <c r="C26" i="22" s="1"/>
  <c r="L50" i="12"/>
  <c r="L51" i="12"/>
  <c r="C28" i="22" s="1"/>
  <c r="L52" i="12"/>
  <c r="Q71" i="12" s="1"/>
  <c r="B29" i="22" s="1"/>
  <c r="L53" i="12"/>
  <c r="C30" i="22" s="1"/>
  <c r="L54" i="12"/>
  <c r="C31" i="22" s="1"/>
  <c r="L55" i="12"/>
  <c r="C32" i="22" s="1"/>
  <c r="L56" i="12"/>
  <c r="Q75" i="12" s="1"/>
  <c r="R75" i="12" s="1"/>
  <c r="L57" i="12"/>
  <c r="C34" i="22" s="1"/>
  <c r="L58" i="12"/>
  <c r="C35" i="22" s="1"/>
  <c r="L59" i="12"/>
  <c r="C36" i="22" s="1"/>
  <c r="Q78" i="12"/>
  <c r="B36" i="22" s="1"/>
  <c r="L44" i="12"/>
  <c r="V344" i="12"/>
  <c r="AM67" i="12" s="1"/>
  <c r="AN67" i="12" s="1"/>
  <c r="W344" i="12"/>
  <c r="V345" i="12"/>
  <c r="W345" i="12"/>
  <c r="V160" i="12"/>
  <c r="W160" i="12"/>
  <c r="V161" i="12"/>
  <c r="W161" i="12"/>
  <c r="V162" i="12"/>
  <c r="W162" i="12"/>
  <c r="V163" i="12"/>
  <c r="W163" i="12"/>
  <c r="V164" i="12"/>
  <c r="W164" i="12"/>
  <c r="V165" i="12"/>
  <c r="W165" i="12"/>
  <c r="V166" i="12"/>
  <c r="W166" i="12"/>
  <c r="V167" i="12"/>
  <c r="W167" i="12"/>
  <c r="V168" i="12"/>
  <c r="W168" i="12"/>
  <c r="V169" i="12"/>
  <c r="W169" i="12"/>
  <c r="V170" i="12"/>
  <c r="W170" i="12"/>
  <c r="V171" i="12"/>
  <c r="W171" i="12"/>
  <c r="V172" i="12"/>
  <c r="W172" i="12"/>
  <c r="V173" i="12"/>
  <c r="W173" i="12"/>
  <c r="V174" i="12"/>
  <c r="W174" i="12"/>
  <c r="V175" i="12"/>
  <c r="W175" i="12"/>
  <c r="V176" i="12"/>
  <c r="W176" i="12"/>
  <c r="V177" i="12"/>
  <c r="W177" i="12"/>
  <c r="V178" i="12"/>
  <c r="W178" i="12"/>
  <c r="V179" i="12"/>
  <c r="W179" i="12"/>
  <c r="V180" i="12"/>
  <c r="W180" i="12"/>
  <c r="V181" i="12"/>
  <c r="W181" i="12"/>
  <c r="V182" i="12"/>
  <c r="W182" i="12"/>
  <c r="V183" i="12"/>
  <c r="W183" i="12"/>
  <c r="V184" i="12"/>
  <c r="W184" i="12"/>
  <c r="V185" i="12"/>
  <c r="W185" i="12"/>
  <c r="V186" i="12"/>
  <c r="W186" i="12"/>
  <c r="V187" i="12"/>
  <c r="W187" i="12"/>
  <c r="V188" i="12"/>
  <c r="W188" i="12"/>
  <c r="V189" i="12"/>
  <c r="W189" i="12"/>
  <c r="V190" i="12"/>
  <c r="W190" i="12"/>
  <c r="V191" i="12"/>
  <c r="W191" i="12"/>
  <c r="V192" i="12"/>
  <c r="W192" i="12"/>
  <c r="V193" i="12"/>
  <c r="W193" i="12"/>
  <c r="V194" i="12"/>
  <c r="W194" i="12"/>
  <c r="V195" i="12"/>
  <c r="W195" i="12"/>
  <c r="V196" i="12"/>
  <c r="W196" i="12"/>
  <c r="V197" i="12"/>
  <c r="W197" i="12"/>
  <c r="V198" i="12"/>
  <c r="W198" i="12"/>
  <c r="V199" i="12"/>
  <c r="W199" i="12"/>
  <c r="V200" i="12"/>
  <c r="W200" i="12"/>
  <c r="V201" i="12"/>
  <c r="W201" i="12"/>
  <c r="V202" i="12"/>
  <c r="W202" i="12"/>
  <c r="V203" i="12"/>
  <c r="W203" i="12"/>
  <c r="V204" i="12"/>
  <c r="W204" i="12"/>
  <c r="V205" i="12"/>
  <c r="W205" i="12"/>
  <c r="V206" i="12"/>
  <c r="W206" i="12"/>
  <c r="V207" i="12"/>
  <c r="W207" i="12"/>
  <c r="V208" i="12"/>
  <c r="W208" i="12"/>
  <c r="V209" i="12"/>
  <c r="W209" i="12"/>
  <c r="V210" i="12"/>
  <c r="W210" i="12"/>
  <c r="V211" i="12"/>
  <c r="W211" i="12"/>
  <c r="V212" i="12"/>
  <c r="W212" i="12"/>
  <c r="V213" i="12"/>
  <c r="W213" i="12"/>
  <c r="V214" i="12"/>
  <c r="W214" i="12"/>
  <c r="V215" i="12"/>
  <c r="W215" i="12"/>
  <c r="V216" i="12"/>
  <c r="W216" i="12"/>
  <c r="V217" i="12"/>
  <c r="W217" i="12"/>
  <c r="V218" i="12"/>
  <c r="W218" i="12"/>
  <c r="V219" i="12"/>
  <c r="W219" i="12"/>
  <c r="V220" i="12"/>
  <c r="W220" i="12"/>
  <c r="V221" i="12"/>
  <c r="W221" i="12"/>
  <c r="V222" i="12"/>
  <c r="W222" i="12"/>
  <c r="V223" i="12"/>
  <c r="W223" i="12"/>
  <c r="V224" i="12"/>
  <c r="W224" i="12"/>
  <c r="V225" i="12"/>
  <c r="W225" i="12"/>
  <c r="V226" i="12"/>
  <c r="W226" i="12"/>
  <c r="V227" i="12"/>
  <c r="W227" i="12"/>
  <c r="V228" i="12"/>
  <c r="W228" i="12"/>
  <c r="V229" i="12"/>
  <c r="W229" i="12"/>
  <c r="V230" i="12"/>
  <c r="W230" i="12"/>
  <c r="V231" i="12"/>
  <c r="W231" i="12"/>
  <c r="V232" i="12"/>
  <c r="W232" i="12"/>
  <c r="V233" i="12"/>
  <c r="W233" i="12"/>
  <c r="V234" i="12"/>
  <c r="W234" i="12"/>
  <c r="V235" i="12"/>
  <c r="W235" i="12"/>
  <c r="V236" i="12"/>
  <c r="W236" i="12"/>
  <c r="V237" i="12"/>
  <c r="W237" i="12"/>
  <c r="V238" i="12"/>
  <c r="W238" i="12"/>
  <c r="V239" i="12"/>
  <c r="W239" i="12"/>
  <c r="V240" i="12"/>
  <c r="W240" i="12"/>
  <c r="V241" i="12"/>
  <c r="W241" i="12"/>
  <c r="V242" i="12"/>
  <c r="W242" i="12"/>
  <c r="V243" i="12"/>
  <c r="W243" i="12"/>
  <c r="V244" i="12"/>
  <c r="W244" i="12"/>
  <c r="V245" i="12"/>
  <c r="W245" i="12"/>
  <c r="V246" i="12"/>
  <c r="W246" i="12"/>
  <c r="V247" i="12"/>
  <c r="W247" i="12"/>
  <c r="V248" i="12"/>
  <c r="W248" i="12"/>
  <c r="V249" i="12"/>
  <c r="W249" i="12"/>
  <c r="V250" i="12"/>
  <c r="W250" i="12"/>
  <c r="V251" i="12"/>
  <c r="W251" i="12"/>
  <c r="V252" i="12"/>
  <c r="W252" i="12"/>
  <c r="V253" i="12"/>
  <c r="W253" i="12"/>
  <c r="V254" i="12"/>
  <c r="W254" i="12"/>
  <c r="V255" i="12"/>
  <c r="W255" i="12"/>
  <c r="V256" i="12"/>
  <c r="W256" i="12"/>
  <c r="V257" i="12"/>
  <c r="W257" i="12"/>
  <c r="V258" i="12"/>
  <c r="W258" i="12"/>
  <c r="V259" i="12"/>
  <c r="W259" i="12"/>
  <c r="V260" i="12"/>
  <c r="W260" i="12"/>
  <c r="V261" i="12"/>
  <c r="W261" i="12"/>
  <c r="V262" i="12"/>
  <c r="W262" i="12"/>
  <c r="V263" i="12"/>
  <c r="W263" i="12"/>
  <c r="V264" i="12"/>
  <c r="W264" i="12"/>
  <c r="V265" i="12"/>
  <c r="W265" i="12"/>
  <c r="V266" i="12"/>
  <c r="W266" i="12"/>
  <c r="V267" i="12"/>
  <c r="W267" i="12"/>
  <c r="V268" i="12"/>
  <c r="W268" i="12"/>
  <c r="V269" i="12"/>
  <c r="W269" i="12"/>
  <c r="V270" i="12"/>
  <c r="W270" i="12"/>
  <c r="V271" i="12"/>
  <c r="W271" i="12"/>
  <c r="V272" i="12"/>
  <c r="W272" i="12"/>
  <c r="V273" i="12"/>
  <c r="W273" i="12"/>
  <c r="V274" i="12"/>
  <c r="W274" i="12"/>
  <c r="V275" i="12"/>
  <c r="W275" i="12"/>
  <c r="V276" i="12"/>
  <c r="W276" i="12"/>
  <c r="V277" i="12"/>
  <c r="W277" i="12"/>
  <c r="V278" i="12"/>
  <c r="W278" i="12"/>
  <c r="V279" i="12"/>
  <c r="W279" i="12"/>
  <c r="V280" i="12"/>
  <c r="W280" i="12"/>
  <c r="V281" i="12"/>
  <c r="W281" i="12"/>
  <c r="V282" i="12"/>
  <c r="W282" i="12"/>
  <c r="V283" i="12"/>
  <c r="W283" i="12"/>
  <c r="V284" i="12"/>
  <c r="W284" i="12"/>
  <c r="V285" i="12"/>
  <c r="W285" i="12"/>
  <c r="V286" i="12"/>
  <c r="W286" i="12"/>
  <c r="V287" i="12"/>
  <c r="W287" i="12"/>
  <c r="V288" i="12"/>
  <c r="W288" i="12"/>
  <c r="V289" i="12"/>
  <c r="W289" i="12"/>
  <c r="V290" i="12"/>
  <c r="W290" i="12"/>
  <c r="V291" i="12"/>
  <c r="W291" i="12"/>
  <c r="V292" i="12"/>
  <c r="W292" i="12"/>
  <c r="V293" i="12"/>
  <c r="W293" i="12"/>
  <c r="V294" i="12"/>
  <c r="W294" i="12"/>
  <c r="V295" i="12"/>
  <c r="W295" i="12"/>
  <c r="V296" i="12"/>
  <c r="W296" i="12"/>
  <c r="V297" i="12"/>
  <c r="W297" i="12"/>
  <c r="V298" i="12"/>
  <c r="W298" i="12"/>
  <c r="V299" i="12"/>
  <c r="W299" i="12"/>
  <c r="V300" i="12"/>
  <c r="W300" i="12"/>
  <c r="V301" i="12"/>
  <c r="W301" i="12"/>
  <c r="V302" i="12"/>
  <c r="W302" i="12"/>
  <c r="V303" i="12"/>
  <c r="W303" i="12"/>
  <c r="V304" i="12"/>
  <c r="W304" i="12"/>
  <c r="V305" i="12"/>
  <c r="W305" i="12"/>
  <c r="V306" i="12"/>
  <c r="W306" i="12"/>
  <c r="V307" i="12"/>
  <c r="W307" i="12"/>
  <c r="V308" i="12"/>
  <c r="W308" i="12"/>
  <c r="V309" i="12"/>
  <c r="W309" i="12"/>
  <c r="V310" i="12"/>
  <c r="W310" i="12"/>
  <c r="V311" i="12"/>
  <c r="W311" i="12"/>
  <c r="V312" i="12"/>
  <c r="W312" i="12"/>
  <c r="V313" i="12"/>
  <c r="W313" i="12"/>
  <c r="V314" i="12"/>
  <c r="W314" i="12"/>
  <c r="V315" i="12"/>
  <c r="W315" i="12"/>
  <c r="V316" i="12"/>
  <c r="W316" i="12"/>
  <c r="V317" i="12"/>
  <c r="W317" i="12"/>
  <c r="V318" i="12"/>
  <c r="W318" i="12"/>
  <c r="V319" i="12"/>
  <c r="W319" i="12"/>
  <c r="V320" i="12"/>
  <c r="W320" i="12"/>
  <c r="V321" i="12"/>
  <c r="W321" i="12"/>
  <c r="V322" i="12"/>
  <c r="W322" i="12"/>
  <c r="V323" i="12"/>
  <c r="W323" i="12"/>
  <c r="V324" i="12"/>
  <c r="W324" i="12"/>
  <c r="V325" i="12"/>
  <c r="W325" i="12"/>
  <c r="V326" i="12"/>
  <c r="W326" i="12"/>
  <c r="V327" i="12"/>
  <c r="W327" i="12"/>
  <c r="V328" i="12"/>
  <c r="W328" i="12"/>
  <c r="V329" i="12"/>
  <c r="W329" i="12"/>
  <c r="V330" i="12"/>
  <c r="W330" i="12"/>
  <c r="V331" i="12"/>
  <c r="W331" i="12"/>
  <c r="V332" i="12"/>
  <c r="W332" i="12"/>
  <c r="V333" i="12"/>
  <c r="W333" i="12"/>
  <c r="V334" i="12"/>
  <c r="W334" i="12"/>
  <c r="V335" i="12"/>
  <c r="W335" i="12"/>
  <c r="V336" i="12"/>
  <c r="W336" i="12"/>
  <c r="V337" i="12"/>
  <c r="W337" i="12"/>
  <c r="V338" i="12"/>
  <c r="W338" i="12"/>
  <c r="V339" i="12"/>
  <c r="W339" i="12"/>
  <c r="V141" i="12"/>
  <c r="W141" i="12"/>
  <c r="V142" i="12"/>
  <c r="W142" i="12"/>
  <c r="V143" i="12"/>
  <c r="W143" i="12"/>
  <c r="V144" i="12"/>
  <c r="W144" i="12"/>
  <c r="V145" i="12"/>
  <c r="W145" i="12"/>
  <c r="V146" i="12"/>
  <c r="W146" i="12"/>
  <c r="V147" i="12"/>
  <c r="W147" i="12"/>
  <c r="V148" i="12"/>
  <c r="W148" i="12"/>
  <c r="V149" i="12"/>
  <c r="W149" i="12"/>
  <c r="V150" i="12"/>
  <c r="W150" i="12"/>
  <c r="V151" i="12"/>
  <c r="W151" i="12"/>
  <c r="V152" i="12"/>
  <c r="W152" i="12"/>
  <c r="V153" i="12"/>
  <c r="W153" i="12"/>
  <c r="V154" i="12"/>
  <c r="W154" i="12"/>
  <c r="V155" i="12"/>
  <c r="W155" i="12"/>
  <c r="V156" i="12"/>
  <c r="W156" i="12"/>
  <c r="V157" i="12"/>
  <c r="W157" i="12"/>
  <c r="V158" i="12"/>
  <c r="W158" i="12"/>
  <c r="V159" i="12"/>
  <c r="W159" i="12"/>
  <c r="W140" i="12"/>
  <c r="V140" i="12"/>
  <c r="J22" i="17"/>
  <c r="J26" i="17" s="1"/>
  <c r="W343" i="12"/>
  <c r="V343" i="12"/>
  <c r="B22" i="12"/>
  <c r="C22" i="12"/>
  <c r="D22" i="12"/>
  <c r="E22" i="12"/>
  <c r="F22" i="12"/>
  <c r="G22" i="12"/>
  <c r="H22" i="12"/>
  <c r="I22" i="12"/>
  <c r="J22" i="12"/>
  <c r="K22" i="12"/>
  <c r="L22" i="12"/>
  <c r="M22" i="12"/>
  <c r="N22" i="12"/>
  <c r="O22" i="12"/>
  <c r="P22" i="12"/>
  <c r="Q22" i="12"/>
  <c r="R22" i="12"/>
  <c r="S22" i="12"/>
  <c r="T22" i="12"/>
  <c r="U22" i="12"/>
  <c r="V22" i="12"/>
  <c r="W22" i="12"/>
  <c r="X22" i="12"/>
  <c r="Y22" i="12"/>
  <c r="Z22" i="12"/>
  <c r="AA22" i="12"/>
  <c r="AB22" i="12"/>
  <c r="AC22" i="12"/>
  <c r="AD22" i="12"/>
  <c r="AE22" i="12"/>
  <c r="AF22" i="12"/>
  <c r="AG22" i="12"/>
  <c r="AH22" i="12"/>
  <c r="AI22" i="12"/>
  <c r="AJ22" i="12"/>
  <c r="AK22" i="12"/>
  <c r="B23" i="12"/>
  <c r="C23" i="12"/>
  <c r="D23" i="12"/>
  <c r="E23" i="12"/>
  <c r="F23" i="12"/>
  <c r="G23" i="12"/>
  <c r="H23" i="12"/>
  <c r="I23" i="12"/>
  <c r="J23" i="12"/>
  <c r="K23" i="12"/>
  <c r="L23" i="12"/>
  <c r="M23" i="12"/>
  <c r="N23" i="12"/>
  <c r="O23" i="12"/>
  <c r="P23" i="12"/>
  <c r="Q23" i="12"/>
  <c r="R23" i="12"/>
  <c r="S23" i="12"/>
  <c r="T23" i="12"/>
  <c r="U23" i="12"/>
  <c r="V23" i="12"/>
  <c r="W23" i="12"/>
  <c r="X23" i="12"/>
  <c r="Y23" i="12"/>
  <c r="Z23" i="12"/>
  <c r="AA23" i="12"/>
  <c r="AB23" i="12"/>
  <c r="AC23" i="12"/>
  <c r="AD23" i="12"/>
  <c r="AE23" i="12"/>
  <c r="AF23" i="12"/>
  <c r="AG23" i="12"/>
  <c r="AH23" i="12"/>
  <c r="AI23" i="12"/>
  <c r="AJ23" i="12"/>
  <c r="AK23" i="12"/>
  <c r="H124" i="12" a="1"/>
  <c r="H124" i="12" s="1"/>
  <c r="AL77" i="12" s="1"/>
  <c r="D66" i="26" s="1"/>
  <c r="AH98" i="12"/>
  <c r="AH99" i="12"/>
  <c r="AJ100" i="12"/>
  <c r="F98" i="12"/>
  <c r="F93" i="12"/>
  <c r="F97" i="12"/>
  <c r="AD96" i="12"/>
  <c r="R99" i="12"/>
  <c r="AI99" i="12"/>
  <c r="AI100" i="12"/>
  <c r="Q99" i="12"/>
  <c r="AI98" i="12"/>
  <c r="Q98" i="12"/>
  <c r="AD99" i="12"/>
  <c r="AF99" i="12"/>
  <c r="AJ99" i="12"/>
  <c r="R100" i="12"/>
  <c r="D100" i="12"/>
  <c r="AG99" i="12"/>
  <c r="S99" i="12"/>
  <c r="E100" i="12"/>
  <c r="AK98" i="12"/>
  <c r="S98" i="12"/>
  <c r="AI95" i="12"/>
  <c r="AG97" i="12"/>
  <c r="AE96" i="12"/>
  <c r="AJ96" i="12"/>
  <c r="S96" i="12"/>
  <c r="Q96" i="12"/>
  <c r="R96" i="12"/>
  <c r="Q94" i="12"/>
  <c r="R94" i="12"/>
  <c r="AD97" i="12"/>
  <c r="AF97" i="12"/>
  <c r="AD95" i="12"/>
  <c r="S97" i="12"/>
  <c r="R97" i="12"/>
  <c r="Q97" i="12"/>
  <c r="Q95" i="12"/>
  <c r="R95" i="12"/>
  <c r="Q93" i="12"/>
  <c r="R93" i="12"/>
  <c r="S93" i="12"/>
  <c r="C100" i="12"/>
  <c r="AK97" i="12"/>
  <c r="AK99" i="12"/>
  <c r="AI96" i="12"/>
  <c r="AJ97" i="12"/>
  <c r="AH97" i="12"/>
  <c r="AF96" i="12"/>
  <c r="AH96" i="12"/>
  <c r="AK100" i="12"/>
  <c r="AD98" i="12"/>
  <c r="AE100" i="12"/>
  <c r="R98" i="12"/>
  <c r="S100" i="12"/>
  <c r="AF100" i="12"/>
  <c r="AE98" i="12"/>
  <c r="AH100" i="12"/>
  <c r="AG98" i="12"/>
  <c r="AG96" i="12"/>
  <c r="AF98" i="12"/>
  <c r="AD100" i="12"/>
  <c r="AF95" i="12"/>
  <c r="AG95" i="12"/>
  <c r="AH95" i="12"/>
  <c r="AK96" i="12"/>
  <c r="AJ98" i="12"/>
  <c r="AG100" i="12"/>
  <c r="AH94" i="12"/>
  <c r="AD94" i="12"/>
  <c r="AF94" i="12"/>
  <c r="AI94" i="12"/>
  <c r="AH93" i="12"/>
  <c r="AE93" i="12"/>
  <c r="AF93" i="12"/>
  <c r="AG93" i="12"/>
  <c r="AD93" i="12"/>
  <c r="AI93" i="12"/>
  <c r="AJ93" i="12"/>
  <c r="AK93" i="12"/>
  <c r="AG94" i="12"/>
  <c r="AE94" i="12"/>
  <c r="AJ94" i="12"/>
  <c r="AI97" i="12"/>
  <c r="AJ95" i="12"/>
  <c r="AE95" i="12"/>
  <c r="AE97" i="12"/>
  <c r="AE99" i="12"/>
  <c r="I93" i="12"/>
  <c r="G93" i="12"/>
  <c r="I100" i="12"/>
  <c r="G100" i="12"/>
  <c r="I99" i="12"/>
  <c r="G99" i="12"/>
  <c r="I98" i="12"/>
  <c r="G98" i="12"/>
  <c r="I97" i="12"/>
  <c r="G97" i="12"/>
  <c r="I96" i="12"/>
  <c r="G96" i="12"/>
  <c r="I95" i="12"/>
  <c r="G95" i="12"/>
  <c r="I94" i="12"/>
  <c r="G94" i="12"/>
  <c r="J93" i="12"/>
  <c r="H93" i="12"/>
  <c r="J100" i="12"/>
  <c r="H100" i="12"/>
  <c r="F100" i="12"/>
  <c r="J99" i="12"/>
  <c r="H99" i="12"/>
  <c r="F99" i="12"/>
  <c r="J98" i="12"/>
  <c r="H98" i="12"/>
  <c r="J97" i="12"/>
  <c r="H97" i="12"/>
  <c r="J96" i="12"/>
  <c r="H96" i="12"/>
  <c r="F96" i="12"/>
  <c r="J95" i="12"/>
  <c r="H95" i="12"/>
  <c r="F95" i="12"/>
  <c r="J94" i="12"/>
  <c r="H94" i="12"/>
  <c r="B100" i="12"/>
  <c r="J25" i="17" l="1"/>
  <c r="C51" i="23"/>
  <c r="D51" i="23"/>
  <c r="N21" i="22"/>
  <c r="P21" i="22" s="1"/>
  <c r="T63" i="12"/>
  <c r="P93" i="12" s="1"/>
  <c r="C21" i="22"/>
  <c r="Q63" i="12"/>
  <c r="C22" i="22"/>
  <c r="E22" i="22" s="1"/>
  <c r="Q64" i="12"/>
  <c r="M22" i="22"/>
  <c r="M36" i="22"/>
  <c r="X22" i="22"/>
  <c r="W72" i="12"/>
  <c r="Q72" i="12"/>
  <c r="W73" i="12"/>
  <c r="W76" i="12"/>
  <c r="W71" i="12"/>
  <c r="W77" i="12"/>
  <c r="N22" i="22"/>
  <c r="P22" i="22" s="1"/>
  <c r="Q76" i="12"/>
  <c r="Q74" i="12"/>
  <c r="S75" i="12"/>
  <c r="T77" i="12"/>
  <c r="T72" i="12"/>
  <c r="W74" i="12"/>
  <c r="W75" i="12"/>
  <c r="T73" i="12"/>
  <c r="M31" i="22" s="1"/>
  <c r="T71" i="12"/>
  <c r="M29" i="22" s="1"/>
  <c r="T75" i="12"/>
  <c r="T76" i="12"/>
  <c r="M34" i="22" s="1"/>
  <c r="T74" i="12"/>
  <c r="P104" i="12" s="1"/>
  <c r="C33" i="22"/>
  <c r="E33" i="22" s="1"/>
  <c r="Q77" i="12"/>
  <c r="Q73" i="12"/>
  <c r="R73" i="12" s="1"/>
  <c r="S73" i="12" s="1"/>
  <c r="X229" i="12"/>
  <c r="X227" i="12"/>
  <c r="X225" i="12"/>
  <c r="X223" i="12"/>
  <c r="X221" i="12"/>
  <c r="X219" i="12"/>
  <c r="X217" i="12"/>
  <c r="X215" i="12"/>
  <c r="X213" i="12"/>
  <c r="X211" i="12"/>
  <c r="X209" i="12"/>
  <c r="X207" i="12"/>
  <c r="X205" i="12"/>
  <c r="X203" i="12"/>
  <c r="X201" i="12"/>
  <c r="X199" i="12"/>
  <c r="X197" i="12"/>
  <c r="X195" i="12"/>
  <c r="X193" i="12"/>
  <c r="X191" i="12"/>
  <c r="X177" i="12"/>
  <c r="Q65" i="12"/>
  <c r="X159" i="12"/>
  <c r="X155" i="12"/>
  <c r="X153" i="12"/>
  <c r="X151" i="12"/>
  <c r="X149" i="12"/>
  <c r="X147" i="12"/>
  <c r="X145" i="12"/>
  <c r="X143" i="12"/>
  <c r="X141" i="12"/>
  <c r="X338" i="12"/>
  <c r="X336" i="12"/>
  <c r="X332" i="12"/>
  <c r="X328" i="12"/>
  <c r="X326" i="12"/>
  <c r="X324" i="12"/>
  <c r="X322" i="12"/>
  <c r="X320" i="12"/>
  <c r="X306" i="12"/>
  <c r="X304" i="12"/>
  <c r="X302" i="12"/>
  <c r="X300" i="12"/>
  <c r="X298" i="12"/>
  <c r="X296" i="12"/>
  <c r="X292" i="12"/>
  <c r="X290" i="12"/>
  <c r="X288" i="12"/>
  <c r="X286" i="12"/>
  <c r="X282" i="12"/>
  <c r="X280" i="12"/>
  <c r="X278" i="12"/>
  <c r="X276" i="12"/>
  <c r="X272" i="12"/>
  <c r="X270" i="12"/>
  <c r="X266" i="12"/>
  <c r="X264" i="12"/>
  <c r="X262" i="12"/>
  <c r="X260" i="12"/>
  <c r="X258" i="12"/>
  <c r="X252" i="12"/>
  <c r="X250" i="12"/>
  <c r="X248" i="12"/>
  <c r="X246" i="12"/>
  <c r="X244" i="12"/>
  <c r="X240" i="12"/>
  <c r="X238" i="12"/>
  <c r="X236" i="12"/>
  <c r="X234" i="12"/>
  <c r="X232" i="12"/>
  <c r="X228" i="12"/>
  <c r="X226" i="12"/>
  <c r="X224" i="12"/>
  <c r="X222" i="12"/>
  <c r="X220" i="12"/>
  <c r="X218" i="12"/>
  <c r="X214" i="12"/>
  <c r="X212" i="12"/>
  <c r="X210" i="12"/>
  <c r="X206" i="12"/>
  <c r="X196" i="12"/>
  <c r="X194" i="12"/>
  <c r="X192" i="12"/>
  <c r="X190" i="12"/>
  <c r="X188" i="12"/>
  <c r="X186" i="12"/>
  <c r="X184" i="12"/>
  <c r="X182" i="12"/>
  <c r="X180" i="12"/>
  <c r="X178" i="12"/>
  <c r="X176" i="12"/>
  <c r="X174" i="12"/>
  <c r="X172" i="12"/>
  <c r="X170" i="12"/>
  <c r="X71" i="12"/>
  <c r="Y71" i="12" s="1"/>
  <c r="T65" i="12"/>
  <c r="P95" i="12" s="1"/>
  <c r="P35" i="22"/>
  <c r="P36" i="22"/>
  <c r="Q67" i="12"/>
  <c r="T66" i="12"/>
  <c r="P96" i="12" s="1"/>
  <c r="Q66" i="12"/>
  <c r="W65" i="12"/>
  <c r="X23" i="22" s="1"/>
  <c r="AA26" i="22"/>
  <c r="P25" i="22"/>
  <c r="P26" i="22"/>
  <c r="P30" i="22"/>
  <c r="AA27" i="22"/>
  <c r="U71" i="12"/>
  <c r="V71" i="12" s="1"/>
  <c r="X75" i="12"/>
  <c r="Y75" i="12" s="1"/>
  <c r="U75" i="12"/>
  <c r="V75" i="12" s="1"/>
  <c r="B33" i="22"/>
  <c r="R71" i="12"/>
  <c r="S71" i="12" s="1"/>
  <c r="N9" i="17"/>
  <c r="E34" i="22"/>
  <c r="E26" i="22"/>
  <c r="P34" i="22"/>
  <c r="E31" i="22"/>
  <c r="AA31" i="22"/>
  <c r="AA32" i="22"/>
  <c r="E32" i="22"/>
  <c r="E28" i="22"/>
  <c r="P23" i="22"/>
  <c r="P28" i="22"/>
  <c r="P33" i="22"/>
  <c r="AA28" i="22"/>
  <c r="AA29" i="22"/>
  <c r="AA30" i="22"/>
  <c r="AA35" i="22"/>
  <c r="AM73" i="12"/>
  <c r="AN73" i="12" s="1"/>
  <c r="X308" i="12"/>
  <c r="X294" i="12"/>
  <c r="X284" i="12"/>
  <c r="X256" i="12"/>
  <c r="X254" i="12"/>
  <c r="X242" i="12"/>
  <c r="X216" i="12"/>
  <c r="X152" i="12"/>
  <c r="X158" i="12"/>
  <c r="X156" i="12"/>
  <c r="X154" i="12"/>
  <c r="X144" i="12"/>
  <c r="X291" i="12"/>
  <c r="X285" i="12"/>
  <c r="X267" i="12"/>
  <c r="X265" i="12"/>
  <c r="X241" i="12"/>
  <c r="X169" i="12"/>
  <c r="E23" i="22"/>
  <c r="X140" i="12"/>
  <c r="X343" i="12"/>
  <c r="AL80" i="12"/>
  <c r="D69" i="26" s="1"/>
  <c r="AL81" i="12"/>
  <c r="D70" i="26" s="1"/>
  <c r="AL79" i="12"/>
  <c r="D68" i="26" s="1"/>
  <c r="X142" i="12"/>
  <c r="X339" i="12"/>
  <c r="X337" i="12"/>
  <c r="X335" i="12"/>
  <c r="X333" i="12"/>
  <c r="X331" i="12"/>
  <c r="X329" i="12"/>
  <c r="X327" i="12"/>
  <c r="X325" i="12"/>
  <c r="X323" i="12"/>
  <c r="X321" i="12"/>
  <c r="X319" i="12"/>
  <c r="X317" i="12"/>
  <c r="X315" i="12"/>
  <c r="X313" i="12"/>
  <c r="X311" i="12"/>
  <c r="X309" i="12"/>
  <c r="X307" i="12"/>
  <c r="X305" i="12"/>
  <c r="X303" i="12"/>
  <c r="X301" i="12"/>
  <c r="X299" i="12"/>
  <c r="X297" i="12"/>
  <c r="X295" i="12"/>
  <c r="X293" i="12"/>
  <c r="X283" i="12"/>
  <c r="X281" i="12"/>
  <c r="X279" i="12"/>
  <c r="X277" i="12"/>
  <c r="X275" i="12"/>
  <c r="X273" i="12"/>
  <c r="X271" i="12"/>
  <c r="X269" i="12"/>
  <c r="X263" i="12"/>
  <c r="X261" i="12"/>
  <c r="X259" i="12"/>
  <c r="X257" i="12"/>
  <c r="X255" i="12"/>
  <c r="X253" i="12"/>
  <c r="X251" i="12"/>
  <c r="X249" i="12"/>
  <c r="X247" i="12"/>
  <c r="X245" i="12"/>
  <c r="X243" i="12"/>
  <c r="X239" i="12"/>
  <c r="X231" i="12"/>
  <c r="X168" i="12"/>
  <c r="X166" i="12"/>
  <c r="X164" i="12"/>
  <c r="X162" i="12"/>
  <c r="X160" i="12"/>
  <c r="X230" i="12"/>
  <c r="X208" i="12"/>
  <c r="X198" i="12"/>
  <c r="X157" i="12"/>
  <c r="X334" i="12"/>
  <c r="X330" i="12"/>
  <c r="X318" i="12"/>
  <c r="X274" i="12"/>
  <c r="X189" i="12"/>
  <c r="X187" i="12"/>
  <c r="X185" i="12"/>
  <c r="X183" i="12"/>
  <c r="X181" i="12"/>
  <c r="X179" i="12"/>
  <c r="X175" i="12"/>
  <c r="X173" i="12"/>
  <c r="X171" i="12"/>
  <c r="X161" i="12"/>
  <c r="AA36" i="22"/>
  <c r="AA23" i="22"/>
  <c r="Y24" i="22"/>
  <c r="AA24" i="22" s="1"/>
  <c r="X78" i="12"/>
  <c r="Y78" i="12" s="1"/>
  <c r="Y21" i="22"/>
  <c r="AA21" i="22" s="1"/>
  <c r="Y22" i="22"/>
  <c r="AA22" i="22" s="1"/>
  <c r="W66" i="12"/>
  <c r="Z34" i="22"/>
  <c r="AA34" i="22" s="1"/>
  <c r="AA25" i="22"/>
  <c r="AA33" i="22"/>
  <c r="P29" i="22"/>
  <c r="P31" i="22"/>
  <c r="P27" i="22"/>
  <c r="P32" i="22"/>
  <c r="P24" i="22"/>
  <c r="E30" i="22"/>
  <c r="E36" i="22"/>
  <c r="C29" i="22"/>
  <c r="E29" i="22" s="1"/>
  <c r="C27" i="22"/>
  <c r="E27" i="22" s="1"/>
  <c r="C25" i="22"/>
  <c r="E25" i="22" s="1"/>
  <c r="D21" i="22"/>
  <c r="R78" i="12"/>
  <c r="S78" i="12" s="1"/>
  <c r="E35" i="22"/>
  <c r="E24" i="22"/>
  <c r="U78" i="12"/>
  <c r="V78" i="12" s="1"/>
  <c r="AN79" i="12"/>
  <c r="AN77" i="12"/>
  <c r="AN78" i="12"/>
  <c r="AN81" i="12"/>
  <c r="AN80" i="12"/>
  <c r="AM79" i="12"/>
  <c r="AM77" i="12"/>
  <c r="AM81" i="12"/>
  <c r="AM80" i="12"/>
  <c r="AM78" i="12"/>
  <c r="AM65" i="12"/>
  <c r="AN65" i="12" s="1"/>
  <c r="X344" i="12"/>
  <c r="AL78" i="12"/>
  <c r="D67" i="26" s="1"/>
  <c r="X150" i="12"/>
  <c r="X148" i="12"/>
  <c r="X146" i="12"/>
  <c r="X316" i="12"/>
  <c r="X314" i="12"/>
  <c r="X312" i="12"/>
  <c r="X310" i="12"/>
  <c r="X289" i="12"/>
  <c r="X287" i="12"/>
  <c r="X268" i="12"/>
  <c r="X237" i="12"/>
  <c r="X235" i="12"/>
  <c r="X233" i="12"/>
  <c r="X204" i="12"/>
  <c r="X202" i="12"/>
  <c r="X200" i="12"/>
  <c r="X167" i="12"/>
  <c r="X165" i="12"/>
  <c r="X163" i="12"/>
  <c r="AM72" i="12"/>
  <c r="AN72" i="12" s="1"/>
  <c r="AM69" i="12"/>
  <c r="AN69" i="12" s="1"/>
  <c r="AM68" i="12"/>
  <c r="AN68" i="12" s="1"/>
  <c r="X345" i="12"/>
  <c r="N15" i="17" a="1"/>
  <c r="N15" i="17" s="1"/>
  <c r="L4" i="21"/>
  <c r="AE116" i="12"/>
  <c r="X21" i="22"/>
  <c r="AM64" i="12"/>
  <c r="AN64" i="12" s="1"/>
  <c r="AM63" i="12"/>
  <c r="AN63" i="12" s="1"/>
  <c r="AM71" i="12"/>
  <c r="AN71" i="12" s="1"/>
  <c r="D93" i="12" l="1"/>
  <c r="E93" i="12"/>
  <c r="E97" i="12"/>
  <c r="D97" i="12"/>
  <c r="B23" i="22"/>
  <c r="E95" i="12"/>
  <c r="D95" i="12"/>
  <c r="U64" i="12"/>
  <c r="V64" i="12" s="1"/>
  <c r="E94" i="12"/>
  <c r="D94" i="12"/>
  <c r="E96" i="12"/>
  <c r="D96" i="12"/>
  <c r="E21" i="22"/>
  <c r="C59" i="22" s="1" a="1"/>
  <c r="C59" i="22" s="1"/>
  <c r="E51" i="23"/>
  <c r="B24" i="22"/>
  <c r="R77" i="12"/>
  <c r="S77" i="12" s="1"/>
  <c r="P105" i="12"/>
  <c r="B32" i="22"/>
  <c r="B93" i="12"/>
  <c r="C94" i="12"/>
  <c r="P106" i="12"/>
  <c r="U74" i="12"/>
  <c r="V74" i="12" s="1"/>
  <c r="U77" i="12"/>
  <c r="V77" i="12" s="1"/>
  <c r="B35" i="22"/>
  <c r="R74" i="12"/>
  <c r="S74" i="12" s="1"/>
  <c r="B22" i="22"/>
  <c r="X30" i="22"/>
  <c r="B30" i="22"/>
  <c r="X72" i="12"/>
  <c r="Y72" i="12" s="1"/>
  <c r="R72" i="12"/>
  <c r="S72" i="12" s="1"/>
  <c r="U72" i="12"/>
  <c r="V72" i="12" s="1"/>
  <c r="E57" i="23"/>
  <c r="C96" i="12"/>
  <c r="X31" i="22"/>
  <c r="U73" i="12"/>
  <c r="V73" i="12" s="1"/>
  <c r="Q105" i="12"/>
  <c r="X34" i="22"/>
  <c r="X29" i="22"/>
  <c r="X35" i="22"/>
  <c r="B34" i="22"/>
  <c r="R76" i="12"/>
  <c r="S76" i="12" s="1"/>
  <c r="X77" i="12"/>
  <c r="Y77" i="12" s="1"/>
  <c r="X76" i="12"/>
  <c r="Y76" i="12" s="1"/>
  <c r="X74" i="12"/>
  <c r="Y74" i="12" s="1"/>
  <c r="U76" i="12"/>
  <c r="V76" i="12" s="1"/>
  <c r="E52" i="23"/>
  <c r="X73" i="12"/>
  <c r="Y73" i="12" s="1"/>
  <c r="E54" i="23"/>
  <c r="M30" i="22"/>
  <c r="Q104" i="12"/>
  <c r="Q102" i="12"/>
  <c r="P102" i="12"/>
  <c r="P103" i="12"/>
  <c r="M35" i="22"/>
  <c r="P107" i="12"/>
  <c r="Q107" i="12"/>
  <c r="P101" i="12"/>
  <c r="Q101" i="12"/>
  <c r="X32" i="22"/>
  <c r="X33" i="22"/>
  <c r="Q103" i="12"/>
  <c r="M33" i="22"/>
  <c r="M32" i="22"/>
  <c r="Q106" i="12"/>
  <c r="X63" i="12"/>
  <c r="Y63" i="12" s="1"/>
  <c r="B31" i="22"/>
  <c r="R65" i="12"/>
  <c r="S65" i="12" s="1"/>
  <c r="U65" i="12"/>
  <c r="V65" i="12" s="1"/>
  <c r="U63" i="12"/>
  <c r="V63" i="12" s="1"/>
  <c r="B96" i="12"/>
  <c r="B95" i="12"/>
  <c r="C95" i="12"/>
  <c r="X65" i="12"/>
  <c r="Y65" i="12" s="1"/>
  <c r="M23" i="22"/>
  <c r="C93" i="12"/>
  <c r="R63" i="12"/>
  <c r="S63" i="12" s="1"/>
  <c r="R66" i="12"/>
  <c r="S66" i="12" s="1"/>
  <c r="X66" i="12"/>
  <c r="Y66" i="12" s="1"/>
  <c r="B21" i="22"/>
  <c r="E53" i="23"/>
  <c r="I64" i="23"/>
  <c r="B97" i="12"/>
  <c r="C97" i="12"/>
  <c r="U67" i="12"/>
  <c r="V67" i="12" s="1"/>
  <c r="R67" i="12"/>
  <c r="S67" i="12" s="1"/>
  <c r="B25" i="22"/>
  <c r="X67" i="12"/>
  <c r="Y67" i="12" s="1"/>
  <c r="M24" i="22"/>
  <c r="U66" i="12"/>
  <c r="V66" i="12" s="1"/>
  <c r="R64" i="12"/>
  <c r="S64" i="12" s="1"/>
  <c r="W67" i="12"/>
  <c r="T67" i="12"/>
  <c r="P97" i="12" s="1"/>
  <c r="E55" i="23"/>
  <c r="E56" i="23"/>
  <c r="K15" i="17"/>
  <c r="N16" i="17" s="1" a="1"/>
  <c r="N16" i="17" s="1"/>
  <c r="L6" i="21" s="1"/>
  <c r="N59" i="22" a="1"/>
  <c r="N59" i="22" s="1"/>
  <c r="B94" i="12"/>
  <c r="X64" i="12"/>
  <c r="Y64" i="12" s="1"/>
  <c r="Y59" i="22" a="1"/>
  <c r="Y59" i="22" s="1"/>
  <c r="X24" i="22"/>
  <c r="M21" i="22"/>
  <c r="L5" i="21"/>
  <c r="M25" i="22" l="1"/>
  <c r="X25" i="22"/>
  <c r="W68" i="12"/>
  <c r="T68" i="12"/>
  <c r="P98" i="12" s="1"/>
  <c r="Q68" i="12"/>
  <c r="K16" i="17"/>
  <c r="K17" i="17" s="1"/>
  <c r="I7" i="21" s="1"/>
  <c r="I5" i="21"/>
  <c r="D98" i="12" l="1"/>
  <c r="E98" i="12"/>
  <c r="T69" i="12"/>
  <c r="P99" i="12" s="1"/>
  <c r="W69" i="12"/>
  <c r="Q69" i="12"/>
  <c r="M26" i="22"/>
  <c r="X26" i="22"/>
  <c r="B98" i="12"/>
  <c r="C98" i="12"/>
  <c r="R68" i="12"/>
  <c r="S68" i="12" s="1"/>
  <c r="X68" i="12"/>
  <c r="Y68" i="12" s="1"/>
  <c r="U68" i="12"/>
  <c r="V68" i="12" s="1"/>
  <c r="B26" i="22"/>
  <c r="I6" i="21"/>
  <c r="K18" i="17"/>
  <c r="I8" i="21" s="1"/>
  <c r="N17" i="17" a="1"/>
  <c r="N17" i="17" s="1"/>
  <c r="L7" i="21" s="1"/>
  <c r="E99" i="12" l="1"/>
  <c r="D99" i="12"/>
  <c r="B27" i="22"/>
  <c r="C99" i="12"/>
  <c r="U69" i="12"/>
  <c r="V69" i="12" s="1"/>
  <c r="R69" i="12"/>
  <c r="S69" i="12" s="1"/>
  <c r="B99" i="12"/>
  <c r="X69" i="12"/>
  <c r="Y69" i="12" s="1"/>
  <c r="M27" i="22"/>
  <c r="X27" i="22"/>
  <c r="W70" i="12"/>
  <c r="Q70" i="12"/>
  <c r="C121" i="12" s="1" a="1"/>
  <c r="C121" i="12" s="1"/>
  <c r="T70" i="12"/>
  <c r="K19" i="17"/>
  <c r="I9" i="21" s="1"/>
  <c r="N18" i="17" a="1"/>
  <c r="N18" i="17" s="1"/>
  <c r="L8" i="21" s="1"/>
  <c r="Q100" i="12" l="1"/>
  <c r="P100" i="12"/>
  <c r="C116" i="12"/>
  <c r="C122" i="12" a="1"/>
  <c r="C122" i="12" s="1"/>
  <c r="C123" i="12" s="1"/>
  <c r="C119" i="12"/>
  <c r="AL82" i="12" s="1"/>
  <c r="D71" i="26" s="1"/>
  <c r="M28" i="22"/>
  <c r="M43" i="22" s="1" a="1"/>
  <c r="M43" i="22" s="1"/>
  <c r="X28" i="22"/>
  <c r="AE122" i="12" a="1"/>
  <c r="AE122" i="12" s="1"/>
  <c r="AE121" i="12" a="1"/>
  <c r="AE121" i="12" s="1"/>
  <c r="U70" i="12"/>
  <c r="V70" i="12" s="1"/>
  <c r="R70" i="12"/>
  <c r="S70" i="12" s="1"/>
  <c r="B28" i="22"/>
  <c r="E41" i="22" s="1" a="1"/>
  <c r="E41" i="22" s="1"/>
  <c r="X70" i="12"/>
  <c r="Y70" i="12" s="1"/>
  <c r="Q122" i="12" a="1"/>
  <c r="Q122" i="12" s="1"/>
  <c r="Q121" i="12" a="1"/>
  <c r="Q121" i="12" s="1"/>
  <c r="N19" i="17" a="1"/>
  <c r="N19" i="17" s="1"/>
  <c r="L9" i="21" s="1"/>
  <c r="P50" i="22" l="1" a="1"/>
  <c r="P50" i="22" s="1"/>
  <c r="Q50" i="22" s="1"/>
  <c r="O50" i="22" s="1"/>
  <c r="I113" i="12"/>
  <c r="K113" i="12"/>
  <c r="P43" i="22" a="1"/>
  <c r="P43" i="22" s="1"/>
  <c r="M53" i="22" a="1"/>
  <c r="M53" i="22" s="1"/>
  <c r="N53" i="22" s="1"/>
  <c r="L53" i="22" s="1"/>
  <c r="P47" i="22" a="1"/>
  <c r="P47" i="22" s="1"/>
  <c r="Q47" i="22" s="1"/>
  <c r="O47" i="22" s="1"/>
  <c r="P44" i="22" a="1"/>
  <c r="P44" i="22" s="1"/>
  <c r="H113" i="12"/>
  <c r="Q116" i="12"/>
  <c r="J113" i="12"/>
  <c r="C120" i="12"/>
  <c r="AL83" i="12" s="1"/>
  <c r="P51" i="22" a="1"/>
  <c r="P51" i="22" s="1"/>
  <c r="Q51" i="22" s="1"/>
  <c r="O51" i="22" s="1"/>
  <c r="M50" i="22" a="1"/>
  <c r="M50" i="22" s="1"/>
  <c r="N50" i="22" s="1"/>
  <c r="L50" i="22" s="1"/>
  <c r="B43" i="22" a="1"/>
  <c r="B43" i="22" s="1"/>
  <c r="M51" i="22" a="1"/>
  <c r="M51" i="22" s="1"/>
  <c r="N51" i="22" s="1"/>
  <c r="L51" i="22" s="1"/>
  <c r="B45" i="22" a="1"/>
  <c r="B45" i="22" s="1"/>
  <c r="E39" i="22" a="1"/>
  <c r="E39" i="22" s="1"/>
  <c r="M47" i="22" a="1"/>
  <c r="M47" i="22" s="1"/>
  <c r="N47" i="22" s="1"/>
  <c r="L47" i="22" s="1"/>
  <c r="B42" i="22" a="1"/>
  <c r="B42" i="22" s="1"/>
  <c r="M54" i="22" a="1"/>
  <c r="M54" i="22" s="1"/>
  <c r="N54" i="22" s="1"/>
  <c r="L54" i="22" s="1"/>
  <c r="E43" i="22" a="1"/>
  <c r="E43" i="22" s="1"/>
  <c r="P40" i="22" a="1"/>
  <c r="P40" i="22" s="1"/>
  <c r="M42" i="22" a="1"/>
  <c r="M42" i="22" s="1"/>
  <c r="P52" i="22" a="1"/>
  <c r="P52" i="22" s="1"/>
  <c r="Q52" i="22" s="1"/>
  <c r="O52" i="22" s="1"/>
  <c r="P46" i="22" a="1"/>
  <c r="P46" i="22" s="1"/>
  <c r="Q46" i="22" s="1"/>
  <c r="O46" i="22" s="1"/>
  <c r="M52" i="22" a="1"/>
  <c r="M52" i="22" s="1"/>
  <c r="N52" i="22" s="1"/>
  <c r="L52" i="22" s="1"/>
  <c r="P53" i="22" a="1"/>
  <c r="P53" i="22" s="1"/>
  <c r="Q53" i="22" s="1"/>
  <c r="O53" i="22" s="1"/>
  <c r="M39" i="22" a="1"/>
  <c r="M39" i="22" s="1"/>
  <c r="M49" i="22" a="1"/>
  <c r="M49" i="22" s="1"/>
  <c r="N49" i="22" s="1"/>
  <c r="L49" i="22" s="1"/>
  <c r="M46" i="22" a="1"/>
  <c r="M46" i="22" s="1"/>
  <c r="N46" i="22" s="1"/>
  <c r="L46" i="22" s="1"/>
  <c r="P39" i="22" a="1"/>
  <c r="P39" i="22" s="1"/>
  <c r="P48" i="22" a="1"/>
  <c r="P48" i="22" s="1"/>
  <c r="Q48" i="22" s="1"/>
  <c r="O48" i="22" s="1"/>
  <c r="H114" i="12"/>
  <c r="J114" i="12"/>
  <c r="K114" i="12"/>
  <c r="C124" i="12"/>
  <c r="AB63" i="12" s="1"/>
  <c r="I114" i="12"/>
  <c r="X45" i="22" a="1"/>
  <c r="X45" i="22" s="1"/>
  <c r="Y45" i="22" s="1"/>
  <c r="W45" i="22" s="1"/>
  <c r="X41" i="22" a="1"/>
  <c r="X41" i="22" s="1"/>
  <c r="Y41" i="22" s="1"/>
  <c r="W41" i="22" s="1"/>
  <c r="X43" i="22" a="1"/>
  <c r="X43" i="22" s="1"/>
  <c r="Y43" i="22" s="1"/>
  <c r="W43" i="22" s="1"/>
  <c r="AA40" i="22" a="1"/>
  <c r="AA40" i="22" s="1"/>
  <c r="AB40" i="22" s="1"/>
  <c r="Z40" i="22" s="1"/>
  <c r="AA49" i="22" a="1"/>
  <c r="AA49" i="22" s="1"/>
  <c r="AB49" i="22" s="1"/>
  <c r="Z49" i="22" s="1"/>
  <c r="X54" i="22" a="1"/>
  <c r="X54" i="22" s="1"/>
  <c r="Y54" i="22" s="1"/>
  <c r="W54" i="22" s="1"/>
  <c r="AA43" i="22" a="1"/>
  <c r="AA43" i="22" s="1"/>
  <c r="AB43" i="22" s="1"/>
  <c r="Z43" i="22" s="1"/>
  <c r="X49" i="22" a="1"/>
  <c r="X49" i="22" s="1"/>
  <c r="Y49" i="22" s="1"/>
  <c r="W49" i="22" s="1"/>
  <c r="AA50" i="22" a="1"/>
  <c r="AA50" i="22" s="1"/>
  <c r="AB50" i="22" s="1"/>
  <c r="Z50" i="22" s="1"/>
  <c r="AA53" i="22" a="1"/>
  <c r="AA53" i="22" s="1"/>
  <c r="AB53" i="22" s="1"/>
  <c r="Z53" i="22" s="1"/>
  <c r="AA51" i="22" a="1"/>
  <c r="AA51" i="22" s="1"/>
  <c r="AB51" i="22" s="1"/>
  <c r="Z51" i="22" s="1"/>
  <c r="AA44" i="22" a="1"/>
  <c r="AA44" i="22" s="1"/>
  <c r="AB44" i="22" s="1"/>
  <c r="Z44" i="22" s="1"/>
  <c r="X46" i="22" a="1"/>
  <c r="X46" i="22" s="1"/>
  <c r="Y46" i="22" s="1"/>
  <c r="W46" i="22" s="1"/>
  <c r="AA52" i="22" a="1"/>
  <c r="AA52" i="22" s="1"/>
  <c r="AB52" i="22" s="1"/>
  <c r="Z52" i="22" s="1"/>
  <c r="X53" i="22" a="1"/>
  <c r="X53" i="22" s="1"/>
  <c r="Y53" i="22" s="1"/>
  <c r="W53" i="22" s="1"/>
  <c r="X48" i="22" a="1"/>
  <c r="X48" i="22" s="1"/>
  <c r="Y48" i="22" s="1"/>
  <c r="W48" i="22" s="1"/>
  <c r="AA42" i="22" a="1"/>
  <c r="AA42" i="22" s="1"/>
  <c r="AB42" i="22" s="1"/>
  <c r="Z42" i="22" s="1"/>
  <c r="AA45" i="22" a="1"/>
  <c r="AA45" i="22" s="1"/>
  <c r="AB45" i="22" s="1"/>
  <c r="Z45" i="22" s="1"/>
  <c r="AA39" i="22" a="1"/>
  <c r="AA39" i="22" s="1"/>
  <c r="AB39" i="22" s="1"/>
  <c r="Z39" i="22" s="1"/>
  <c r="X44" i="22" a="1"/>
  <c r="X44" i="22" s="1"/>
  <c r="Y44" i="22" s="1"/>
  <c r="W44" i="22" s="1"/>
  <c r="X50" i="22" a="1"/>
  <c r="X50" i="22" s="1"/>
  <c r="Y50" i="22" s="1"/>
  <c r="W50" i="22" s="1"/>
  <c r="X47" i="22" a="1"/>
  <c r="X47" i="22" s="1"/>
  <c r="Y47" i="22" s="1"/>
  <c r="W47" i="22" s="1"/>
  <c r="X42" i="22" a="1"/>
  <c r="X42" i="22" s="1"/>
  <c r="Y42" i="22" s="1"/>
  <c r="W42" i="22" s="1"/>
  <c r="AA47" i="22" a="1"/>
  <c r="AA47" i="22" s="1"/>
  <c r="AB47" i="22" s="1"/>
  <c r="Z47" i="22" s="1"/>
  <c r="AA46" i="22" a="1"/>
  <c r="AA46" i="22" s="1"/>
  <c r="AB46" i="22" s="1"/>
  <c r="Z46" i="22" s="1"/>
  <c r="X40" i="22" a="1"/>
  <c r="X40" i="22" s="1"/>
  <c r="Y40" i="22" s="1"/>
  <c r="W40" i="22" s="1"/>
  <c r="AA41" i="22" a="1"/>
  <c r="AA41" i="22" s="1"/>
  <c r="AB41" i="22" s="1"/>
  <c r="Z41" i="22" s="1"/>
  <c r="X52" i="22" a="1"/>
  <c r="X52" i="22" s="1"/>
  <c r="Y52" i="22" s="1"/>
  <c r="W52" i="22" s="1"/>
  <c r="X51" i="22" a="1"/>
  <c r="X51" i="22" s="1"/>
  <c r="Y51" i="22" s="1"/>
  <c r="W51" i="22" s="1"/>
  <c r="AA48" i="22" a="1"/>
  <c r="AA48" i="22" s="1"/>
  <c r="AB48" i="22" s="1"/>
  <c r="Z48" i="22" s="1"/>
  <c r="Q119" i="12"/>
  <c r="AM82" i="12" s="1"/>
  <c r="V113" i="12"/>
  <c r="W113" i="12"/>
  <c r="Y113" i="12"/>
  <c r="X113" i="12"/>
  <c r="Q120" i="12"/>
  <c r="AM83" i="12" s="1"/>
  <c r="Q123" i="12"/>
  <c r="AK113" i="12"/>
  <c r="AL113" i="12"/>
  <c r="AJ113" i="12"/>
  <c r="AM113" i="12"/>
  <c r="AE119" i="12"/>
  <c r="AN82" i="12" s="1"/>
  <c r="P45" i="22" a="1"/>
  <c r="P45" i="22" s="1"/>
  <c r="M44" i="22" a="1"/>
  <c r="M44" i="22" s="1"/>
  <c r="M40" i="22" a="1"/>
  <c r="M40" i="22" s="1"/>
  <c r="P49" i="22" a="1"/>
  <c r="P49" i="22" s="1"/>
  <c r="Q49" i="22" s="1"/>
  <c r="O49" i="22" s="1"/>
  <c r="P42" i="22" a="1"/>
  <c r="P42" i="22" s="1"/>
  <c r="P41" i="22" a="1"/>
  <c r="P41" i="22" s="1"/>
  <c r="M41" i="22" a="1"/>
  <c r="M41" i="22" s="1"/>
  <c r="P54" i="22" a="1"/>
  <c r="P54" i="22" s="1"/>
  <c r="Q54" i="22" s="1"/>
  <c r="O54" i="22" s="1"/>
  <c r="M48" i="22" a="1"/>
  <c r="M48" i="22" s="1"/>
  <c r="N48" i="22" s="1"/>
  <c r="L48" i="22" s="1"/>
  <c r="B47" i="22" a="1"/>
  <c r="B47" i="22" s="1"/>
  <c r="C47" i="22" s="1"/>
  <c r="A47" i="22" s="1"/>
  <c r="E42" i="22" a="1"/>
  <c r="E42" i="22" s="1"/>
  <c r="E40" i="22" a="1"/>
  <c r="E40" i="22" s="1"/>
  <c r="B54" i="22" a="1"/>
  <c r="B54" i="22" s="1"/>
  <c r="C54" i="22" s="1"/>
  <c r="A54" i="22" s="1"/>
  <c r="B46" i="22" a="1"/>
  <c r="B46" i="22" s="1"/>
  <c r="C46" i="22" s="1"/>
  <c r="A46" i="22" s="1"/>
  <c r="E49" i="22" a="1"/>
  <c r="E49" i="22" s="1"/>
  <c r="F49" i="22" s="1"/>
  <c r="D49" i="22" s="1"/>
  <c r="X39" i="22" a="1"/>
  <c r="X39" i="22" s="1"/>
  <c r="Y39" i="22" s="1"/>
  <c r="W39" i="22" s="1"/>
  <c r="B50" i="22" a="1"/>
  <c r="B50" i="22" s="1"/>
  <c r="C50" i="22" s="1"/>
  <c r="A50" i="22" s="1"/>
  <c r="E48" i="22" a="1"/>
  <c r="E48" i="22" s="1"/>
  <c r="F48" i="22" s="1"/>
  <c r="D48" i="22" s="1"/>
  <c r="AA54" i="22" a="1"/>
  <c r="AA54" i="22" s="1"/>
  <c r="AB54" i="22" s="1"/>
  <c r="Z54" i="22" s="1"/>
  <c r="E51" i="22" a="1"/>
  <c r="E51" i="22" s="1"/>
  <c r="F51" i="22" s="1"/>
  <c r="D51" i="22" s="1"/>
  <c r="E54" i="22" a="1"/>
  <c r="E54" i="22" s="1"/>
  <c r="F54" i="22" s="1"/>
  <c r="D54" i="22" s="1"/>
  <c r="E46" i="22" a="1"/>
  <c r="E46" i="22" s="1"/>
  <c r="F46" i="22" s="1"/>
  <c r="D46" i="22" s="1"/>
  <c r="E53" i="22" a="1"/>
  <c r="E53" i="22" s="1"/>
  <c r="F53" i="22" s="1"/>
  <c r="D53" i="22" s="1"/>
  <c r="B40" i="22" a="1"/>
  <c r="B40" i="22" s="1"/>
  <c r="E47" i="22" a="1"/>
  <c r="E47" i="22" s="1"/>
  <c r="F47" i="22" s="1"/>
  <c r="D47" i="22" s="1"/>
  <c r="B41" i="22" a="1"/>
  <c r="B41" i="22" s="1"/>
  <c r="B51" i="22" a="1"/>
  <c r="B51" i="22" s="1"/>
  <c r="C51" i="22" s="1"/>
  <c r="A51" i="22" s="1"/>
  <c r="E52" i="22" a="1"/>
  <c r="E52" i="22" s="1"/>
  <c r="F52" i="22" s="1"/>
  <c r="D52" i="22" s="1"/>
  <c r="B52" i="22" a="1"/>
  <c r="B52" i="22" s="1"/>
  <c r="C52" i="22" s="1"/>
  <c r="A52" i="22" s="1"/>
  <c r="B49" i="22" a="1"/>
  <c r="B49" i="22" s="1"/>
  <c r="C49" i="22" s="1"/>
  <c r="A49" i="22" s="1"/>
  <c r="B48" i="22" a="1"/>
  <c r="B48" i="22" s="1"/>
  <c r="C48" i="22" s="1"/>
  <c r="A48" i="22" s="1"/>
  <c r="AE120" i="12"/>
  <c r="AN83" i="12" s="1"/>
  <c r="AE123" i="12"/>
  <c r="B44" i="22" a="1"/>
  <c r="B44" i="22" s="1"/>
  <c r="E44" i="22" a="1"/>
  <c r="E44" i="22" s="1"/>
  <c r="B53" i="22" a="1"/>
  <c r="B53" i="22" s="1"/>
  <c r="C53" i="22" s="1"/>
  <c r="A53" i="22" s="1"/>
  <c r="E45" i="22" a="1"/>
  <c r="E45" i="22" s="1"/>
  <c r="E50" i="22" a="1"/>
  <c r="E50" i="22" s="1"/>
  <c r="F50" i="22" s="1"/>
  <c r="D50" i="22" s="1"/>
  <c r="M45" i="22" a="1"/>
  <c r="M45" i="22" s="1"/>
  <c r="B39" i="22" a="1"/>
  <c r="B39" i="22" s="1"/>
  <c r="AV134" i="12"/>
  <c r="AM130" i="12"/>
  <c r="AR132" i="12"/>
  <c r="AQ134" i="12"/>
  <c r="AL129" i="12"/>
  <c r="AU135" i="12"/>
  <c r="AV130" i="12"/>
  <c r="AP134" i="12"/>
  <c r="AW134" i="12"/>
  <c r="AW131" i="12"/>
  <c r="AR130" i="12"/>
  <c r="AP132" i="12"/>
  <c r="AM133" i="12"/>
  <c r="AV132" i="12"/>
  <c r="AM131" i="12"/>
  <c r="AL130" i="12"/>
  <c r="AS134" i="12"/>
  <c r="AV129" i="12"/>
  <c r="AL136" i="12"/>
  <c r="AL133" i="12"/>
  <c r="AT132" i="12"/>
  <c r="AR133" i="12"/>
  <c r="AM132" i="12"/>
  <c r="AS133" i="12"/>
  <c r="AT133" i="12"/>
  <c r="AN135" i="12"/>
  <c r="AU130" i="12"/>
  <c r="AO134" i="12"/>
  <c r="AS129" i="12"/>
  <c r="AQ132" i="12"/>
  <c r="AO133" i="12"/>
  <c r="AV131" i="12"/>
  <c r="AR135" i="12"/>
  <c r="AU129" i="12"/>
  <c r="AU131" i="12"/>
  <c r="AW132" i="12"/>
  <c r="AS132" i="12"/>
  <c r="AM134" i="12"/>
  <c r="AS130" i="12"/>
  <c r="AO130" i="12"/>
  <c r="AP129" i="12"/>
  <c r="AR136" i="12"/>
  <c r="AM135" i="12"/>
  <c r="AL134" i="12"/>
  <c r="AS135" i="12"/>
  <c r="M136" i="12"/>
  <c r="AN136" i="12"/>
  <c r="AP136" i="12"/>
  <c r="AT130" i="12"/>
  <c r="AT134" i="12"/>
  <c r="AP131" i="12"/>
  <c r="AL132" i="12"/>
  <c r="AO132" i="12"/>
  <c r="AP130" i="12"/>
  <c r="AW133" i="12"/>
  <c r="AQ131" i="12"/>
  <c r="AN134" i="12"/>
  <c r="AN132" i="12"/>
  <c r="AV135" i="12"/>
  <c r="AQ129" i="12"/>
  <c r="AQ135" i="12"/>
  <c r="AT129" i="12"/>
  <c r="AU136" i="12"/>
  <c r="AU134" i="12"/>
  <c r="AR131" i="12"/>
  <c r="AW130" i="12"/>
  <c r="AQ130" i="12"/>
  <c r="AP135" i="12"/>
  <c r="AM129" i="12"/>
  <c r="AN133" i="12"/>
  <c r="AU133" i="12"/>
  <c r="AT131" i="12"/>
  <c r="AN131" i="12"/>
  <c r="AV133" i="12"/>
  <c r="AS136" i="12"/>
  <c r="AL135" i="12"/>
  <c r="AN130" i="12"/>
  <c r="AW129" i="12"/>
  <c r="AW136" i="12"/>
  <c r="AQ136" i="12"/>
  <c r="AR129" i="12"/>
  <c r="AN129" i="12"/>
  <c r="AL131" i="12"/>
  <c r="AO135" i="12"/>
  <c r="AT135" i="12"/>
  <c r="AO131" i="12"/>
  <c r="AP133" i="12"/>
  <c r="AO129" i="12"/>
  <c r="AR134" i="12"/>
  <c r="AO136" i="12"/>
  <c r="AV136" i="12"/>
  <c r="AT136" i="12"/>
  <c r="AU132" i="12"/>
  <c r="AQ133" i="12"/>
  <c r="AW135" i="12"/>
  <c r="AS131" i="12"/>
  <c r="AM136" i="12"/>
  <c r="AW30" i="14" l="1"/>
  <c r="AW38" i="23" s="1"/>
  <c r="AV35" i="14"/>
  <c r="AV43" i="23" s="1"/>
  <c r="B70" i="23" s="1"/>
  <c r="AV31" i="14"/>
  <c r="AV39" i="23" s="1"/>
  <c r="C107" i="23" s="1"/>
  <c r="G107" i="23" s="1"/>
  <c r="AW28" i="14"/>
  <c r="AW36" i="23" s="1"/>
  <c r="AV33" i="14"/>
  <c r="AV41" i="23" s="1"/>
  <c r="C99" i="23" s="1"/>
  <c r="G99" i="23" s="1"/>
  <c r="AW35" i="14"/>
  <c r="AW43" i="23" s="1"/>
  <c r="AW34" i="14"/>
  <c r="AW42" i="23" s="1"/>
  <c r="AW31" i="14"/>
  <c r="AW39" i="23" s="1"/>
  <c r="AV28" i="14"/>
  <c r="AV36" i="23" s="1"/>
  <c r="F87" i="24" s="1"/>
  <c r="H87" i="24" s="1"/>
  <c r="AV29" i="14"/>
  <c r="AV37" i="23" s="1"/>
  <c r="F86" i="24" s="1"/>
  <c r="H86" i="24" s="1"/>
  <c r="AW32" i="14"/>
  <c r="AW40" i="23" s="1"/>
  <c r="AV34" i="14"/>
  <c r="AV42" i="23" s="1"/>
  <c r="B69" i="23" s="1"/>
  <c r="AW29" i="14"/>
  <c r="AW37" i="23" s="1"/>
  <c r="AV30" i="14"/>
  <c r="AV38" i="23" s="1"/>
  <c r="C106" i="23" s="1"/>
  <c r="G106" i="23" s="1"/>
  <c r="AW33" i="14"/>
  <c r="AW41" i="23" s="1"/>
  <c r="AV32" i="14"/>
  <c r="AV40" i="23" s="1"/>
  <c r="C98" i="23" s="1"/>
  <c r="G98" i="23" s="1"/>
  <c r="D72" i="26"/>
  <c r="AL33" i="14"/>
  <c r="AL41" i="23" s="1"/>
  <c r="AL30" i="14"/>
  <c r="AL38" i="23" s="1"/>
  <c r="AS31" i="14"/>
  <c r="AS39" i="23" s="1"/>
  <c r="F108" i="24" s="1"/>
  <c r="H108" i="24" s="1"/>
  <c r="AO34" i="14"/>
  <c r="AO42" i="23" s="1"/>
  <c r="F137" i="24" s="1"/>
  <c r="H137" i="24" s="1"/>
  <c r="AP30" i="14"/>
  <c r="AP38" i="23" s="1"/>
  <c r="F133" i="24" s="1"/>
  <c r="H133" i="24" s="1"/>
  <c r="AN35" i="14"/>
  <c r="AN43" i="23" s="1"/>
  <c r="F144" i="24" s="1"/>
  <c r="H144" i="24" s="1"/>
  <c r="AP28" i="14"/>
  <c r="AP36" i="23" s="1"/>
  <c r="F135" i="24" s="1"/>
  <c r="H135" i="24" s="1"/>
  <c r="AR30" i="14"/>
  <c r="AR38" i="23" s="1"/>
  <c r="F117" i="24" s="1"/>
  <c r="H117" i="24" s="1"/>
  <c r="AT34" i="14"/>
  <c r="AT42" i="23" s="1"/>
  <c r="F97" i="24" s="1"/>
  <c r="H97" i="24" s="1"/>
  <c r="AP29" i="14"/>
  <c r="AP37" i="23" s="1"/>
  <c r="F134" i="24" s="1"/>
  <c r="H134" i="24" s="1"/>
  <c r="AR31" i="14"/>
  <c r="AR39" i="23" s="1"/>
  <c r="F116" i="24" s="1"/>
  <c r="H116" i="24" s="1"/>
  <c r="AU34" i="14"/>
  <c r="AU42" i="23" s="1"/>
  <c r="F89" i="24" s="1"/>
  <c r="H89" i="24" s="1"/>
  <c r="AT33" i="14"/>
  <c r="AT41" i="23" s="1"/>
  <c r="F98" i="24" s="1"/>
  <c r="H98" i="24" s="1"/>
  <c r="AO29" i="14"/>
  <c r="AO37" i="23" s="1"/>
  <c r="F142" i="24" s="1"/>
  <c r="H142" i="24" s="1"/>
  <c r="AL28" i="14"/>
  <c r="AL36" i="23" s="1"/>
  <c r="AR29" i="14"/>
  <c r="AR37" i="23" s="1"/>
  <c r="F118" i="24" s="1"/>
  <c r="H118" i="24" s="1"/>
  <c r="AU28" i="14"/>
  <c r="AU36" i="23" s="1"/>
  <c r="F95" i="24" s="1"/>
  <c r="H95" i="24" s="1"/>
  <c r="AO28" i="14"/>
  <c r="AO36" i="23" s="1"/>
  <c r="F143" i="24" s="1"/>
  <c r="H143" i="24" s="1"/>
  <c r="AU32" i="14"/>
  <c r="AU40" i="23" s="1"/>
  <c r="F91" i="24" s="1"/>
  <c r="H91" i="24" s="1"/>
  <c r="AP35" i="14"/>
  <c r="AP43" i="23" s="1"/>
  <c r="F128" i="24" s="1"/>
  <c r="H128" i="24" s="1"/>
  <c r="AR34" i="14"/>
  <c r="AR42" i="23" s="1"/>
  <c r="F113" i="24" s="1"/>
  <c r="H113" i="24" s="1"/>
  <c r="AN30" i="14"/>
  <c r="AN38" i="23" s="1"/>
  <c r="F149" i="24" s="1"/>
  <c r="H149" i="24" s="1"/>
  <c r="AN29" i="14"/>
  <c r="AN37" i="23" s="1"/>
  <c r="F150" i="24" s="1"/>
  <c r="H150" i="24" s="1"/>
  <c r="AQ29" i="14"/>
  <c r="AQ37" i="23" s="1"/>
  <c r="F126" i="24" s="1"/>
  <c r="H126" i="24" s="1"/>
  <c r="AQ31" i="14"/>
  <c r="AQ39" i="23" s="1"/>
  <c r="F124" i="24" s="1"/>
  <c r="H124" i="24" s="1"/>
  <c r="AO30" i="14"/>
  <c r="AO38" i="23" s="1"/>
  <c r="F141" i="24" s="1"/>
  <c r="H141" i="24" s="1"/>
  <c r="AN32" i="14"/>
  <c r="AN40" i="23" s="1"/>
  <c r="F147" i="24" s="1"/>
  <c r="H147" i="24" s="1"/>
  <c r="AO35" i="14"/>
  <c r="AO43" i="23" s="1"/>
  <c r="F136" i="24" s="1"/>
  <c r="H136" i="24" s="1"/>
  <c r="M35" i="14"/>
  <c r="M43" i="23" s="1"/>
  <c r="E85" i="24" s="1"/>
  <c r="G85" i="24" s="1"/>
  <c r="AO33" i="14"/>
  <c r="AO41" i="23" s="1"/>
  <c r="F138" i="24" s="1"/>
  <c r="H138" i="24" s="1"/>
  <c r="AP33" i="14"/>
  <c r="AP41" i="23" s="1"/>
  <c r="F130" i="24" s="1"/>
  <c r="H130" i="24" s="1"/>
  <c r="AL31" i="14"/>
  <c r="AL39" i="23" s="1"/>
  <c r="AS32" i="14"/>
  <c r="AS40" i="23" s="1"/>
  <c r="F107" i="24" s="1"/>
  <c r="H107" i="24" s="1"/>
  <c r="AU35" i="14"/>
  <c r="AU43" i="23" s="1"/>
  <c r="F88" i="24" s="1"/>
  <c r="H88" i="24" s="1"/>
  <c r="AN33" i="14"/>
  <c r="AN41" i="23" s="1"/>
  <c r="F146" i="24" s="1"/>
  <c r="H146" i="24" s="1"/>
  <c r="AT32" i="14"/>
  <c r="AT40" i="23" s="1"/>
  <c r="F99" i="24" s="1"/>
  <c r="H99" i="24" s="1"/>
  <c r="AL32" i="14"/>
  <c r="AL40" i="23" s="1"/>
  <c r="AR28" i="14"/>
  <c r="AR36" i="23" s="1"/>
  <c r="F119" i="24" s="1"/>
  <c r="H119" i="24" s="1"/>
  <c r="AR33" i="14"/>
  <c r="AR41" i="23" s="1"/>
  <c r="F114" i="24" s="1"/>
  <c r="H114" i="24" s="1"/>
  <c r="AO31" i="14"/>
  <c r="AO39" i="23" s="1"/>
  <c r="F140" i="24" s="1"/>
  <c r="H140" i="24" s="1"/>
  <c r="AL29" i="14"/>
  <c r="AL37" i="23" s="1"/>
  <c r="AS35" i="14"/>
  <c r="AS43" i="23" s="1"/>
  <c r="F104" i="24" s="1"/>
  <c r="H104" i="24" s="1"/>
  <c r="AM30" i="14"/>
  <c r="AM38" i="23" s="1"/>
  <c r="AS34" i="14"/>
  <c r="AS42" i="23" s="1"/>
  <c r="F105" i="24" s="1"/>
  <c r="H105" i="24" s="1"/>
  <c r="AM29" i="14"/>
  <c r="AM37" i="23" s="1"/>
  <c r="AR32" i="14"/>
  <c r="AR40" i="23" s="1"/>
  <c r="F115" i="24" s="1"/>
  <c r="H115" i="24" s="1"/>
  <c r="AS33" i="14"/>
  <c r="AS41" i="23" s="1"/>
  <c r="F106" i="24" s="1"/>
  <c r="H106" i="24" s="1"/>
  <c r="AM32" i="14"/>
  <c r="AM40" i="23" s="1"/>
  <c r="AQ28" i="14"/>
  <c r="AQ36" i="23" s="1"/>
  <c r="F127" i="24" s="1"/>
  <c r="H127" i="24" s="1"/>
  <c r="AQ32" i="14"/>
  <c r="AQ40" i="23" s="1"/>
  <c r="F123" i="24" s="1"/>
  <c r="H123" i="24" s="1"/>
  <c r="AT29" i="14"/>
  <c r="AT37" i="23" s="1"/>
  <c r="F102" i="24" s="1"/>
  <c r="H102" i="24" s="1"/>
  <c r="AT35" i="14"/>
  <c r="AT43" i="23" s="1"/>
  <c r="F96" i="24" s="1"/>
  <c r="H96" i="24" s="1"/>
  <c r="AN28" i="14"/>
  <c r="AN36" i="23" s="1"/>
  <c r="F151" i="24" s="1"/>
  <c r="H151" i="24" s="1"/>
  <c r="AT30" i="14"/>
  <c r="AT38" i="23" s="1"/>
  <c r="F101" i="24" s="1"/>
  <c r="H101" i="24" s="1"/>
  <c r="AP34" i="14"/>
  <c r="AP42" i="23" s="1"/>
  <c r="F129" i="24" s="1"/>
  <c r="H129" i="24" s="1"/>
  <c r="AP32" i="14"/>
  <c r="AP40" i="23" s="1"/>
  <c r="F131" i="24" s="1"/>
  <c r="H131" i="24" s="1"/>
  <c r="AU33" i="14"/>
  <c r="AU41" i="23" s="1"/>
  <c r="F90" i="24" s="1"/>
  <c r="H90" i="24" s="1"/>
  <c r="AU30" i="14"/>
  <c r="AU38" i="23" s="1"/>
  <c r="F93" i="24" s="1"/>
  <c r="H93" i="24" s="1"/>
  <c r="AM28" i="14"/>
  <c r="AM36" i="23" s="1"/>
  <c r="AS29" i="14"/>
  <c r="AS37" i="23" s="1"/>
  <c r="F110" i="24" s="1"/>
  <c r="H110" i="24" s="1"/>
  <c r="AO32" i="14"/>
  <c r="AO40" i="23" s="1"/>
  <c r="F139" i="24" s="1"/>
  <c r="H139" i="24" s="1"/>
  <c r="AS28" i="14"/>
  <c r="AS36" i="23" s="1"/>
  <c r="F111" i="24" s="1"/>
  <c r="H111" i="24" s="1"/>
  <c r="AM31" i="14"/>
  <c r="AM39" i="23" s="1"/>
  <c r="AL34" i="14"/>
  <c r="AL42" i="23" s="1"/>
  <c r="AM33" i="14"/>
  <c r="AM41" i="23" s="1"/>
  <c r="AP31" i="14"/>
  <c r="AP39" i="23" s="1"/>
  <c r="F132" i="24" s="1"/>
  <c r="H132" i="24" s="1"/>
  <c r="AU29" i="14"/>
  <c r="AU37" i="23" s="1"/>
  <c r="F94" i="24" s="1"/>
  <c r="H94" i="24" s="1"/>
  <c r="AU31" i="14"/>
  <c r="AU39" i="23" s="1"/>
  <c r="F92" i="24" s="1"/>
  <c r="H92" i="24" s="1"/>
  <c r="AN34" i="14"/>
  <c r="AN42" i="23" s="1"/>
  <c r="F145" i="24" s="1"/>
  <c r="H145" i="24" s="1"/>
  <c r="AQ35" i="14"/>
  <c r="AQ43" i="23" s="1"/>
  <c r="F120" i="24" s="1"/>
  <c r="H120" i="24" s="1"/>
  <c r="AQ33" i="14"/>
  <c r="AQ41" i="23" s="1"/>
  <c r="F122" i="24" s="1"/>
  <c r="H122" i="24" s="1"/>
  <c r="AM34" i="14"/>
  <c r="AM42" i="23" s="1"/>
  <c r="AQ34" i="14"/>
  <c r="AQ42" i="23" s="1"/>
  <c r="F121" i="24" s="1"/>
  <c r="H121" i="24" s="1"/>
  <c r="AT28" i="14"/>
  <c r="AT36" i="23" s="1"/>
  <c r="F103" i="24" s="1"/>
  <c r="H103" i="24" s="1"/>
  <c r="AL35" i="14"/>
  <c r="AL43" i="23" s="1"/>
  <c r="AM35" i="14"/>
  <c r="AM43" i="23" s="1"/>
  <c r="AS30" i="14"/>
  <c r="AS38" i="23" s="1"/>
  <c r="F109" i="24" s="1"/>
  <c r="H109" i="24" s="1"/>
  <c r="AR35" i="14"/>
  <c r="AR43" i="23" s="1"/>
  <c r="F112" i="24" s="1"/>
  <c r="H112" i="24" s="1"/>
  <c r="AQ30" i="14"/>
  <c r="AQ38" i="23" s="1"/>
  <c r="F125" i="24" s="1"/>
  <c r="H125" i="24" s="1"/>
  <c r="AT31" i="14"/>
  <c r="AT39" i="23" s="1"/>
  <c r="F100" i="24" s="1"/>
  <c r="H100" i="24" s="1"/>
  <c r="AN31" i="14"/>
  <c r="AN39" i="23" s="1"/>
  <c r="F148" i="24" s="1"/>
  <c r="H148" i="24" s="1"/>
  <c r="AD230" i="12" a="1"/>
  <c r="AD230" i="12" s="1"/>
  <c r="AD234" i="12" a="1"/>
  <c r="AD234" i="12" s="1"/>
  <c r="AD238" i="12" a="1"/>
  <c r="AD238" i="12" s="1"/>
  <c r="AD242" i="12" a="1"/>
  <c r="AD242" i="12" s="1"/>
  <c r="AD246" i="12" a="1"/>
  <c r="AD246" i="12" s="1"/>
  <c r="AD250" i="12" a="1"/>
  <c r="AD250" i="12" s="1"/>
  <c r="AD254" i="12" a="1"/>
  <c r="AD254" i="12" s="1"/>
  <c r="AD258" i="12" a="1"/>
  <c r="AD258" i="12" s="1"/>
  <c r="AD262" i="12" a="1"/>
  <c r="AD262" i="12" s="1"/>
  <c r="AD266" i="12" a="1"/>
  <c r="AD266" i="12" s="1"/>
  <c r="AD270" i="12" a="1"/>
  <c r="AD270" i="12" s="1"/>
  <c r="AD274" i="12" a="1"/>
  <c r="AD274" i="12" s="1"/>
  <c r="AD278" i="12" a="1"/>
  <c r="AD278" i="12" s="1"/>
  <c r="AD282" i="12" a="1"/>
  <c r="AD282" i="12" s="1"/>
  <c r="AD286" i="12" a="1"/>
  <c r="AD286" i="12" s="1"/>
  <c r="AD290" i="12" a="1"/>
  <c r="AD290" i="12" s="1"/>
  <c r="AD294" i="12" a="1"/>
  <c r="AD294" i="12" s="1"/>
  <c r="AD298" i="12" a="1"/>
  <c r="AD298" i="12" s="1"/>
  <c r="AD302" i="12" a="1"/>
  <c r="AD302" i="12" s="1"/>
  <c r="AD306" i="12" a="1"/>
  <c r="AD306" i="12" s="1"/>
  <c r="AD231" i="12" a="1"/>
  <c r="AD231" i="12" s="1"/>
  <c r="AD235" i="12" a="1"/>
  <c r="AD235" i="12" s="1"/>
  <c r="AD239" i="12" a="1"/>
  <c r="AD239" i="12" s="1"/>
  <c r="AD243" i="12" a="1"/>
  <c r="AD243" i="12" s="1"/>
  <c r="AD247" i="12" a="1"/>
  <c r="AD247" i="12" s="1"/>
  <c r="AD251" i="12" a="1"/>
  <c r="AD251" i="12" s="1"/>
  <c r="AD255" i="12" a="1"/>
  <c r="AD255" i="12" s="1"/>
  <c r="AD259" i="12" a="1"/>
  <c r="AD259" i="12" s="1"/>
  <c r="AD263" i="12" a="1"/>
  <c r="AD263" i="12" s="1"/>
  <c r="AD267" i="12" a="1"/>
  <c r="AD267" i="12" s="1"/>
  <c r="AD271" i="12" a="1"/>
  <c r="AD271" i="12" s="1"/>
  <c r="AD275" i="12" a="1"/>
  <c r="AD275" i="12" s="1"/>
  <c r="AD279" i="12" a="1"/>
  <c r="AD279" i="12" s="1"/>
  <c r="AD283" i="12" a="1"/>
  <c r="AD283" i="12" s="1"/>
  <c r="AD287" i="12" a="1"/>
  <c r="AD287" i="12" s="1"/>
  <c r="AD291" i="12" a="1"/>
  <c r="AD291" i="12" s="1"/>
  <c r="AD295" i="12" a="1"/>
  <c r="AD295" i="12" s="1"/>
  <c r="AD299" i="12" a="1"/>
  <c r="AD299" i="12" s="1"/>
  <c r="AD303" i="12" a="1"/>
  <c r="AD303" i="12" s="1"/>
  <c r="AD307" i="12" a="1"/>
  <c r="AD307" i="12" s="1"/>
  <c r="AD228" i="12" a="1"/>
  <c r="AD228" i="12" s="1"/>
  <c r="AD232" i="12" a="1"/>
  <c r="AD232" i="12" s="1"/>
  <c r="AD236" i="12" a="1"/>
  <c r="AD236" i="12" s="1"/>
  <c r="AD240" i="12" a="1"/>
  <c r="AD240" i="12" s="1"/>
  <c r="AD244" i="12" a="1"/>
  <c r="AD244" i="12" s="1"/>
  <c r="AD248" i="12" a="1"/>
  <c r="AD248" i="12" s="1"/>
  <c r="AD252" i="12" a="1"/>
  <c r="AD252" i="12" s="1"/>
  <c r="AD256" i="12" a="1"/>
  <c r="AD256" i="12" s="1"/>
  <c r="AD260" i="12" a="1"/>
  <c r="AD260" i="12" s="1"/>
  <c r="AD264" i="12" a="1"/>
  <c r="AD264" i="12" s="1"/>
  <c r="AD268" i="12" a="1"/>
  <c r="AD268" i="12" s="1"/>
  <c r="AD272" i="12" a="1"/>
  <c r="AD272" i="12" s="1"/>
  <c r="AD276" i="12" a="1"/>
  <c r="AD276" i="12" s="1"/>
  <c r="AD280" i="12" a="1"/>
  <c r="AD280" i="12" s="1"/>
  <c r="AD284" i="12" a="1"/>
  <c r="AD284" i="12" s="1"/>
  <c r="AD288" i="12" a="1"/>
  <c r="AD288" i="12" s="1"/>
  <c r="AD292" i="12" a="1"/>
  <c r="AD292" i="12" s="1"/>
  <c r="AD296" i="12" a="1"/>
  <c r="AD296" i="12" s="1"/>
  <c r="AD300" i="12" a="1"/>
  <c r="AD300" i="12" s="1"/>
  <c r="AD304" i="12" a="1"/>
  <c r="AD304" i="12" s="1"/>
  <c r="AD308" i="12" a="1"/>
  <c r="AD308" i="12" s="1"/>
  <c r="AD229" i="12" a="1"/>
  <c r="AD229" i="12" s="1"/>
  <c r="AD233" i="12" a="1"/>
  <c r="AD233" i="12" s="1"/>
  <c r="AD237" i="12" a="1"/>
  <c r="AD237" i="12" s="1"/>
  <c r="AD241" i="12" a="1"/>
  <c r="AD241" i="12" s="1"/>
  <c r="AD245" i="12" a="1"/>
  <c r="AD245" i="12" s="1"/>
  <c r="AD249" i="12" a="1"/>
  <c r="AD249" i="12" s="1"/>
  <c r="AD253" i="12" a="1"/>
  <c r="AD253" i="12" s="1"/>
  <c r="AD257" i="12" a="1"/>
  <c r="AD257" i="12" s="1"/>
  <c r="AD261" i="12" a="1"/>
  <c r="AD261" i="12" s="1"/>
  <c r="AD265" i="12" a="1"/>
  <c r="AD265" i="12" s="1"/>
  <c r="AD269" i="12" a="1"/>
  <c r="AD269" i="12" s="1"/>
  <c r="AD273" i="12" a="1"/>
  <c r="AD273" i="12" s="1"/>
  <c r="AD277" i="12" a="1"/>
  <c r="AD277" i="12" s="1"/>
  <c r="AD281" i="12" a="1"/>
  <c r="AD281" i="12" s="1"/>
  <c r="AD285" i="12" a="1"/>
  <c r="AD285" i="12" s="1"/>
  <c r="AD289" i="12" a="1"/>
  <c r="AD289" i="12" s="1"/>
  <c r="AD293" i="12" a="1"/>
  <c r="AD293" i="12" s="1"/>
  <c r="AD297" i="12" a="1"/>
  <c r="AD297" i="12" s="1"/>
  <c r="AD301" i="12" a="1"/>
  <c r="AD301" i="12" s="1"/>
  <c r="AD305" i="12" a="1"/>
  <c r="AD305" i="12" s="1"/>
  <c r="AD309" i="12" a="1"/>
  <c r="AD309" i="12" s="1"/>
  <c r="AD220" i="12" a="1"/>
  <c r="AD220" i="12" s="1"/>
  <c r="AD223" i="12" a="1"/>
  <c r="AD223" i="12" s="1"/>
  <c r="AD224" i="12" a="1"/>
  <c r="AD224" i="12" s="1"/>
  <c r="AD222" i="12" a="1"/>
  <c r="AD222" i="12" s="1"/>
  <c r="AD227" i="12" a="1"/>
  <c r="AD227" i="12" s="1"/>
  <c r="AD221" i="12" a="1"/>
  <c r="AD221" i="12" s="1"/>
  <c r="AD226" i="12" a="1"/>
  <c r="AD226" i="12" s="1"/>
  <c r="AD225" i="12" a="1"/>
  <c r="AD225" i="12" s="1"/>
  <c r="AD200" i="12" a="1"/>
  <c r="AD200" i="12" s="1"/>
  <c r="AD208" i="12" a="1"/>
  <c r="AD208" i="12" s="1"/>
  <c r="AD216" i="12" a="1"/>
  <c r="AD216" i="12" s="1"/>
  <c r="AD194" i="12" a="1"/>
  <c r="AD194" i="12" s="1"/>
  <c r="AD185" i="12" a="1"/>
  <c r="AD185" i="12" s="1"/>
  <c r="AD192" i="12" a="1"/>
  <c r="AD192" i="12" s="1"/>
  <c r="AD201" i="12" a="1"/>
  <c r="AD201" i="12" s="1"/>
  <c r="AD209" i="12" a="1"/>
  <c r="AD209" i="12" s="1"/>
  <c r="AD217" i="12" a="1"/>
  <c r="AD217" i="12" s="1"/>
  <c r="AD180" i="12" a="1"/>
  <c r="AD180" i="12" s="1"/>
  <c r="AD190" i="12" a="1"/>
  <c r="AD190" i="12" s="1"/>
  <c r="AD212" i="12" a="1"/>
  <c r="AD212" i="12" s="1"/>
  <c r="AD182" i="12" a="1"/>
  <c r="AD182" i="12" s="1"/>
  <c r="AD196" i="12" a="1"/>
  <c r="AD196" i="12" s="1"/>
  <c r="AD197" i="12" a="1"/>
  <c r="AD197" i="12" s="1"/>
  <c r="AD205" i="12" a="1"/>
  <c r="AD205" i="12" s="1"/>
  <c r="AD213" i="12" a="1"/>
  <c r="AD213" i="12" s="1"/>
  <c r="AD195" i="12" a="1"/>
  <c r="AD195" i="12" s="1"/>
  <c r="AD191" i="12" a="1"/>
  <c r="AD191" i="12" s="1"/>
  <c r="AD210" i="12" a="1"/>
  <c r="AD210" i="12" s="1"/>
  <c r="AD189" i="12" a="1"/>
  <c r="AD189" i="12" s="1"/>
  <c r="AD203" i="12" a="1"/>
  <c r="AD203" i="12" s="1"/>
  <c r="AD211" i="12" a="1"/>
  <c r="AD211" i="12" s="1"/>
  <c r="AD198" i="12" a="1"/>
  <c r="AD198" i="12" s="1"/>
  <c r="AD206" i="12" a="1"/>
  <c r="AD206" i="12" s="1"/>
  <c r="AD214" i="12" a="1"/>
  <c r="AD214" i="12" s="1"/>
  <c r="AD183" i="12" a="1"/>
  <c r="AD183" i="12" s="1"/>
  <c r="AD186" i="12" a="1"/>
  <c r="AD186" i="12" s="1"/>
  <c r="AD199" i="12" a="1"/>
  <c r="AD199" i="12" s="1"/>
  <c r="AD207" i="12" a="1"/>
  <c r="AD207" i="12" s="1"/>
  <c r="AD215" i="12" a="1"/>
  <c r="AD215" i="12" s="1"/>
  <c r="AD188" i="12" a="1"/>
  <c r="AD188" i="12" s="1"/>
  <c r="AD193" i="12" a="1"/>
  <c r="AD193" i="12" s="1"/>
  <c r="AD204" i="12" a="1"/>
  <c r="AD204" i="12" s="1"/>
  <c r="AD202" i="12" a="1"/>
  <c r="AD202" i="12" s="1"/>
  <c r="AD218" i="12" a="1"/>
  <c r="AD218" i="12" s="1"/>
  <c r="AD187" i="12" a="1"/>
  <c r="AD187" i="12" s="1"/>
  <c r="AD181" i="12" a="1"/>
  <c r="AD181" i="12" s="1"/>
  <c r="AD219" i="12" a="1"/>
  <c r="AD219" i="12" s="1"/>
  <c r="AD184" i="12" a="1"/>
  <c r="AD184" i="12" s="1"/>
  <c r="AD177" i="12" a="1"/>
  <c r="AD177" i="12" s="1"/>
  <c r="AD167" i="12" a="1"/>
  <c r="AD167" i="12" s="1"/>
  <c r="AD166" i="12" a="1"/>
  <c r="AD166" i="12" s="1"/>
  <c r="AD158" i="12" a="1"/>
  <c r="AD158" i="12" s="1"/>
  <c r="AD171" i="12" a="1"/>
  <c r="AD171" i="12" s="1"/>
  <c r="AD150" i="12" a="1"/>
  <c r="AD150" i="12" s="1"/>
  <c r="AD146" i="12" a="1"/>
  <c r="AD146" i="12" s="1"/>
  <c r="AD173" i="12" a="1"/>
  <c r="AD173" i="12" s="1"/>
  <c r="AD175" i="12" a="1"/>
  <c r="AD175" i="12" s="1"/>
  <c r="AD163" i="12" a="1"/>
  <c r="AD163" i="12" s="1"/>
  <c r="AD160" i="12" a="1"/>
  <c r="AD160" i="12" s="1"/>
  <c r="AD157" i="12" a="1"/>
  <c r="AD157" i="12" s="1"/>
  <c r="AD147" i="12" a="1"/>
  <c r="AD147" i="12" s="1"/>
  <c r="AD174" i="12" a="1"/>
  <c r="AD174" i="12" s="1"/>
  <c r="AD172" i="12" a="1"/>
  <c r="AD172" i="12" s="1"/>
  <c r="AD178" i="12" a="1"/>
  <c r="AD178" i="12" s="1"/>
  <c r="AD156" i="12" a="1"/>
  <c r="AD156" i="12" s="1"/>
  <c r="AD170" i="12" a="1"/>
  <c r="AD170" i="12" s="1"/>
  <c r="AD152" i="12" a="1"/>
  <c r="AD152" i="12" s="1"/>
  <c r="AD144" i="12" a="1"/>
  <c r="AD144" i="12" s="1"/>
  <c r="AD176" i="12" a="1"/>
  <c r="AD176" i="12" s="1"/>
  <c r="AD179" i="12" a="1"/>
  <c r="AD179" i="12" s="1"/>
  <c r="AD155" i="12" a="1"/>
  <c r="AD155" i="12" s="1"/>
  <c r="AD154" i="12" a="1"/>
  <c r="AD154" i="12" s="1"/>
  <c r="AD162" i="12" a="1"/>
  <c r="AD162" i="12" s="1"/>
  <c r="AD159" i="12" a="1"/>
  <c r="AD159" i="12" s="1"/>
  <c r="AD164" i="12" a="1"/>
  <c r="AD164" i="12" s="1"/>
  <c r="AD145" i="12" a="1"/>
  <c r="AD145" i="12" s="1"/>
  <c r="AD148" i="12" a="1"/>
  <c r="AD148" i="12" s="1"/>
  <c r="AD169" i="12" a="1"/>
  <c r="AD169" i="12" s="1"/>
  <c r="AD161" i="12" a="1"/>
  <c r="AD161" i="12" s="1"/>
  <c r="AD151" i="12" a="1"/>
  <c r="AD151" i="12" s="1"/>
  <c r="AD153" i="12" a="1"/>
  <c r="AD153" i="12" s="1"/>
  <c r="AD168" i="12" a="1"/>
  <c r="AD168" i="12" s="1"/>
  <c r="AD165" i="12" a="1"/>
  <c r="AD165" i="12" s="1"/>
  <c r="AD149" i="12" a="1"/>
  <c r="AD149" i="12" s="1"/>
  <c r="AD140" i="12" a="1"/>
  <c r="AD140" i="12" s="1"/>
  <c r="AD143" i="12" a="1"/>
  <c r="AD143" i="12" s="1"/>
  <c r="AD142" i="12" a="1"/>
  <c r="AD142" i="12" s="1"/>
  <c r="AD141" i="12" a="1"/>
  <c r="AD141" i="12" s="1"/>
  <c r="W114" i="12"/>
  <c r="X114" i="12"/>
  <c r="Y114" i="12"/>
  <c r="Q124" i="12"/>
  <c r="V114" i="12"/>
  <c r="AK114" i="12"/>
  <c r="AJ114" i="12"/>
  <c r="AL114" i="12"/>
  <c r="AE124" i="12"/>
  <c r="AM114" i="12"/>
  <c r="AB64" i="12"/>
  <c r="AC64" i="12" s="1"/>
  <c r="AB79" i="12"/>
  <c r="AC79" i="12" s="1"/>
  <c r="AB66" i="12"/>
  <c r="AC66" i="12" s="1"/>
  <c r="AB69" i="12"/>
  <c r="AC69" i="12" s="1"/>
  <c r="AB74" i="12"/>
  <c r="AC74" i="12" s="1"/>
  <c r="AB68" i="12"/>
  <c r="AC68" i="12" s="1"/>
  <c r="AB84" i="12"/>
  <c r="AC84" i="12" s="1"/>
  <c r="AB73" i="12"/>
  <c r="AC73" i="12" s="1"/>
  <c r="AB77" i="12"/>
  <c r="AC77" i="12" s="1"/>
  <c r="AB71" i="12"/>
  <c r="AC71" i="12" s="1"/>
  <c r="AB76" i="12"/>
  <c r="AC76" i="12" s="1"/>
  <c r="AB75" i="12"/>
  <c r="AC75" i="12" s="1"/>
  <c r="AB85" i="12"/>
  <c r="AC85" i="12" s="1"/>
  <c r="AB83" i="12"/>
  <c r="AC83" i="12" s="1"/>
  <c r="AB70" i="12"/>
  <c r="AC70" i="12" s="1"/>
  <c r="AB86" i="12"/>
  <c r="AC86" i="12" s="1"/>
  <c r="AB88" i="12"/>
  <c r="AC88" i="12" s="1"/>
  <c r="AB78" i="12"/>
  <c r="AC78" i="12" s="1"/>
  <c r="AB81" i="12"/>
  <c r="AC81" i="12" s="1"/>
  <c r="AB72" i="12"/>
  <c r="AC72" i="12" s="1"/>
  <c r="AB65" i="12"/>
  <c r="AC65" i="12" s="1"/>
  <c r="AB87" i="12"/>
  <c r="AC87" i="12" s="1"/>
  <c r="AB82" i="12"/>
  <c r="AC82" i="12" s="1"/>
  <c r="AB80" i="12"/>
  <c r="AC80" i="12" s="1"/>
  <c r="AB67" i="12"/>
  <c r="AC67" i="12" s="1"/>
  <c r="Y58" i="22"/>
  <c r="Y57" i="22"/>
  <c r="C136" i="26" l="1"/>
  <c r="G136" i="26" s="1"/>
  <c r="C70" i="23"/>
  <c r="C121" i="26"/>
  <c r="G121" i="26" s="1"/>
  <c r="C128" i="26"/>
  <c r="G128" i="26" s="1"/>
  <c r="C69" i="23"/>
  <c r="C120" i="26"/>
  <c r="G120" i="26" s="1"/>
  <c r="C137" i="26"/>
  <c r="G137" i="26" s="1"/>
  <c r="C129" i="26"/>
  <c r="G129" i="26" s="1"/>
  <c r="F167" i="24"/>
  <c r="H167" i="24" s="1"/>
  <c r="F159" i="24"/>
  <c r="H159" i="24" s="1"/>
  <c r="F160" i="24"/>
  <c r="H160" i="24" s="1"/>
  <c r="F152" i="24"/>
  <c r="H152" i="24" s="1"/>
  <c r="F161" i="24"/>
  <c r="H161" i="24" s="1"/>
  <c r="F153" i="24"/>
  <c r="H153" i="24" s="1"/>
  <c r="F163" i="24"/>
  <c r="H163" i="24" s="1"/>
  <c r="F155" i="24"/>
  <c r="H155" i="24" s="1"/>
  <c r="F164" i="24"/>
  <c r="H164" i="24" s="1"/>
  <c r="F156" i="24"/>
  <c r="H156" i="24" s="1"/>
  <c r="F165" i="24"/>
  <c r="H165" i="24" s="1"/>
  <c r="F157" i="24"/>
  <c r="H157" i="24" s="1"/>
  <c r="F154" i="24"/>
  <c r="H154" i="24" s="1"/>
  <c r="F162" i="24"/>
  <c r="H162" i="24" s="1"/>
  <c r="F158" i="24"/>
  <c r="H158" i="24" s="1"/>
  <c r="F166" i="24"/>
  <c r="H166" i="24" s="1"/>
  <c r="AF74" i="12"/>
  <c r="AG74" i="12" s="1"/>
  <c r="AF87" i="12"/>
  <c r="AG87" i="12" s="1"/>
  <c r="AF84" i="12"/>
  <c r="AG84" i="12" s="1"/>
  <c r="AF82" i="12"/>
  <c r="AG82" i="12" s="1"/>
  <c r="AF69" i="12"/>
  <c r="AG69" i="12" s="1"/>
  <c r="AF77" i="12"/>
  <c r="AG77" i="12" s="1"/>
  <c r="AF72" i="12"/>
  <c r="AG72" i="12" s="1"/>
  <c r="AF76" i="12"/>
  <c r="AG76" i="12" s="1"/>
  <c r="AF67" i="12"/>
  <c r="AG67" i="12" s="1"/>
  <c r="AF64" i="12"/>
  <c r="AG64" i="12" s="1"/>
  <c r="AF71" i="12"/>
  <c r="AG71" i="12" s="1"/>
  <c r="AF65" i="12"/>
  <c r="AG65" i="12" s="1"/>
  <c r="AF73" i="12"/>
  <c r="AG73" i="12" s="1"/>
  <c r="AF70" i="12"/>
  <c r="AG70" i="12" s="1"/>
  <c r="AF85" i="12"/>
  <c r="AG85" i="12" s="1"/>
  <c r="AF81" i="12"/>
  <c r="AG81" i="12" s="1"/>
  <c r="AF75" i="12"/>
  <c r="AG75" i="12" s="1"/>
  <c r="AF66" i="12"/>
  <c r="AG66" i="12" s="1"/>
  <c r="AF83" i="12"/>
  <c r="AG83" i="12" s="1"/>
  <c r="AF80" i="12"/>
  <c r="AG80" i="12" s="1"/>
  <c r="AF79" i="12"/>
  <c r="AG79" i="12" s="1"/>
  <c r="AF88" i="12"/>
  <c r="AG88" i="12" s="1"/>
  <c r="AF86" i="12"/>
  <c r="AG86" i="12" s="1"/>
  <c r="AF78" i="12"/>
  <c r="AG78" i="12" s="1"/>
  <c r="AF68" i="12"/>
  <c r="AG68" i="12" s="1"/>
  <c r="AF63" i="12"/>
  <c r="AD63" i="12"/>
  <c r="AD64" i="12"/>
  <c r="AE64" i="12" s="1"/>
  <c r="AD83" i="12"/>
  <c r="AE83" i="12" s="1"/>
  <c r="AD85" i="12"/>
  <c r="AE85" i="12" s="1"/>
  <c r="AD78" i="12"/>
  <c r="AE78" i="12" s="1"/>
  <c r="AD67" i="12"/>
  <c r="AE67" i="12" s="1"/>
  <c r="AD70" i="12"/>
  <c r="AE70" i="12" s="1"/>
  <c r="AD88" i="12"/>
  <c r="AE88" i="12" s="1"/>
  <c r="AD81" i="12"/>
  <c r="AE81" i="12" s="1"/>
  <c r="AD76" i="12"/>
  <c r="AE76" i="12" s="1"/>
  <c r="AD68" i="12"/>
  <c r="AE68" i="12" s="1"/>
  <c r="AD84" i="12"/>
  <c r="AE84" i="12" s="1"/>
  <c r="AD82" i="12"/>
  <c r="AE82" i="12" s="1"/>
  <c r="AD75" i="12"/>
  <c r="AE75" i="12" s="1"/>
  <c r="AD80" i="12"/>
  <c r="AE80" i="12" s="1"/>
  <c r="AD66" i="12"/>
  <c r="AE66" i="12" s="1"/>
  <c r="AD65" i="12"/>
  <c r="AE65" i="12" s="1"/>
  <c r="AD77" i="12"/>
  <c r="AE77" i="12" s="1"/>
  <c r="AD87" i="12"/>
  <c r="AE87" i="12" s="1"/>
  <c r="AD69" i="12"/>
  <c r="AE69" i="12" s="1"/>
  <c r="AD72" i="12"/>
  <c r="AE72" i="12" s="1"/>
  <c r="AD71" i="12"/>
  <c r="AE71" i="12" s="1"/>
  <c r="AD86" i="12"/>
  <c r="AE86" i="12" s="1"/>
  <c r="AD79" i="12"/>
  <c r="AE79" i="12" s="1"/>
  <c r="AD73" i="12"/>
  <c r="AE73" i="12" s="1"/>
  <c r="AD74" i="12"/>
  <c r="AE74" i="12" s="1"/>
  <c r="F58" i="22"/>
  <c r="AM62" i="12"/>
  <c r="AN62" i="12"/>
  <c r="G58" i="22"/>
  <c r="AC63" i="12"/>
  <c r="AB58" i="22" l="1"/>
  <c r="AC58" i="22"/>
  <c r="AN70" i="12"/>
  <c r="AM70" i="12"/>
  <c r="AG63" i="12"/>
  <c r="AM66" i="12"/>
  <c r="R58" i="22"/>
  <c r="AN66" i="12"/>
  <c r="AE63" i="12"/>
  <c r="Q58" i="22"/>
  <c r="N45" i="22" l="1"/>
  <c r="L45" i="22" s="1"/>
  <c r="Q43" i="22" l="1"/>
  <c r="O43" i="22" s="1"/>
  <c r="N43" i="22"/>
  <c r="Q41" i="22"/>
  <c r="O41" i="22" s="1"/>
  <c r="N40" i="22"/>
  <c r="L40" i="22" s="1"/>
  <c r="Q44" i="22"/>
  <c r="O44" i="22" s="1"/>
  <c r="N39" i="22"/>
  <c r="L39" i="22" s="1"/>
  <c r="Q40" i="22"/>
  <c r="O40" i="22" s="1"/>
  <c r="N44" i="22"/>
  <c r="L44" i="22" s="1"/>
  <c r="N42" i="22" l="1"/>
  <c r="L42" i="22" s="1"/>
  <c r="L43" i="22" s="1"/>
  <c r="Q42" i="22"/>
  <c r="O42" i="22" s="1"/>
  <c r="X11" i="22"/>
  <c r="AB12" i="22"/>
  <c r="AE12" i="22"/>
  <c r="AD18" i="22"/>
  <c r="Z11" i="22"/>
  <c r="W18" i="22"/>
  <c r="AE14" i="22"/>
  <c r="Z14" i="22"/>
  <c r="AD11" i="22"/>
  <c r="AB18" i="22"/>
  <c r="AA14" i="22"/>
  <c r="AB17" i="22"/>
  <c r="Z12" i="22"/>
  <c r="Y14" i="22"/>
  <c r="AC12" i="22"/>
  <c r="AF11" i="22"/>
  <c r="AB15" i="22"/>
  <c r="AF13" i="22"/>
  <c r="AF16" i="22"/>
  <c r="X18" i="22"/>
  <c r="Z18" i="22"/>
  <c r="X13" i="22"/>
  <c r="Z17" i="22"/>
  <c r="AA13" i="22"/>
  <c r="X12" i="22"/>
  <c r="AD13" i="22"/>
  <c r="AB13" i="22"/>
  <c r="AD12" i="22"/>
  <c r="AB16" i="22"/>
  <c r="AB11" i="22"/>
  <c r="AD17" i="22"/>
  <c r="AF17" i="22"/>
  <c r="Y17" i="22"/>
  <c r="AA16" i="22"/>
  <c r="W12" i="22"/>
  <c r="AE18" i="22"/>
  <c r="Z16" i="22"/>
  <c r="W11" i="22"/>
  <c r="Y16" i="22"/>
  <c r="AA18" i="22"/>
  <c r="AF14" i="22"/>
  <c r="X17" i="22"/>
  <c r="AB14" i="22"/>
  <c r="Z13" i="22"/>
  <c r="AC17" i="22"/>
  <c r="W13" i="22"/>
  <c r="AE13" i="22"/>
  <c r="Y12" i="22"/>
  <c r="AC16" i="22"/>
  <c r="AC13" i="22"/>
  <c r="AA17" i="22"/>
  <c r="Y11" i="22"/>
  <c r="AE15" i="22"/>
  <c r="AD14" i="22"/>
  <c r="X15" i="22"/>
  <c r="X14" i="22"/>
  <c r="X16" i="22"/>
  <c r="AA12" i="22"/>
  <c r="AD16" i="22"/>
  <c r="AC11" i="22"/>
  <c r="AA15" i="22"/>
  <c r="AE11" i="22"/>
  <c r="W14" i="22"/>
  <c r="Z15" i="22"/>
  <c r="AE17" i="22"/>
  <c r="Y18" i="22"/>
  <c r="AC14" i="22"/>
  <c r="W17" i="22"/>
  <c r="AF18" i="22"/>
  <c r="AD15" i="22"/>
  <c r="AF12" i="22"/>
  <c r="Y15" i="22"/>
  <c r="Y13" i="22"/>
  <c r="W16" i="22"/>
  <c r="AF15" i="22"/>
  <c r="AE16" i="22"/>
  <c r="AA11" i="22"/>
  <c r="AC15" i="22"/>
  <c r="AC18" i="22"/>
  <c r="W15" i="22"/>
  <c r="R12" i="22"/>
  <c r="N15" i="22"/>
  <c r="T15" i="22"/>
  <c r="O15" i="22"/>
  <c r="O12" i="22"/>
  <c r="Q15" i="22"/>
  <c r="L15" i="22"/>
  <c r="R15" i="22"/>
  <c r="S14" i="22"/>
  <c r="S16" i="22"/>
  <c r="U18" i="22"/>
  <c r="T17" i="22"/>
  <c r="Q14" i="22"/>
  <c r="N11" i="22"/>
  <c r="M18" i="22"/>
  <c r="T16" i="22"/>
  <c r="M12" i="22"/>
  <c r="L17" i="22"/>
  <c r="N17" i="22"/>
  <c r="Q13" i="22"/>
  <c r="P16" i="22"/>
  <c r="N12" i="22"/>
  <c r="U14" i="22"/>
  <c r="L11" i="22"/>
  <c r="R18" i="22"/>
  <c r="O16" i="22"/>
  <c r="N16" i="22"/>
  <c r="M17" i="22"/>
  <c r="O17" i="22"/>
  <c r="U16" i="22"/>
  <c r="R16" i="22"/>
  <c r="P11" i="22"/>
  <c r="Q17" i="22"/>
  <c r="R13" i="22"/>
  <c r="N13" i="22"/>
  <c r="U11" i="22"/>
  <c r="S18" i="22"/>
  <c r="S12" i="22"/>
  <c r="M16" i="22"/>
  <c r="Q16" i="22"/>
  <c r="R17" i="22"/>
  <c r="Q11" i="22"/>
  <c r="U15" i="22"/>
  <c r="P18" i="22"/>
  <c r="O18" i="22"/>
  <c r="L18" i="22"/>
  <c r="S13" i="22"/>
  <c r="O14" i="22"/>
  <c r="M11" i="22"/>
  <c r="R14" i="22"/>
  <c r="Q12" i="22"/>
  <c r="L14" i="22"/>
  <c r="S17" i="22"/>
  <c r="P13" i="22"/>
  <c r="N14" i="22"/>
  <c r="L16" i="22"/>
  <c r="U13" i="22"/>
  <c r="M13" i="22"/>
  <c r="R11" i="22"/>
  <c r="M15" i="22"/>
  <c r="S11" i="22"/>
  <c r="L13" i="22"/>
  <c r="P14" i="22"/>
  <c r="T14" i="22"/>
  <c r="P12" i="22"/>
  <c r="P17" i="22"/>
  <c r="P15" i="22"/>
  <c r="U17" i="22"/>
  <c r="N18" i="22"/>
  <c r="U12" i="22"/>
  <c r="T12" i="22"/>
  <c r="O13" i="22"/>
  <c r="O11" i="22"/>
  <c r="T13" i="22"/>
  <c r="T18" i="22"/>
  <c r="L12" i="22"/>
  <c r="T11" i="22"/>
  <c r="S15" i="22"/>
  <c r="M14" i="22"/>
  <c r="Q18" i="22"/>
  <c r="I11" i="22"/>
  <c r="D14" i="22"/>
  <c r="I12" i="22"/>
  <c r="A14" i="22"/>
  <c r="H15" i="22"/>
  <c r="F15" i="22"/>
  <c r="C16" i="22"/>
  <c r="H13" i="22"/>
  <c r="H17" i="22"/>
  <c r="B14" i="22"/>
  <c r="A17" i="22"/>
  <c r="G17" i="22"/>
  <c r="E11" i="22"/>
  <c r="E16" i="22"/>
  <c r="J17" i="22"/>
  <c r="G12" i="22"/>
  <c r="E14" i="22"/>
  <c r="E12" i="22"/>
  <c r="J15" i="22"/>
  <c r="I18" i="22"/>
  <c r="E13" i="22"/>
  <c r="J13" i="22"/>
  <c r="J18" i="22"/>
  <c r="G14" i="22"/>
  <c r="D17" i="22"/>
  <c r="A16" i="22"/>
  <c r="J16" i="22"/>
  <c r="I15" i="22"/>
  <c r="C15" i="22"/>
  <c r="A12" i="22"/>
  <c r="D13" i="22"/>
  <c r="F13" i="22"/>
  <c r="B13" i="22"/>
  <c r="H16" i="22"/>
  <c r="G11" i="22"/>
  <c r="E17" i="22"/>
  <c r="H18" i="22"/>
  <c r="G16" i="22"/>
  <c r="C14" i="22"/>
  <c r="B18" i="22"/>
  <c r="B15" i="22"/>
  <c r="H11" i="22"/>
  <c r="I13" i="22"/>
  <c r="C12" i="22"/>
  <c r="A18" i="22"/>
  <c r="C18" i="22"/>
  <c r="F12" i="22"/>
  <c r="B16" i="22"/>
  <c r="F18" i="22"/>
  <c r="G18" i="22"/>
  <c r="G13" i="22"/>
  <c r="A13" i="22"/>
  <c r="D11" i="22"/>
  <c r="E15" i="22"/>
  <c r="E18" i="22"/>
  <c r="C17" i="22"/>
  <c r="D16" i="22"/>
  <c r="I17" i="22"/>
  <c r="G15" i="22"/>
  <c r="B17" i="22"/>
  <c r="H14" i="22"/>
  <c r="D12" i="22"/>
  <c r="C11" i="22"/>
  <c r="H12" i="22"/>
  <c r="D15" i="22"/>
  <c r="F14" i="22"/>
  <c r="F11" i="22"/>
  <c r="B11" i="22"/>
  <c r="J12" i="22"/>
  <c r="J14" i="22"/>
  <c r="J11" i="22"/>
  <c r="B12" i="22"/>
  <c r="C13" i="22"/>
  <c r="I14" i="22"/>
  <c r="F17" i="22"/>
  <c r="F16" i="22"/>
  <c r="A11" i="22"/>
  <c r="I16" i="22"/>
  <c r="D18" i="22"/>
  <c r="A15" i="22"/>
  <c r="AC296" i="12"/>
  <c r="AC297" i="12"/>
  <c r="AB303" i="12"/>
  <c r="AB246" i="12"/>
  <c r="AC153" i="12"/>
  <c r="AC302" i="12"/>
  <c r="AC338" i="12"/>
  <c r="AC169" i="12"/>
  <c r="AC184" i="12"/>
  <c r="AC217" i="12"/>
  <c r="AC234" i="12"/>
  <c r="AB232" i="12"/>
  <c r="AC203" i="12"/>
  <c r="AB317" i="12"/>
  <c r="AC189" i="12"/>
  <c r="AC194" i="12"/>
  <c r="AB208" i="12"/>
  <c r="AB287" i="12"/>
  <c r="AB280" i="12"/>
  <c r="AC303" i="12"/>
  <c r="AB209" i="12"/>
  <c r="AB271" i="12"/>
  <c r="AB265" i="12"/>
  <c r="AB286" i="12"/>
  <c r="AC238" i="12"/>
  <c r="AC240" i="12"/>
  <c r="AC316" i="12"/>
  <c r="AC186" i="12"/>
  <c r="AC147" i="12"/>
  <c r="AB215" i="12"/>
  <c r="AB332" i="12"/>
  <c r="AC265" i="12"/>
  <c r="AC199" i="12"/>
  <c r="AC225" i="12"/>
  <c r="AC158" i="12"/>
  <c r="AB292" i="12"/>
  <c r="AB301" i="12"/>
  <c r="AC178" i="12"/>
  <c r="AC337" i="12"/>
  <c r="AC298" i="12"/>
  <c r="AB158" i="12"/>
  <c r="AB221" i="12"/>
  <c r="AC309" i="12"/>
  <c r="AC268" i="12"/>
  <c r="AB234" i="12"/>
  <c r="AC227" i="12"/>
  <c r="AB205" i="12"/>
  <c r="AB296" i="12"/>
  <c r="AB245" i="12"/>
  <c r="AB155" i="12"/>
  <c r="AB262" i="12"/>
  <c r="AB198" i="12"/>
  <c r="AB261" i="12"/>
  <c r="AC230" i="12"/>
  <c r="AC162" i="12"/>
  <c r="AC192" i="12"/>
  <c r="AC285" i="12"/>
  <c r="AC322" i="12"/>
  <c r="AB151" i="12"/>
  <c r="AB187" i="12"/>
  <c r="AB326" i="12"/>
  <c r="AB273" i="12"/>
  <c r="AC286" i="12"/>
  <c r="AC226" i="12"/>
  <c r="AC221" i="12"/>
  <c r="AB170" i="12"/>
  <c r="AB276" i="12"/>
  <c r="AC218" i="12"/>
  <c r="AB220" i="12"/>
  <c r="AC244" i="12"/>
  <c r="AB183" i="12"/>
  <c r="AC197" i="12"/>
  <c r="AB322" i="12"/>
  <c r="AB337" i="12"/>
  <c r="AB167" i="12"/>
  <c r="AB318" i="12"/>
  <c r="AB225" i="12"/>
  <c r="AC261" i="12"/>
  <c r="AB213" i="12"/>
  <c r="AB200" i="12"/>
  <c r="AC236" i="12"/>
  <c r="AB216" i="12"/>
  <c r="AB148" i="12"/>
  <c r="AB147" i="12"/>
  <c r="AC160" i="12"/>
  <c r="AB270" i="12"/>
  <c r="AC280" i="12"/>
  <c r="AC172" i="12"/>
  <c r="AC258" i="12"/>
  <c r="AC306" i="12"/>
  <c r="AB164" i="12"/>
  <c r="AB328" i="12"/>
  <c r="AC294" i="12"/>
  <c r="AC201" i="12"/>
  <c r="AB171" i="12"/>
  <c r="AB228" i="12"/>
  <c r="AB189" i="12"/>
  <c r="AC216" i="12"/>
  <c r="AB231" i="12"/>
  <c r="AB223" i="12"/>
  <c r="AC321" i="12"/>
  <c r="AC149" i="12"/>
  <c r="AC207" i="12"/>
  <c r="AB285" i="12"/>
  <c r="AC325" i="12"/>
  <c r="AC329" i="12"/>
  <c r="AB331" i="12"/>
  <c r="AC333" i="12"/>
  <c r="AB217" i="12"/>
  <c r="AB201" i="12"/>
  <c r="AC214" i="12"/>
  <c r="AB252" i="12"/>
  <c r="AC141" i="12"/>
  <c r="AC277" i="12"/>
  <c r="AB267" i="12"/>
  <c r="AC242" i="12"/>
  <c r="AC229" i="12"/>
  <c r="AB163" i="12"/>
  <c r="AC263" i="12"/>
  <c r="AB305" i="12"/>
  <c r="AC187" i="12"/>
  <c r="AC326" i="12"/>
  <c r="AC233" i="12"/>
  <c r="AC249" i="12"/>
  <c r="AB324" i="12"/>
  <c r="AC168" i="12"/>
  <c r="AC237" i="12"/>
  <c r="AB338" i="12"/>
  <c r="AC215" i="12"/>
  <c r="AB258" i="12"/>
  <c r="AC328" i="12"/>
  <c r="AB306" i="12"/>
  <c r="AB175" i="12"/>
  <c r="AB254" i="12"/>
  <c r="AB243" i="12"/>
  <c r="AC145" i="12"/>
  <c r="AB210" i="12"/>
  <c r="AC223" i="12"/>
  <c r="AB309" i="12"/>
  <c r="AC239" i="12"/>
  <c r="AB335" i="12"/>
  <c r="AB277" i="12"/>
  <c r="AC295" i="12"/>
  <c r="AB204" i="12"/>
  <c r="AC143" i="12"/>
  <c r="AC293" i="12"/>
  <c r="AC283" i="12"/>
  <c r="AB227" i="12"/>
  <c r="AC335" i="12"/>
  <c r="AB311" i="12"/>
  <c r="AC287" i="12"/>
  <c r="AB320" i="12"/>
  <c r="AC292" i="12"/>
  <c r="AB144" i="12"/>
  <c r="AB196" i="12"/>
  <c r="AB162" i="12"/>
  <c r="AC157" i="12"/>
  <c r="AB269" i="12"/>
  <c r="AC311" i="12"/>
  <c r="AC213" i="12"/>
  <c r="AB289" i="12"/>
  <c r="AB294" i="12"/>
  <c r="AC284" i="12"/>
  <c r="AB319" i="12"/>
  <c r="AB237" i="12"/>
  <c r="AC267" i="12"/>
  <c r="AC336" i="12"/>
  <c r="AB207" i="12"/>
  <c r="AB191" i="12"/>
  <c r="AB279" i="12"/>
  <c r="AC262" i="12"/>
  <c r="AC253" i="12"/>
  <c r="AB257" i="12"/>
  <c r="AC174" i="12"/>
  <c r="AC246" i="12"/>
  <c r="AB195" i="12"/>
  <c r="AB284" i="12"/>
  <c r="AB241" i="12"/>
  <c r="AC312" i="12"/>
  <c r="AB192" i="12"/>
  <c r="AB159" i="12"/>
  <c r="AC228" i="12"/>
  <c r="AC281" i="12"/>
  <c r="AC164" i="12"/>
  <c r="AB140" i="12"/>
  <c r="AC308" i="12"/>
  <c r="AC220" i="12"/>
  <c r="AB249" i="12"/>
  <c r="AB297" i="12"/>
  <c r="AC247" i="12"/>
  <c r="AC224" i="12"/>
  <c r="AB165" i="12"/>
  <c r="AB150" i="12"/>
  <c r="AC250" i="12"/>
  <c r="AB156" i="12"/>
  <c r="AC259" i="12"/>
  <c r="AB230" i="12"/>
  <c r="AB186" i="12"/>
  <c r="AB149" i="12"/>
  <c r="AC150" i="12"/>
  <c r="AB173" i="12"/>
  <c r="AC155" i="12"/>
  <c r="AB251" i="12"/>
  <c r="AC323" i="12"/>
  <c r="AC313" i="12"/>
  <c r="AC180" i="12"/>
  <c r="AC204" i="12"/>
  <c r="AB325" i="12"/>
  <c r="AC282" i="12"/>
  <c r="AC305" i="12"/>
  <c r="AB143" i="12"/>
  <c r="AC148" i="12"/>
  <c r="AB179" i="12"/>
  <c r="AB190" i="12"/>
  <c r="AC241" i="12"/>
  <c r="AC318" i="12"/>
  <c r="AC320" i="12"/>
  <c r="AB160" i="12"/>
  <c r="AB235" i="12"/>
  <c r="AB255" i="12"/>
  <c r="AB274" i="12"/>
  <c r="AB282" i="12"/>
  <c r="AC170" i="12"/>
  <c r="AC151" i="12"/>
  <c r="AB145" i="12"/>
  <c r="AB202" i="12"/>
  <c r="AC339" i="12"/>
  <c r="AB212" i="12"/>
  <c r="AB177" i="12"/>
  <c r="AB242" i="12"/>
  <c r="AC156" i="12"/>
  <c r="AC206" i="12"/>
  <c r="AB240" i="12"/>
  <c r="AB214" i="12"/>
  <c r="AB329" i="12"/>
  <c r="AB218" i="12"/>
  <c r="AB239" i="12"/>
  <c r="AB222" i="12"/>
  <c r="AB226" i="12"/>
  <c r="AB313" i="12"/>
  <c r="AC260" i="12"/>
  <c r="AB333" i="12"/>
  <c r="AB330" i="12"/>
  <c r="AC256" i="12"/>
  <c r="AB154" i="12"/>
  <c r="AC307" i="12"/>
  <c r="AB302" i="12"/>
  <c r="AC264" i="12"/>
  <c r="AC188" i="12"/>
  <c r="AC270" i="12"/>
  <c r="AC231" i="12"/>
  <c r="AC331" i="12"/>
  <c r="AB224" i="12"/>
  <c r="AC166" i="12"/>
  <c r="AC334" i="12"/>
  <c r="AB321" i="12"/>
  <c r="AB308" i="12"/>
  <c r="AC273" i="12"/>
  <c r="AB166" i="12"/>
  <c r="AB203" i="12"/>
  <c r="AB181" i="12"/>
  <c r="AC248" i="12"/>
  <c r="AC198" i="12"/>
  <c r="AB172" i="12"/>
  <c r="AB188" i="12"/>
  <c r="AC171" i="12"/>
  <c r="AC179" i="12"/>
  <c r="AB244" i="12"/>
  <c r="AB259" i="12"/>
  <c r="AB142" i="12"/>
  <c r="AB146" i="12"/>
  <c r="AB194" i="12"/>
  <c r="AB293" i="12"/>
  <c r="AB327" i="12"/>
  <c r="AC159" i="12"/>
  <c r="AB211" i="12"/>
  <c r="AC291" i="12"/>
  <c r="AB278" i="12"/>
  <c r="AB157" i="12"/>
  <c r="AB263" i="12"/>
  <c r="AB184" i="12"/>
  <c r="AB314" i="12"/>
  <c r="AC301" i="12"/>
  <c r="AB268" i="12"/>
  <c r="AB298" i="12"/>
  <c r="AC324" i="12"/>
  <c r="AB307" i="12"/>
  <c r="AB264" i="12"/>
  <c r="AC182" i="12"/>
  <c r="AC219" i="12"/>
  <c r="AC176" i="12"/>
  <c r="AB334" i="12"/>
  <c r="AC208" i="12"/>
  <c r="AC177" i="12"/>
  <c r="AB236" i="12"/>
  <c r="AB260" i="12"/>
  <c r="AC310" i="12"/>
  <c r="AC183" i="12"/>
  <c r="AC211" i="12"/>
  <c r="AB233" i="12"/>
  <c r="AC300" i="12"/>
  <c r="AB291" i="12"/>
  <c r="AB316" i="12"/>
  <c r="AC181" i="12"/>
  <c r="AB323" i="12"/>
  <c r="AC191" i="12"/>
  <c r="AC252" i="12"/>
  <c r="AB290" i="12"/>
  <c r="AB248" i="12"/>
  <c r="AC272" i="12"/>
  <c r="AC330" i="12"/>
  <c r="AB206" i="12"/>
  <c r="AB168" i="12"/>
  <c r="AB247" i="12"/>
  <c r="AB178" i="12"/>
  <c r="AC154" i="12"/>
  <c r="AC251" i="12"/>
  <c r="AB266" i="12"/>
  <c r="AC165" i="12"/>
  <c r="AC222" i="12"/>
  <c r="AB288" i="12"/>
  <c r="AC276" i="12"/>
  <c r="AC299" i="12"/>
  <c r="AB256" i="12"/>
  <c r="AC327" i="12"/>
  <c r="AB283" i="12"/>
  <c r="AB304" i="12"/>
  <c r="AB299" i="12"/>
  <c r="AC190" i="12"/>
  <c r="AB295" i="12"/>
  <c r="AB152" i="12"/>
  <c r="AB193" i="12"/>
  <c r="AC266" i="12"/>
  <c r="AC163" i="12"/>
  <c r="AB169" i="12"/>
  <c r="AC161" i="12"/>
  <c r="AB197" i="12"/>
  <c r="AB161" i="12"/>
  <c r="AC317" i="12"/>
  <c r="AB315" i="12"/>
  <c r="AB275" i="12"/>
  <c r="AC304" i="12"/>
  <c r="AC269" i="12"/>
  <c r="AB182" i="12"/>
  <c r="AC254" i="12"/>
  <c r="AC212" i="12"/>
  <c r="AB199" i="12"/>
  <c r="AC185" i="12"/>
  <c r="AB250" i="12"/>
  <c r="AC278" i="12"/>
  <c r="AC205" i="12"/>
  <c r="AC332" i="12"/>
  <c r="AB141" i="12"/>
  <c r="AC271" i="12"/>
  <c r="AC289" i="12"/>
  <c r="AC167" i="12"/>
  <c r="AC144" i="12"/>
  <c r="AB180" i="12"/>
  <c r="AC243" i="12"/>
  <c r="AC146" i="12"/>
  <c r="AC257" i="12"/>
  <c r="AC255" i="12"/>
  <c r="AB238" i="12"/>
  <c r="AC175" i="12"/>
  <c r="AC279" i="12"/>
  <c r="AB281" i="12"/>
  <c r="AC315" i="12"/>
  <c r="AC210" i="12"/>
  <c r="AC314" i="12"/>
  <c r="AC209" i="12"/>
  <c r="AB229" i="12"/>
  <c r="AC196" i="12"/>
  <c r="AC235" i="12"/>
  <c r="AC290" i="12"/>
  <c r="AC232" i="12"/>
  <c r="AC275" i="12"/>
  <c r="AC152" i="12"/>
  <c r="AC200" i="12"/>
  <c r="AB312" i="12"/>
  <c r="AB219" i="12"/>
  <c r="AC173" i="12"/>
  <c r="AC193" i="12"/>
  <c r="AB253" i="12"/>
  <c r="AB339" i="12"/>
  <c r="AC140" i="12"/>
  <c r="AB153" i="12"/>
  <c r="AB272" i="12"/>
  <c r="AB176" i="12"/>
  <c r="AC202" i="12"/>
  <c r="AB174" i="12"/>
  <c r="AC288" i="12"/>
  <c r="AC245" i="12"/>
  <c r="AB310" i="12"/>
  <c r="AB336" i="12"/>
  <c r="AC319" i="12"/>
  <c r="AB300" i="12"/>
  <c r="AB185" i="12"/>
  <c r="AC274" i="12"/>
  <c r="AC195" i="12"/>
  <c r="AC142" i="12"/>
  <c r="D135" i="12"/>
  <c r="AH133" i="12"/>
  <c r="AE131" i="12"/>
  <c r="C130" i="12"/>
  <c r="B134" i="12"/>
  <c r="U136" i="12"/>
  <c r="D131" i="12"/>
  <c r="V133" i="12"/>
  <c r="I129" i="12"/>
  <c r="W132" i="12"/>
  <c r="AB133" i="12"/>
  <c r="S132" i="12"/>
  <c r="O136" i="12"/>
  <c r="D134" i="12"/>
  <c r="AG132" i="12"/>
  <c r="M133" i="12"/>
  <c r="J135" i="12"/>
  <c r="AD135" i="12"/>
  <c r="E129" i="12"/>
  <c r="AJ136" i="12"/>
  <c r="K133" i="12"/>
  <c r="Z136" i="12"/>
  <c r="AG135" i="12"/>
  <c r="AK129" i="12"/>
  <c r="I135" i="12"/>
  <c r="D136" i="12"/>
  <c r="AA133" i="12"/>
  <c r="AI130" i="12"/>
  <c r="H129" i="12"/>
  <c r="O132" i="12"/>
  <c r="J132" i="12"/>
  <c r="AK134" i="12"/>
  <c r="K130" i="12"/>
  <c r="P130" i="12"/>
  <c r="M132" i="12"/>
  <c r="K132" i="12"/>
  <c r="AA132" i="12"/>
  <c r="H136" i="12"/>
  <c r="AH135" i="12"/>
  <c r="AE135" i="12"/>
  <c r="F135" i="12"/>
  <c r="AG129" i="12"/>
  <c r="J131" i="12"/>
  <c r="Q133" i="12"/>
  <c r="W130" i="12"/>
  <c r="Q136" i="12"/>
  <c r="I132" i="12"/>
  <c r="W135" i="12"/>
  <c r="AK133" i="12"/>
  <c r="Y133" i="12"/>
  <c r="X131" i="12"/>
  <c r="L131" i="12"/>
  <c r="AA129" i="12"/>
  <c r="AC133" i="12"/>
  <c r="P132" i="12"/>
  <c r="AD134" i="12"/>
  <c r="F134" i="12"/>
  <c r="AJ129" i="12"/>
  <c r="AI131" i="12"/>
  <c r="T129" i="12"/>
  <c r="J134" i="12"/>
  <c r="E131" i="12"/>
  <c r="J130" i="12"/>
  <c r="X133" i="12"/>
  <c r="L135" i="12"/>
  <c r="AH129" i="12"/>
  <c r="W129" i="12"/>
  <c r="AC131" i="12"/>
  <c r="I133" i="12"/>
  <c r="N134" i="12"/>
  <c r="T134" i="12"/>
  <c r="W134" i="12"/>
  <c r="C134" i="12"/>
  <c r="E130" i="12"/>
  <c r="B131" i="12"/>
  <c r="H131" i="12"/>
  <c r="C136" i="12"/>
  <c r="O134" i="12"/>
  <c r="AE130" i="12"/>
  <c r="Y135" i="12"/>
  <c r="AI129" i="12"/>
  <c r="AC132" i="12"/>
  <c r="B135" i="12"/>
  <c r="D132" i="12"/>
  <c r="AH132" i="12"/>
  <c r="AJ135" i="12"/>
  <c r="AF136" i="12"/>
  <c r="O131" i="12"/>
  <c r="U133" i="12"/>
  <c r="U131" i="12"/>
  <c r="B130" i="12"/>
  <c r="R132" i="12"/>
  <c r="I134" i="12"/>
  <c r="AJ134" i="12"/>
  <c r="H135" i="12"/>
  <c r="Y129" i="12"/>
  <c r="Y136" i="12"/>
  <c r="S133" i="12"/>
  <c r="Q129" i="12"/>
  <c r="E136" i="12"/>
  <c r="B132" i="12"/>
  <c r="G133" i="12"/>
  <c r="P129" i="12"/>
  <c r="R130" i="12"/>
  <c r="AH136" i="12"/>
  <c r="AE133" i="12"/>
  <c r="AJ131" i="12"/>
  <c r="AB134" i="12"/>
  <c r="AK132" i="12"/>
  <c r="M129" i="12"/>
  <c r="D133" i="12"/>
  <c r="G136" i="12"/>
  <c r="AJ132" i="12"/>
  <c r="AB129" i="12"/>
  <c r="Q134" i="12"/>
  <c r="AK130" i="12"/>
  <c r="R133" i="12"/>
  <c r="V134" i="12"/>
  <c r="J136" i="12"/>
  <c r="V129" i="12"/>
  <c r="L129" i="12"/>
  <c r="AB136" i="12"/>
  <c r="F132" i="12"/>
  <c r="K135" i="12"/>
  <c r="AG134" i="12"/>
  <c r="AF134" i="12"/>
  <c r="N133" i="12"/>
  <c r="G129" i="12"/>
  <c r="E134" i="12"/>
  <c r="Z132" i="12"/>
  <c r="F136" i="12"/>
  <c r="K134" i="12"/>
  <c r="C135" i="12"/>
  <c r="Q132" i="12"/>
  <c r="AD131" i="12"/>
  <c r="P133" i="12"/>
  <c r="AF135" i="12"/>
  <c r="H133" i="12"/>
  <c r="AF133" i="12"/>
  <c r="H134" i="12"/>
  <c r="AG131" i="12"/>
  <c r="I136" i="12"/>
  <c r="X129" i="12"/>
  <c r="K136" i="12"/>
  <c r="S136" i="12"/>
  <c r="M130" i="12"/>
  <c r="Y134" i="12"/>
  <c r="U134" i="12"/>
  <c r="Y130" i="12"/>
  <c r="E132" i="12"/>
  <c r="S134" i="12"/>
  <c r="X132" i="12"/>
  <c r="N132" i="12"/>
  <c r="AI136" i="12"/>
  <c r="AD132" i="12"/>
  <c r="T136" i="12"/>
  <c r="AH130" i="12"/>
  <c r="AJ130" i="12"/>
  <c r="F129" i="12"/>
  <c r="AB132" i="12"/>
  <c r="AI134" i="12"/>
  <c r="AJ133" i="12"/>
  <c r="V130" i="12"/>
  <c r="F133" i="12"/>
  <c r="Z133" i="12"/>
  <c r="AG133" i="12"/>
  <c r="X134" i="12"/>
  <c r="AI135" i="12"/>
  <c r="R131" i="12"/>
  <c r="R136" i="12"/>
  <c r="B133" i="12"/>
  <c r="V135" i="12"/>
  <c r="B129" i="12"/>
  <c r="V136" i="12"/>
  <c r="X130" i="12"/>
  <c r="AH134" i="12"/>
  <c r="Z130" i="12"/>
  <c r="AE134" i="12"/>
  <c r="AA131" i="12"/>
  <c r="Q135" i="12"/>
  <c r="B136" i="12"/>
  <c r="AI132" i="12"/>
  <c r="O130" i="12"/>
  <c r="K129" i="12"/>
  <c r="T131" i="12"/>
  <c r="AC135" i="12"/>
  <c r="Z135" i="12"/>
  <c r="W136" i="12"/>
  <c r="V132" i="12"/>
  <c r="J133" i="12"/>
  <c r="P134" i="12"/>
  <c r="AK136" i="12"/>
  <c r="L133" i="12"/>
  <c r="N131" i="12"/>
  <c r="S129" i="12"/>
  <c r="AA135" i="12"/>
  <c r="S131" i="12"/>
  <c r="AE136" i="12"/>
  <c r="L130" i="12"/>
  <c r="T132" i="12"/>
  <c r="L132" i="12"/>
  <c r="W131" i="12"/>
  <c r="AH131" i="12"/>
  <c r="H132" i="12"/>
  <c r="I130" i="12"/>
  <c r="X136" i="12"/>
  <c r="X135" i="12"/>
  <c r="G130" i="12"/>
  <c r="S135" i="12"/>
  <c r="AA134" i="12"/>
  <c r="D129" i="12"/>
  <c r="L134" i="12"/>
  <c r="T130" i="12"/>
  <c r="G134" i="12"/>
  <c r="AG136" i="12"/>
  <c r="W133" i="12"/>
  <c r="AC130" i="12"/>
  <c r="P136" i="12"/>
  <c r="N136" i="12"/>
  <c r="AC136" i="12"/>
  <c r="AA130" i="12"/>
  <c r="C131" i="12"/>
  <c r="G131" i="12"/>
  <c r="R134" i="12"/>
  <c r="T135" i="12"/>
  <c r="Z129" i="12"/>
  <c r="P135" i="12"/>
  <c r="AD136" i="12"/>
  <c r="V131" i="12"/>
  <c r="I131" i="12"/>
  <c r="AB130" i="12"/>
  <c r="J129" i="12"/>
  <c r="D130" i="12"/>
  <c r="U130" i="12"/>
  <c r="K131" i="12"/>
  <c r="M134" i="12"/>
  <c r="AB135" i="12"/>
  <c r="R129" i="12"/>
  <c r="Q131" i="12"/>
  <c r="P131" i="12"/>
  <c r="R135" i="12"/>
  <c r="M135" i="12"/>
  <c r="AG130" i="12"/>
  <c r="U129" i="12"/>
  <c r="C132" i="12"/>
  <c r="AK135" i="12"/>
  <c r="O135" i="12"/>
  <c r="Z131" i="12"/>
  <c r="E135" i="12"/>
  <c r="G132" i="12"/>
  <c r="AC129" i="12"/>
  <c r="N129" i="12"/>
  <c r="AB131" i="12"/>
  <c r="T133" i="12"/>
  <c r="N135" i="12"/>
  <c r="C129" i="12"/>
  <c r="AF129" i="12"/>
  <c r="F130" i="12"/>
  <c r="AK131" i="12"/>
  <c r="G135" i="12"/>
  <c r="Y132" i="12"/>
  <c r="U135" i="12"/>
  <c r="S130" i="12"/>
  <c r="Q130" i="12"/>
  <c r="M131" i="12"/>
  <c r="Z134" i="12"/>
  <c r="AF131" i="12"/>
  <c r="AF132" i="12"/>
  <c r="O133" i="12"/>
  <c r="AF130" i="12"/>
  <c r="AA136" i="12"/>
  <c r="AE129" i="12"/>
  <c r="AI133" i="12"/>
  <c r="AC134" i="12"/>
  <c r="AD130" i="12"/>
  <c r="N130" i="12"/>
  <c r="E133" i="12"/>
  <c r="F131" i="12"/>
  <c r="AE132" i="12"/>
  <c r="O129" i="12"/>
  <c r="AD133" i="12"/>
  <c r="C133" i="12"/>
  <c r="H130" i="12"/>
  <c r="L136" i="12"/>
  <c r="Y131" i="12"/>
  <c r="AD129" i="12"/>
  <c r="U132" i="12"/>
  <c r="E9" i="22"/>
  <c r="Z6" i="22"/>
  <c r="I4" i="22"/>
  <c r="X4" i="22"/>
  <c r="N10" i="22"/>
  <c r="A10" i="22"/>
  <c r="AE8" i="22"/>
  <c r="O3" i="22"/>
  <c r="S10" i="22"/>
  <c r="R9" i="22"/>
  <c r="H7" i="22"/>
  <c r="AD10" i="22"/>
  <c r="W5" i="22"/>
  <c r="Q5" i="22"/>
  <c r="Z5" i="22"/>
  <c r="AF5" i="22"/>
  <c r="B10" i="22"/>
  <c r="P10" i="22"/>
  <c r="AB4" i="22"/>
  <c r="F9" i="22"/>
  <c r="AE3" i="22"/>
  <c r="L9" i="22"/>
  <c r="S8" i="22"/>
  <c r="C4" i="22"/>
  <c r="P9" i="22"/>
  <c r="AA5" i="22"/>
  <c r="G10" i="22"/>
  <c r="T3" i="22"/>
  <c r="W8" i="22"/>
  <c r="Z9" i="22"/>
  <c r="AE4" i="22"/>
  <c r="AD7" i="22"/>
  <c r="O10" i="22"/>
  <c r="J10" i="22"/>
  <c r="S6" i="22"/>
  <c r="D3" i="22"/>
  <c r="H6" i="22"/>
  <c r="AD4" i="22"/>
  <c r="D7" i="22"/>
  <c r="F7" i="22"/>
  <c r="AA3" i="22"/>
  <c r="O8" i="22"/>
  <c r="U5" i="22"/>
  <c r="A9" i="22"/>
  <c r="AC10" i="22"/>
  <c r="G8" i="22"/>
  <c r="X9" i="22"/>
  <c r="AC3" i="22"/>
  <c r="J3" i="22"/>
  <c r="T9" i="22"/>
  <c r="AC6" i="22"/>
  <c r="Z10" i="22"/>
  <c r="L5" i="22"/>
  <c r="L4" i="22"/>
  <c r="X8" i="22"/>
  <c r="D9" i="22"/>
  <c r="Z7" i="22"/>
  <c r="H3" i="22"/>
  <c r="S5" i="22"/>
  <c r="AB8" i="22"/>
  <c r="P5" i="22"/>
  <c r="X5" i="22"/>
  <c r="T4" i="22"/>
  <c r="H10" i="22"/>
  <c r="B6" i="22"/>
  <c r="D8" i="22"/>
  <c r="G4" i="22"/>
  <c r="D10" i="22"/>
  <c r="L7" i="22"/>
  <c r="H5" i="22"/>
  <c r="J4" i="22"/>
  <c r="AE7" i="22"/>
  <c r="P3" i="22"/>
  <c r="Y5" i="22"/>
  <c r="AB9" i="22"/>
  <c r="E7" i="22"/>
  <c r="X6" i="22"/>
  <c r="Y7" i="22"/>
  <c r="G3" i="22"/>
  <c r="I5" i="22"/>
  <c r="I7" i="22"/>
  <c r="N3" i="22"/>
  <c r="U3" i="22"/>
  <c r="S7" i="22"/>
  <c r="AE5" i="22"/>
  <c r="J6" i="22"/>
  <c r="L8" i="22"/>
  <c r="O6" i="22"/>
  <c r="AC9" i="22"/>
  <c r="Z4" i="22"/>
  <c r="Z3" i="22"/>
  <c r="R4" i="22"/>
  <c r="W9" i="22"/>
  <c r="A7" i="22"/>
  <c r="U8" i="22"/>
  <c r="M6" i="22"/>
  <c r="A8" i="22"/>
  <c r="D5" i="22"/>
  <c r="AA4" i="22"/>
  <c r="J5" i="22"/>
  <c r="T7" i="22"/>
  <c r="T6" i="22"/>
  <c r="T8" i="22"/>
  <c r="I9" i="22"/>
  <c r="M8" i="22"/>
  <c r="N7" i="22"/>
  <c r="AF4" i="22"/>
  <c r="F6" i="22"/>
  <c r="C7" i="22"/>
  <c r="G5" i="22"/>
  <c r="S9" i="22"/>
  <c r="Z8" i="22"/>
  <c r="AE10" i="22"/>
  <c r="D4" i="22"/>
  <c r="H9" i="22"/>
  <c r="O9" i="22"/>
  <c r="C9" i="22"/>
  <c r="M5" i="22"/>
  <c r="P8" i="22"/>
  <c r="T5" i="22"/>
  <c r="I6" i="22"/>
  <c r="F10" i="22"/>
  <c r="AB3" i="22"/>
  <c r="Q6" i="22"/>
  <c r="AF7" i="22"/>
  <c r="AC5" i="22"/>
  <c r="B9" i="22"/>
  <c r="W4" i="22"/>
  <c r="S4" i="22"/>
  <c r="F8" i="22"/>
  <c r="Y8" i="22"/>
  <c r="Q8" i="22"/>
  <c r="G6" i="22"/>
  <c r="U7" i="22"/>
  <c r="E10" i="22"/>
  <c r="J8" i="22"/>
  <c r="Q9" i="22"/>
  <c r="S3" i="22"/>
  <c r="Q3" i="22"/>
  <c r="A5" i="22"/>
  <c r="C8" i="22"/>
  <c r="AC7" i="22"/>
  <c r="C6" i="22"/>
  <c r="N4" i="22"/>
  <c r="C10" i="22"/>
  <c r="AD8" i="22"/>
  <c r="D6" i="22"/>
  <c r="M10" i="22"/>
  <c r="E5" i="22"/>
  <c r="AF6" i="22"/>
  <c r="F5" i="22"/>
  <c r="R3" i="22"/>
  <c r="Y3" i="22"/>
  <c r="W7" i="22"/>
  <c r="H4" i="22"/>
  <c r="U9" i="22"/>
  <c r="AA9" i="22"/>
  <c r="M9" i="22"/>
  <c r="AF9" i="22"/>
  <c r="H8" i="22"/>
  <c r="Q4" i="22"/>
  <c r="Y4" i="22"/>
  <c r="O4" i="22"/>
  <c r="AF10" i="22"/>
  <c r="Y9" i="22"/>
  <c r="P7" i="22"/>
  <c r="AB6" i="22"/>
  <c r="U10" i="22"/>
  <c r="AB5" i="22"/>
  <c r="W10" i="22"/>
  <c r="P6" i="22"/>
  <c r="AC8" i="22"/>
  <c r="Y6" i="22"/>
  <c r="O7" i="22"/>
  <c r="AE9" i="22"/>
  <c r="Q10" i="22"/>
  <c r="B5" i="22"/>
  <c r="E3" i="22"/>
  <c r="Q7" i="22"/>
  <c r="R5" i="22"/>
  <c r="B4" i="22"/>
  <c r="T10" i="22"/>
  <c r="AB10" i="22"/>
  <c r="X10" i="22"/>
  <c r="R6" i="22"/>
  <c r="AD9" i="22"/>
  <c r="J9" i="22"/>
  <c r="W3" i="22"/>
  <c r="M7" i="22"/>
  <c r="AA8" i="22"/>
  <c r="A3" i="22"/>
  <c r="L3" i="22"/>
  <c r="AF3" i="22"/>
  <c r="I10" i="22"/>
  <c r="E8" i="22"/>
  <c r="Y10" i="22"/>
  <c r="B7" i="22"/>
  <c r="G9" i="22"/>
  <c r="AD6" i="22"/>
  <c r="J7" i="22"/>
  <c r="A4" i="22"/>
  <c r="N9" i="22"/>
  <c r="C3" i="22"/>
  <c r="M4" i="22"/>
  <c r="A6" i="22"/>
  <c r="E4" i="22"/>
  <c r="F4" i="22"/>
  <c r="B3" i="22"/>
  <c r="AF8" i="22"/>
  <c r="X7" i="22"/>
  <c r="U6" i="22"/>
  <c r="F3" i="22"/>
  <c r="M3" i="22"/>
  <c r="AC4" i="22"/>
  <c r="E6" i="22"/>
  <c r="AE6" i="22"/>
  <c r="R7" i="22"/>
  <c r="B8" i="22"/>
  <c r="P4" i="22"/>
  <c r="AA7" i="22"/>
  <c r="I8" i="22"/>
  <c r="W6" i="22"/>
  <c r="L10" i="22"/>
  <c r="N8" i="22"/>
  <c r="R10" i="22"/>
  <c r="AA10" i="22"/>
  <c r="C5" i="22"/>
  <c r="R8" i="22"/>
  <c r="AD3" i="22"/>
  <c r="AD5" i="22"/>
  <c r="N5" i="22"/>
  <c r="N6" i="22"/>
  <c r="G7" i="22"/>
  <c r="L6" i="22"/>
  <c r="X3" i="22"/>
  <c r="U4" i="22"/>
  <c r="O5" i="22"/>
  <c r="AB7" i="22"/>
  <c r="I3" i="22"/>
  <c r="AA6" i="22"/>
  <c r="C220" i="14" l="1"/>
  <c r="L220" i="14" s="1"/>
  <c r="E220" i="14"/>
  <c r="C191" i="14"/>
  <c r="L191" i="14" s="1"/>
  <c r="E191" i="14"/>
  <c r="C219" i="14"/>
  <c r="L219" i="14" s="1"/>
  <c r="E219" i="14"/>
  <c r="G235" i="14"/>
  <c r="E231" i="14"/>
  <c r="C231" i="14"/>
  <c r="L231" i="14" s="1"/>
  <c r="C240" i="14"/>
  <c r="L240" i="14" s="1"/>
  <c r="E240" i="14"/>
  <c r="C226" i="14"/>
  <c r="L226" i="14" s="1"/>
  <c r="E226" i="14"/>
  <c r="G156" i="14"/>
  <c r="C194" i="14"/>
  <c r="L194" i="14" s="1"/>
  <c r="E194" i="14"/>
  <c r="G221" i="14"/>
  <c r="C218" i="14"/>
  <c r="L218" i="14" s="1"/>
  <c r="E218" i="14"/>
  <c r="E225" i="14"/>
  <c r="C225" i="14"/>
  <c r="L225" i="14" s="1"/>
  <c r="E184" i="14"/>
  <c r="C184" i="14"/>
  <c r="L184" i="14" s="1"/>
  <c r="G232" i="14"/>
  <c r="G153" i="14"/>
  <c r="G159" i="14"/>
  <c r="G158" i="14"/>
  <c r="C202" i="14"/>
  <c r="L202" i="14" s="1"/>
  <c r="E202" i="14"/>
  <c r="E201" i="14"/>
  <c r="C201" i="14"/>
  <c r="L201" i="14" s="1"/>
  <c r="C188" i="14"/>
  <c r="L188" i="14" s="1"/>
  <c r="E188" i="14"/>
  <c r="E208" i="14"/>
  <c r="C208" i="14"/>
  <c r="L208" i="14" s="1"/>
  <c r="G185" i="14"/>
  <c r="G161" i="14"/>
  <c r="G173" i="14"/>
  <c r="G219" i="14"/>
  <c r="G172" i="14"/>
  <c r="C211" i="14"/>
  <c r="L211" i="14" s="1"/>
  <c r="E211" i="14"/>
  <c r="G183" i="14"/>
  <c r="E204" i="14"/>
  <c r="C204" i="14"/>
  <c r="L204" i="14" s="1"/>
  <c r="C174" i="14"/>
  <c r="L174" i="14" s="1"/>
  <c r="E174" i="14"/>
  <c r="C217" i="14"/>
  <c r="L217" i="14" s="1"/>
  <c r="E217" i="14"/>
  <c r="E185" i="14"/>
  <c r="C185" i="14"/>
  <c r="L185" i="14" s="1"/>
  <c r="G180" i="14"/>
  <c r="G212" i="14"/>
  <c r="G171" i="14"/>
  <c r="E213" i="14"/>
  <c r="C213" i="14"/>
  <c r="L213" i="14" s="1"/>
  <c r="C167" i="14"/>
  <c r="L167" i="14" s="1"/>
  <c r="E167" i="14"/>
  <c r="C210" i="14"/>
  <c r="L210" i="14" s="1"/>
  <c r="E210" i="14"/>
  <c r="E214" i="14"/>
  <c r="C214" i="14"/>
  <c r="L214" i="14" s="1"/>
  <c r="G240" i="14"/>
  <c r="G152" i="14"/>
  <c r="G228" i="14"/>
  <c r="G213" i="14"/>
  <c r="G151" i="14"/>
  <c r="C179" i="14"/>
  <c r="L179" i="14" s="1"/>
  <c r="E179" i="14"/>
  <c r="E221" i="14"/>
  <c r="C221" i="14"/>
  <c r="L221" i="14" s="1"/>
  <c r="G230" i="14"/>
  <c r="C173" i="14"/>
  <c r="L173" i="14" s="1"/>
  <c r="E173" i="14"/>
  <c r="C227" i="14"/>
  <c r="L227" i="14" s="1"/>
  <c r="E227" i="14"/>
  <c r="E155" i="14"/>
  <c r="C155" i="14"/>
  <c r="L155" i="14" s="1"/>
  <c r="E215" i="14"/>
  <c r="C215" i="14"/>
  <c r="L215" i="14" s="1"/>
  <c r="C228" i="14"/>
  <c r="L228" i="14" s="1"/>
  <c r="E228" i="14"/>
  <c r="G165" i="14"/>
  <c r="C175" i="14"/>
  <c r="L175" i="14" s="1"/>
  <c r="E175" i="14"/>
  <c r="E237" i="14"/>
  <c r="C237" i="14"/>
  <c r="L237" i="14" s="1"/>
  <c r="C195" i="14"/>
  <c r="L195" i="14" s="1"/>
  <c r="E195" i="14"/>
  <c r="G209" i="14"/>
  <c r="C182" i="14"/>
  <c r="L182" i="14" s="1"/>
  <c r="E182" i="14"/>
  <c r="G220" i="14"/>
  <c r="C166" i="14"/>
  <c r="L166" i="14" s="1"/>
  <c r="E166" i="14"/>
  <c r="G239" i="14"/>
  <c r="E181" i="14"/>
  <c r="C181" i="14"/>
  <c r="L181" i="14" s="1"/>
  <c r="C158" i="14"/>
  <c r="L158" i="14" s="1"/>
  <c r="E158" i="14"/>
  <c r="G225" i="14"/>
  <c r="H225" i="14" s="1"/>
  <c r="E176" i="14"/>
  <c r="C176" i="14"/>
  <c r="L176" i="14" s="1"/>
  <c r="C197" i="14"/>
  <c r="L197" i="14" s="1"/>
  <c r="E197" i="14"/>
  <c r="G188" i="14"/>
  <c r="C157" i="14"/>
  <c r="L157" i="14" s="1"/>
  <c r="E157" i="14"/>
  <c r="C203" i="14"/>
  <c r="L203" i="14" s="1"/>
  <c r="E203" i="14"/>
  <c r="E160" i="14"/>
  <c r="C160" i="14"/>
  <c r="L160" i="14" s="1"/>
  <c r="C159" i="14"/>
  <c r="L159" i="14" s="1"/>
  <c r="E159" i="14"/>
  <c r="G222" i="14"/>
  <c r="G205" i="14"/>
  <c r="E172" i="14"/>
  <c r="C172" i="14"/>
  <c r="L172" i="14" s="1"/>
  <c r="G208" i="14"/>
  <c r="G191" i="14"/>
  <c r="C162" i="14"/>
  <c r="L162" i="14" s="1"/>
  <c r="E162" i="14"/>
  <c r="G238" i="14"/>
  <c r="C189" i="14"/>
  <c r="L189" i="14" s="1"/>
  <c r="E189" i="14"/>
  <c r="E193" i="14"/>
  <c r="C193" i="14"/>
  <c r="L193" i="14" s="1"/>
  <c r="E192" i="14"/>
  <c r="C192" i="14"/>
  <c r="L192" i="14" s="1"/>
  <c r="C152" i="14"/>
  <c r="L152" i="14" s="1"/>
  <c r="E152" i="14"/>
  <c r="E200" i="14"/>
  <c r="C200" i="14"/>
  <c r="L200" i="14" s="1"/>
  <c r="C154" i="14"/>
  <c r="L154" i="14" s="1"/>
  <c r="E154" i="14"/>
  <c r="G189" i="14"/>
  <c r="G198" i="14"/>
  <c r="C205" i="14"/>
  <c r="L205" i="14" s="1"/>
  <c r="E205" i="14"/>
  <c r="G196" i="14"/>
  <c r="G157" i="14"/>
  <c r="G168" i="14"/>
  <c r="G174" i="14"/>
  <c r="C232" i="14"/>
  <c r="L232" i="14" s="1"/>
  <c r="E232" i="14"/>
  <c r="G195" i="14"/>
  <c r="G204" i="14"/>
  <c r="G224" i="14"/>
  <c r="C186" i="14"/>
  <c r="L186" i="14" s="1"/>
  <c r="E186" i="14"/>
  <c r="G167" i="14"/>
  <c r="G154" i="14"/>
  <c r="C234" i="14"/>
  <c r="L234" i="14" s="1"/>
  <c r="E234" i="14"/>
  <c r="G190" i="14"/>
  <c r="G215" i="14"/>
  <c r="H215" i="14" s="1"/>
  <c r="G233" i="14"/>
  <c r="C199" i="14"/>
  <c r="L199" i="14" s="1"/>
  <c r="E199" i="14"/>
  <c r="E156" i="14"/>
  <c r="C156" i="14"/>
  <c r="L156" i="14" s="1"/>
  <c r="E169" i="14"/>
  <c r="C169" i="14"/>
  <c r="L169" i="14" s="1"/>
  <c r="G194" i="14"/>
  <c r="G201" i="14"/>
  <c r="E153" i="14"/>
  <c r="C153" i="14"/>
  <c r="L153" i="14" s="1"/>
  <c r="G193" i="14"/>
  <c r="G175" i="14"/>
  <c r="C198" i="14"/>
  <c r="L198" i="14" s="1"/>
  <c r="E198" i="14"/>
  <c r="E161" i="14"/>
  <c r="C161" i="14"/>
  <c r="L161" i="14" s="1"/>
  <c r="C171" i="14"/>
  <c r="L171" i="14" s="1"/>
  <c r="E171" i="14"/>
  <c r="E178" i="14"/>
  <c r="C178" i="14"/>
  <c r="L178" i="14" s="1"/>
  <c r="G207" i="14"/>
  <c r="G178" i="14"/>
  <c r="G199" i="14"/>
  <c r="G177" i="14"/>
  <c r="C180" i="14"/>
  <c r="L180" i="14" s="1"/>
  <c r="E180" i="14"/>
  <c r="G218" i="14"/>
  <c r="G216" i="14"/>
  <c r="E223" i="14"/>
  <c r="C223" i="14"/>
  <c r="L223" i="14" s="1"/>
  <c r="E229" i="14"/>
  <c r="C229" i="14"/>
  <c r="L229" i="14" s="1"/>
  <c r="G166" i="14"/>
  <c r="E216" i="14"/>
  <c r="C216" i="14"/>
  <c r="L216" i="14" s="1"/>
  <c r="G160" i="14"/>
  <c r="G187" i="14"/>
  <c r="G169" i="14"/>
  <c r="C238" i="14"/>
  <c r="L238" i="14" s="1"/>
  <c r="E238" i="14"/>
  <c r="C165" i="14"/>
  <c r="L165" i="14" s="1"/>
  <c r="E165" i="14"/>
  <c r="G179" i="14"/>
  <c r="E151" i="14"/>
  <c r="C151" i="14"/>
  <c r="L151" i="14" s="1"/>
  <c r="G203" i="14"/>
  <c r="G223" i="14"/>
  <c r="G181" i="14"/>
  <c r="G192" i="14"/>
  <c r="G184" i="14"/>
  <c r="G214" i="14"/>
  <c r="G217" i="14"/>
  <c r="G155" i="14"/>
  <c r="G202" i="14"/>
  <c r="G162" i="14"/>
  <c r="E187" i="14"/>
  <c r="C187" i="14"/>
  <c r="L187" i="14" s="1"/>
  <c r="E239" i="14"/>
  <c r="C239" i="14"/>
  <c r="L239" i="14" s="1"/>
  <c r="C207" i="14"/>
  <c r="L207" i="14" s="1"/>
  <c r="E207" i="14"/>
  <c r="C235" i="14"/>
  <c r="L235" i="14" s="1"/>
  <c r="E235" i="14"/>
  <c r="E177" i="14"/>
  <c r="C177" i="14"/>
  <c r="L177" i="14" s="1"/>
  <c r="G200" i="14"/>
  <c r="C236" i="14"/>
  <c r="L236" i="14" s="1"/>
  <c r="E236" i="14"/>
  <c r="E168" i="14"/>
  <c r="C168" i="14"/>
  <c r="L168" i="14" s="1"/>
  <c r="G211" i="14"/>
  <c r="G236" i="14"/>
  <c r="G170" i="14"/>
  <c r="C196" i="14"/>
  <c r="L196" i="14" s="1"/>
  <c r="E196" i="14"/>
  <c r="G234" i="14"/>
  <c r="H234" i="14" s="1"/>
  <c r="C163" i="14"/>
  <c r="L163" i="14" s="1"/>
  <c r="E163" i="14"/>
  <c r="G176" i="14"/>
  <c r="G182" i="14"/>
  <c r="G210" i="14"/>
  <c r="C206" i="14"/>
  <c r="L206" i="14" s="1"/>
  <c r="E206" i="14"/>
  <c r="G206" i="14"/>
  <c r="E222" i="14"/>
  <c r="C222" i="14"/>
  <c r="L222" i="14" s="1"/>
  <c r="E230" i="14"/>
  <c r="C230" i="14"/>
  <c r="L230" i="14" s="1"/>
  <c r="E224" i="14"/>
  <c r="C224" i="14"/>
  <c r="L224" i="14" s="1"/>
  <c r="C183" i="14"/>
  <c r="L183" i="14" s="1"/>
  <c r="E183" i="14"/>
  <c r="C233" i="14"/>
  <c r="L233" i="14" s="1"/>
  <c r="E233" i="14"/>
  <c r="C209" i="14"/>
  <c r="L209" i="14" s="1"/>
  <c r="E209" i="14"/>
  <c r="C164" i="14"/>
  <c r="L164" i="14" s="1"/>
  <c r="E164" i="14"/>
  <c r="G186" i="14"/>
  <c r="G227" i="14"/>
  <c r="G237" i="14"/>
  <c r="G164" i="14"/>
  <c r="G229" i="14"/>
  <c r="C212" i="14"/>
  <c r="L212" i="14" s="1"/>
  <c r="E212" i="14"/>
  <c r="G197" i="14"/>
  <c r="G226" i="14"/>
  <c r="H226" i="14" s="1"/>
  <c r="E170" i="14"/>
  <c r="C170" i="14"/>
  <c r="L170" i="14" s="1"/>
  <c r="G163" i="14"/>
  <c r="C190" i="14"/>
  <c r="L190" i="14" s="1"/>
  <c r="E190" i="14"/>
  <c r="G231" i="14"/>
  <c r="D29" i="14"/>
  <c r="D37" i="23" s="1"/>
  <c r="E7" i="24" s="1"/>
  <c r="G7" i="24" s="1"/>
  <c r="N28" i="14"/>
  <c r="N36" i="23" s="1"/>
  <c r="F85" i="24" s="1"/>
  <c r="H85" i="24" s="1"/>
  <c r="N85" i="24" s="1"/>
  <c r="F273" i="26" s="1"/>
  <c r="AG32" i="14"/>
  <c r="AG40" i="23" s="1"/>
  <c r="E132" i="24" s="1"/>
  <c r="G132" i="24" s="1"/>
  <c r="N132" i="24" s="1"/>
  <c r="F320" i="26" s="1"/>
  <c r="C126" i="14"/>
  <c r="E126" i="14"/>
  <c r="X34" i="14"/>
  <c r="X42" i="23" s="1"/>
  <c r="B65" i="23" s="1"/>
  <c r="C65" i="23" s="1"/>
  <c r="N31" i="14"/>
  <c r="N39" i="23" s="1"/>
  <c r="F82" i="24" s="1"/>
  <c r="H82" i="24" s="1"/>
  <c r="J34" i="14"/>
  <c r="J42" i="23" s="1"/>
  <c r="E60" i="24" s="1"/>
  <c r="G60" i="24" s="1"/>
  <c r="E96" i="14"/>
  <c r="C96" i="14"/>
  <c r="L96" i="14" s="1"/>
  <c r="B30" i="14"/>
  <c r="B38" i="23" s="1"/>
  <c r="AC35" i="22"/>
  <c r="AB35" i="22"/>
  <c r="AF35" i="22" s="1"/>
  <c r="E28" i="14"/>
  <c r="E36" i="23" s="1"/>
  <c r="E14" i="24" s="1"/>
  <c r="G14" i="24" s="1"/>
  <c r="E69" i="14"/>
  <c r="C69" i="14"/>
  <c r="L69" i="14" s="1"/>
  <c r="E29" i="14"/>
  <c r="E37" i="23" s="1"/>
  <c r="E15" i="24" s="1"/>
  <c r="G15" i="24" s="1"/>
  <c r="AA30" i="14"/>
  <c r="AA38" i="23" s="1"/>
  <c r="C96" i="23" s="1"/>
  <c r="G96" i="23" s="1"/>
  <c r="AH33" i="14"/>
  <c r="AH41" i="23" s="1"/>
  <c r="E141" i="24" s="1"/>
  <c r="G141" i="24" s="1"/>
  <c r="L141" i="24" s="1"/>
  <c r="D329" i="26" s="1"/>
  <c r="C139" i="14"/>
  <c r="L139" i="14" s="1"/>
  <c r="E139" i="14"/>
  <c r="T33" i="14"/>
  <c r="T41" i="23" s="1"/>
  <c r="F32" i="24" s="1"/>
  <c r="H32" i="24" s="1"/>
  <c r="K33" i="14"/>
  <c r="K41" i="23" s="1"/>
  <c r="E67" i="24" s="1"/>
  <c r="G67" i="24" s="1"/>
  <c r="C61" i="22" a="1"/>
  <c r="C61" i="22" s="1"/>
  <c r="G21" i="22"/>
  <c r="F21" i="22"/>
  <c r="J21" i="22" s="1"/>
  <c r="AJ32" i="14"/>
  <c r="AJ40" i="23" s="1"/>
  <c r="E156" i="24" s="1"/>
  <c r="G156" i="24" s="1"/>
  <c r="N156" i="24" s="1"/>
  <c r="F344" i="26" s="1"/>
  <c r="N35" i="14"/>
  <c r="N43" i="23" s="1"/>
  <c r="F78" i="24" s="1"/>
  <c r="H78" i="24" s="1"/>
  <c r="H34" i="14"/>
  <c r="H42" i="23" s="1"/>
  <c r="E44" i="24" s="1"/>
  <c r="G44" i="24" s="1"/>
  <c r="AB27" i="22"/>
  <c r="AF27" i="22" s="1"/>
  <c r="AC27" i="22"/>
  <c r="AG34" i="14"/>
  <c r="AG42" i="23" s="1"/>
  <c r="E134" i="24" s="1"/>
  <c r="G134" i="24" s="1"/>
  <c r="L134" i="24" s="1"/>
  <c r="D322" i="26" s="1"/>
  <c r="G110" i="14"/>
  <c r="W29" i="14"/>
  <c r="W37" i="23" s="1"/>
  <c r="F12" i="24" s="1"/>
  <c r="H12" i="24" s="1"/>
  <c r="N32" i="14"/>
  <c r="N40" i="23" s="1"/>
  <c r="F81" i="24" s="1"/>
  <c r="H81" i="24" s="1"/>
  <c r="C98" i="14"/>
  <c r="L98" i="14" s="1"/>
  <c r="E98" i="14"/>
  <c r="M34" i="14"/>
  <c r="M42" i="23" s="1"/>
  <c r="E84" i="24" s="1"/>
  <c r="G84" i="24" s="1"/>
  <c r="E41" i="14"/>
  <c r="C41" i="14"/>
  <c r="L41" i="14" s="1"/>
  <c r="AE33" i="14"/>
  <c r="AE41" i="23" s="1"/>
  <c r="E117" i="24" s="1"/>
  <c r="G117" i="24" s="1"/>
  <c r="L117" i="24" s="1"/>
  <c r="D305" i="26" s="1"/>
  <c r="I34" i="14"/>
  <c r="I42" i="23" s="1"/>
  <c r="E52" i="24" s="1"/>
  <c r="G52" i="24" s="1"/>
  <c r="L34" i="14"/>
  <c r="L42" i="23" s="1"/>
  <c r="E76" i="24" s="1"/>
  <c r="G76" i="24" s="1"/>
  <c r="AF29" i="14"/>
  <c r="AF37" i="23" s="1"/>
  <c r="E121" i="24" s="1"/>
  <c r="G121" i="24" s="1"/>
  <c r="N121" i="24" s="1"/>
  <c r="F309" i="26" s="1"/>
  <c r="E32" i="14"/>
  <c r="E40" i="23" s="1"/>
  <c r="E18" i="24" s="1"/>
  <c r="G18" i="24" s="1"/>
  <c r="Z33" i="14"/>
  <c r="Z41" i="23" s="1"/>
  <c r="D33" i="14"/>
  <c r="D41" i="23" s="1"/>
  <c r="E11" i="24" s="1"/>
  <c r="G11" i="24" s="1"/>
  <c r="C109" i="14"/>
  <c r="L109" i="14" s="1"/>
  <c r="E109" i="14"/>
  <c r="F27" i="22"/>
  <c r="J27" i="22" s="1"/>
  <c r="G27" i="22"/>
  <c r="AE35" i="14"/>
  <c r="AE43" i="23" s="1"/>
  <c r="E119" i="24" s="1"/>
  <c r="G119" i="24" s="1"/>
  <c r="L119" i="24" s="1"/>
  <c r="D307" i="26" s="1"/>
  <c r="U34" i="14"/>
  <c r="U42" i="23" s="1"/>
  <c r="F23" i="24" s="1"/>
  <c r="H23" i="24" s="1"/>
  <c r="R24" i="22"/>
  <c r="Q24" i="22"/>
  <c r="U24" i="22" s="1"/>
  <c r="Q28" i="14"/>
  <c r="Q36" i="23" s="1"/>
  <c r="F61" i="24" s="1"/>
  <c r="B34" i="14"/>
  <c r="B42" i="23" s="1"/>
  <c r="S33" i="14"/>
  <c r="S41" i="23" s="1"/>
  <c r="F40" i="24" s="1"/>
  <c r="H40" i="24" s="1"/>
  <c r="L28" i="14"/>
  <c r="L36" i="23" s="1"/>
  <c r="E70" i="24" s="1"/>
  <c r="G70" i="24" s="1"/>
  <c r="E85" i="14"/>
  <c r="C85" i="14"/>
  <c r="B28" i="14"/>
  <c r="B36" i="23" s="1"/>
  <c r="G78" i="14"/>
  <c r="K28" i="14"/>
  <c r="K36" i="23" s="1"/>
  <c r="E62" i="24" s="1"/>
  <c r="G62" i="24" s="1"/>
  <c r="T31" i="14"/>
  <c r="T39" i="23" s="1"/>
  <c r="F34" i="24" s="1"/>
  <c r="H34" i="24" s="1"/>
  <c r="AJ35" i="14"/>
  <c r="AJ43" i="23" s="1"/>
  <c r="E159" i="24" s="1"/>
  <c r="G159" i="24" s="1"/>
  <c r="N159" i="24" s="1"/>
  <c r="F347" i="26" s="1"/>
  <c r="F29" i="14"/>
  <c r="F37" i="23" s="1"/>
  <c r="E23" i="24" s="1"/>
  <c r="G23" i="24" s="1"/>
  <c r="R27" i="22"/>
  <c r="Q27" i="22"/>
  <c r="U27" i="22" s="1"/>
  <c r="Z29" i="14"/>
  <c r="Z37" i="23" s="1"/>
  <c r="G67" i="14"/>
  <c r="G31" i="14"/>
  <c r="G39" i="23" s="1"/>
  <c r="E33" i="24" s="1"/>
  <c r="G33" i="24" s="1"/>
  <c r="M31" i="14"/>
  <c r="M39" i="23" s="1"/>
  <c r="E81" i="24" s="1"/>
  <c r="G81" i="24" s="1"/>
  <c r="G149" i="14"/>
  <c r="AK28" i="14"/>
  <c r="AK36" i="23" s="1"/>
  <c r="E160" i="24" s="1"/>
  <c r="G160" i="24" s="1"/>
  <c r="N160" i="24" s="1"/>
  <c r="F348" i="26" s="1"/>
  <c r="E76" i="14"/>
  <c r="C76" i="14"/>
  <c r="AF35" i="14"/>
  <c r="AF43" i="23" s="1"/>
  <c r="E127" i="24" s="1"/>
  <c r="G127" i="24" s="1"/>
  <c r="N127" i="24" s="1"/>
  <c r="F315" i="26" s="1"/>
  <c r="F28" i="22"/>
  <c r="J28" i="22" s="1"/>
  <c r="G28" i="22"/>
  <c r="E137" i="14"/>
  <c r="C137" i="14"/>
  <c r="C150" i="14"/>
  <c r="L150" i="14" s="1"/>
  <c r="E150" i="14"/>
  <c r="F31" i="14"/>
  <c r="F39" i="23" s="1"/>
  <c r="E25" i="24" s="1"/>
  <c r="G25" i="24" s="1"/>
  <c r="K35" i="14"/>
  <c r="K43" i="23" s="1"/>
  <c r="E69" i="24" s="1"/>
  <c r="G69" i="24" s="1"/>
  <c r="F34" i="14"/>
  <c r="F42" i="23" s="1"/>
  <c r="E28" i="24" s="1"/>
  <c r="G28" i="24" s="1"/>
  <c r="F32" i="22"/>
  <c r="J32" i="22" s="1"/>
  <c r="G32" i="22"/>
  <c r="Y28" i="14"/>
  <c r="Y36" i="23" s="1"/>
  <c r="J30" i="14"/>
  <c r="J38" i="23" s="1"/>
  <c r="E56" i="24" s="1"/>
  <c r="G56" i="24" s="1"/>
  <c r="AB30" i="14"/>
  <c r="AB38" i="23" s="1"/>
  <c r="E90" i="24" s="1"/>
  <c r="G90" i="24" s="1"/>
  <c r="L90" i="24" s="1"/>
  <c r="D278" i="26" s="1"/>
  <c r="S31" i="14"/>
  <c r="S39" i="23" s="1"/>
  <c r="F42" i="24" s="1"/>
  <c r="H42" i="24" s="1"/>
  <c r="Y31" i="14"/>
  <c r="Y39" i="23" s="1"/>
  <c r="X32" i="14"/>
  <c r="X40" i="23" s="1"/>
  <c r="C94" i="23" s="1"/>
  <c r="G94" i="23" s="1"/>
  <c r="Z30" i="14"/>
  <c r="Z38" i="23" s="1"/>
  <c r="S29" i="14"/>
  <c r="S37" i="23" s="1"/>
  <c r="F44" i="24" s="1"/>
  <c r="H44" i="24" s="1"/>
  <c r="G91" i="14"/>
  <c r="AI35" i="14"/>
  <c r="AI43" i="23" s="1"/>
  <c r="E151" i="24" s="1"/>
  <c r="G151" i="24" s="1"/>
  <c r="L151" i="24" s="1"/>
  <c r="D339" i="26" s="1"/>
  <c r="E146" i="14"/>
  <c r="C146" i="14"/>
  <c r="L146" i="14" s="1"/>
  <c r="N33" i="14"/>
  <c r="N41" i="23" s="1"/>
  <c r="F80" i="24" s="1"/>
  <c r="H80" i="24" s="1"/>
  <c r="G32" i="14"/>
  <c r="G40" i="23" s="1"/>
  <c r="E34" i="24" s="1"/>
  <c r="G34" i="24" s="1"/>
  <c r="U33" i="14"/>
  <c r="U41" i="23" s="1"/>
  <c r="F24" i="24" s="1"/>
  <c r="H24" i="24" s="1"/>
  <c r="AE34" i="14"/>
  <c r="AE42" i="23" s="1"/>
  <c r="E118" i="24" s="1"/>
  <c r="G118" i="24" s="1"/>
  <c r="L118" i="24" s="1"/>
  <c r="D306" i="26" s="1"/>
  <c r="AJ31" i="14"/>
  <c r="AJ39" i="23" s="1"/>
  <c r="E155" i="24" s="1"/>
  <c r="G155" i="24" s="1"/>
  <c r="N155" i="24" s="1"/>
  <c r="F343" i="26" s="1"/>
  <c r="E122" i="14"/>
  <c r="C122" i="14"/>
  <c r="AH28" i="14"/>
  <c r="AH36" i="23" s="1"/>
  <c r="E136" i="24" s="1"/>
  <c r="G136" i="24" s="1"/>
  <c r="L136" i="24" s="1"/>
  <c r="D324" i="26" s="1"/>
  <c r="AB28" i="22"/>
  <c r="AF28" i="22" s="1"/>
  <c r="AC28" i="22"/>
  <c r="AB33" i="14"/>
  <c r="AB41" i="23" s="1"/>
  <c r="E93" i="24" s="1"/>
  <c r="G93" i="24" s="1"/>
  <c r="N93" i="24" s="1"/>
  <c r="E31" i="14"/>
  <c r="E39" i="23" s="1"/>
  <c r="E17" i="24" s="1"/>
  <c r="G17" i="24" s="1"/>
  <c r="K29" i="14"/>
  <c r="K37" i="23" s="1"/>
  <c r="E63" i="24" s="1"/>
  <c r="G63" i="24" s="1"/>
  <c r="W30" i="14"/>
  <c r="W38" i="23" s="1"/>
  <c r="F11" i="24" s="1"/>
  <c r="H11" i="24" s="1"/>
  <c r="AG30" i="14"/>
  <c r="AG38" i="23" s="1"/>
  <c r="E130" i="24" s="1"/>
  <c r="G130" i="24" s="1"/>
  <c r="L130" i="24" s="1"/>
  <c r="D318" i="26" s="1"/>
  <c r="V31" i="14"/>
  <c r="V39" i="23" s="1"/>
  <c r="F18" i="24" s="1"/>
  <c r="H18" i="24" s="1"/>
  <c r="AC24" i="22"/>
  <c r="AB24" i="22"/>
  <c r="AF24" i="22" s="1"/>
  <c r="F25" i="22"/>
  <c r="J25" i="22" s="1"/>
  <c r="G25" i="22"/>
  <c r="AH30" i="14"/>
  <c r="AH38" i="23" s="1"/>
  <c r="E138" i="24" s="1"/>
  <c r="G138" i="24" s="1"/>
  <c r="N138" i="24" s="1"/>
  <c r="F326" i="26" s="1"/>
  <c r="J33" i="14"/>
  <c r="J41" i="23" s="1"/>
  <c r="E59" i="24" s="1"/>
  <c r="G59" i="24" s="1"/>
  <c r="C90" i="14"/>
  <c r="L90" i="14" s="1"/>
  <c r="E90" i="14"/>
  <c r="AA35" i="14"/>
  <c r="AA43" i="23" s="1"/>
  <c r="E87" i="24" s="1"/>
  <c r="G87" i="24" s="1"/>
  <c r="L87" i="24" s="1"/>
  <c r="D275" i="26" s="1"/>
  <c r="G35" i="14"/>
  <c r="G43" i="23" s="1"/>
  <c r="E37" i="24" s="1"/>
  <c r="G37" i="24" s="1"/>
  <c r="Y32" i="14"/>
  <c r="Y40" i="23" s="1"/>
  <c r="E72" i="14"/>
  <c r="C72" i="14"/>
  <c r="L72" i="14" s="1"/>
  <c r="E52" i="14"/>
  <c r="C52" i="14"/>
  <c r="AI30" i="14"/>
  <c r="AI38" i="23" s="1"/>
  <c r="E146" i="24" s="1"/>
  <c r="G146" i="24" s="1"/>
  <c r="N146" i="24" s="1"/>
  <c r="F334" i="26" s="1"/>
  <c r="AB28" i="14"/>
  <c r="AB36" i="23" s="1"/>
  <c r="E88" i="24" s="1"/>
  <c r="G88" i="24" s="1"/>
  <c r="L88" i="24" s="1"/>
  <c r="D276" i="26" s="1"/>
  <c r="X33" i="14"/>
  <c r="X41" i="23" s="1"/>
  <c r="C95" i="23" s="1"/>
  <c r="G95" i="23" s="1"/>
  <c r="J31" i="14"/>
  <c r="J39" i="23" s="1"/>
  <c r="E57" i="24" s="1"/>
  <c r="G57" i="24" s="1"/>
  <c r="G57" i="14"/>
  <c r="C55" i="14"/>
  <c r="L55" i="14" s="1"/>
  <c r="E55" i="14"/>
  <c r="Y33" i="14"/>
  <c r="Y41" i="23" s="1"/>
  <c r="J35" i="14"/>
  <c r="J43" i="23" s="1"/>
  <c r="E61" i="24" s="1"/>
  <c r="G61" i="24" s="1"/>
  <c r="G60" i="14"/>
  <c r="G140" i="14"/>
  <c r="C35" i="14"/>
  <c r="C43" i="23" s="1"/>
  <c r="E5" i="24" s="1"/>
  <c r="G5" i="24" s="1"/>
  <c r="R28" i="14"/>
  <c r="R36" i="23" s="1"/>
  <c r="F53" i="24" s="1"/>
  <c r="H53" i="24" s="1"/>
  <c r="AI31" i="14"/>
  <c r="AI39" i="23" s="1"/>
  <c r="E147" i="24" s="1"/>
  <c r="G147" i="24" s="1"/>
  <c r="N147" i="24" s="1"/>
  <c r="F335" i="26" s="1"/>
  <c r="AH35" i="14"/>
  <c r="AH43" i="23" s="1"/>
  <c r="E143" i="24" s="1"/>
  <c r="G143" i="24" s="1"/>
  <c r="L143" i="24" s="1"/>
  <c r="D331" i="26" s="1"/>
  <c r="G28" i="14"/>
  <c r="G36" i="23" s="1"/>
  <c r="E30" i="24" s="1"/>
  <c r="G30" i="24" s="1"/>
  <c r="I33" i="14"/>
  <c r="I41" i="23" s="1"/>
  <c r="E51" i="24" s="1"/>
  <c r="G51" i="24" s="1"/>
  <c r="X30" i="14"/>
  <c r="X38" i="23" s="1"/>
  <c r="C102" i="23" s="1"/>
  <c r="G102" i="23" s="1"/>
  <c r="AK31" i="14"/>
  <c r="AK39" i="23" s="1"/>
  <c r="E163" i="24" s="1"/>
  <c r="G163" i="24" s="1"/>
  <c r="N163" i="24" s="1"/>
  <c r="F351" i="26" s="1"/>
  <c r="E53" i="14"/>
  <c r="C53" i="14"/>
  <c r="E114" i="14"/>
  <c r="C114" i="14"/>
  <c r="H32" i="14"/>
  <c r="H40" i="23" s="1"/>
  <c r="E42" i="24" s="1"/>
  <c r="G42" i="24" s="1"/>
  <c r="I30" i="14"/>
  <c r="I38" i="23" s="1"/>
  <c r="E48" i="24" s="1"/>
  <c r="G48" i="24" s="1"/>
  <c r="D31" i="14"/>
  <c r="D39" i="23" s="1"/>
  <c r="E9" i="24" s="1"/>
  <c r="G9" i="24" s="1"/>
  <c r="Z28" i="14"/>
  <c r="Z36" i="23" s="1"/>
  <c r="C97" i="14"/>
  <c r="E97" i="14"/>
  <c r="Z35" i="14"/>
  <c r="Z43" i="23" s="1"/>
  <c r="AJ33" i="14"/>
  <c r="AJ41" i="23" s="1"/>
  <c r="E157" i="24" s="1"/>
  <c r="G157" i="24" s="1"/>
  <c r="E54" i="14"/>
  <c r="C54" i="14"/>
  <c r="G95" i="14"/>
  <c r="G65" i="14"/>
  <c r="P31" i="14"/>
  <c r="P39" i="23" s="1"/>
  <c r="C145" i="14"/>
  <c r="L145" i="14" s="1"/>
  <c r="E145" i="14"/>
  <c r="G129" i="14"/>
  <c r="R23" i="22"/>
  <c r="Q23" i="22"/>
  <c r="U23" i="22" s="1"/>
  <c r="AC22" i="22"/>
  <c r="AB22" i="22"/>
  <c r="AF22" i="22" s="1"/>
  <c r="B31" i="14"/>
  <c r="B39" i="23" s="1"/>
  <c r="V28" i="14"/>
  <c r="V36" i="23" s="1"/>
  <c r="F21" i="24" s="1"/>
  <c r="H21" i="24" s="1"/>
  <c r="K31" i="14"/>
  <c r="K39" i="23" s="1"/>
  <c r="E65" i="24" s="1"/>
  <c r="G65" i="24" s="1"/>
  <c r="G98" i="14"/>
  <c r="F30" i="14"/>
  <c r="F38" i="23" s="1"/>
  <c r="E24" i="24" s="1"/>
  <c r="G24" i="24" s="1"/>
  <c r="D30" i="14"/>
  <c r="D38" i="23" s="1"/>
  <c r="E8" i="24" s="1"/>
  <c r="G8" i="24" s="1"/>
  <c r="AG28" i="14"/>
  <c r="AG36" i="23" s="1"/>
  <c r="E128" i="24" s="1"/>
  <c r="G128" i="24" s="1"/>
  <c r="N128" i="24" s="1"/>
  <c r="F316" i="26" s="1"/>
  <c r="G30" i="14"/>
  <c r="G38" i="23" s="1"/>
  <c r="E32" i="24" s="1"/>
  <c r="G32" i="24" s="1"/>
  <c r="C47" i="14"/>
  <c r="L47" i="14" s="1"/>
  <c r="E47" i="14"/>
  <c r="D35" i="14"/>
  <c r="D43" i="23" s="1"/>
  <c r="E13" i="24" s="1"/>
  <c r="G13" i="24" s="1"/>
  <c r="E135" i="14"/>
  <c r="C135" i="14"/>
  <c r="K32" i="14"/>
  <c r="K40" i="23" s="1"/>
  <c r="E66" i="24" s="1"/>
  <c r="G66" i="24" s="1"/>
  <c r="AB26" i="22"/>
  <c r="AF26" i="22" s="1"/>
  <c r="AC26" i="22"/>
  <c r="U30" i="14"/>
  <c r="U38" i="23" s="1"/>
  <c r="F27" i="24" s="1"/>
  <c r="H27" i="24" s="1"/>
  <c r="AI28" i="14"/>
  <c r="AI36" i="23" s="1"/>
  <c r="E144" i="24" s="1"/>
  <c r="G144" i="24" s="1"/>
  <c r="L144" i="24" s="1"/>
  <c r="D332" i="26" s="1"/>
  <c r="R34" i="22"/>
  <c r="Q34" i="22"/>
  <c r="U34" i="22" s="1"/>
  <c r="G82" i="14"/>
  <c r="U32" i="14"/>
  <c r="U40" i="23" s="1"/>
  <c r="F25" i="24" s="1"/>
  <c r="H25" i="24" s="1"/>
  <c r="Y29" i="14"/>
  <c r="Y37" i="23" s="1"/>
  <c r="G128" i="14"/>
  <c r="V33" i="14"/>
  <c r="V41" i="23" s="1"/>
  <c r="F16" i="24" s="1"/>
  <c r="H16" i="24" s="1"/>
  <c r="C83" i="14"/>
  <c r="L83" i="14" s="1"/>
  <c r="E83" i="14"/>
  <c r="B29" i="14"/>
  <c r="B37" i="23" s="1"/>
  <c r="E140" i="14"/>
  <c r="C140" i="14"/>
  <c r="H28" i="14"/>
  <c r="H36" i="23" s="1"/>
  <c r="E38" i="24" s="1"/>
  <c r="G38" i="24" s="1"/>
  <c r="R28" i="22"/>
  <c r="Q28" i="22"/>
  <c r="U28" i="22" s="1"/>
  <c r="AI34" i="14"/>
  <c r="AI42" i="23" s="1"/>
  <c r="E150" i="24" s="1"/>
  <c r="G150" i="24" s="1"/>
  <c r="L150" i="24" s="1"/>
  <c r="D338" i="26" s="1"/>
  <c r="R31" i="14"/>
  <c r="R39" i="23" s="1"/>
  <c r="F50" i="24" s="1"/>
  <c r="H50" i="24" s="1"/>
  <c r="V30" i="14"/>
  <c r="V38" i="23" s="1"/>
  <c r="F19" i="24" s="1"/>
  <c r="H19" i="24" s="1"/>
  <c r="N29" i="14"/>
  <c r="N37" i="23" s="1"/>
  <c r="F84" i="24" s="1"/>
  <c r="H84" i="24" s="1"/>
  <c r="P33" i="14"/>
  <c r="P41" i="23" s="1"/>
  <c r="G93" i="14"/>
  <c r="AC31" i="14"/>
  <c r="AC39" i="23" s="1"/>
  <c r="E99" i="24" s="1"/>
  <c r="G99" i="24" s="1"/>
  <c r="L99" i="24" s="1"/>
  <c r="D287" i="26" s="1"/>
  <c r="AA29" i="14"/>
  <c r="AA37" i="23" s="1"/>
  <c r="B68" i="23" s="1"/>
  <c r="C68" i="23" s="1"/>
  <c r="AJ28" i="14"/>
  <c r="AJ36" i="23" s="1"/>
  <c r="E152" i="24" s="1"/>
  <c r="G152" i="24" s="1"/>
  <c r="N152" i="24" s="1"/>
  <c r="F340" i="26" s="1"/>
  <c r="Z31" i="14"/>
  <c r="Z39" i="23" s="1"/>
  <c r="E121" i="14"/>
  <c r="C121" i="14"/>
  <c r="G73" i="14"/>
  <c r="E87" i="14"/>
  <c r="C87" i="14"/>
  <c r="L87" i="14" s="1"/>
  <c r="R29" i="22"/>
  <c r="Q29" i="22"/>
  <c r="U29" i="22" s="1"/>
  <c r="U29" i="14"/>
  <c r="U37" i="23" s="1"/>
  <c r="F28" i="24" s="1"/>
  <c r="H28" i="24" s="1"/>
  <c r="C34" i="14"/>
  <c r="C42" i="23" s="1"/>
  <c r="E4" i="24" s="1"/>
  <c r="G4" i="24" s="1"/>
  <c r="C94" i="14"/>
  <c r="E94" i="14"/>
  <c r="G62" i="14"/>
  <c r="N30" i="14"/>
  <c r="N38" i="23" s="1"/>
  <c r="F83" i="24" s="1"/>
  <c r="H83" i="24" s="1"/>
  <c r="G33" i="14"/>
  <c r="G41" i="23" s="1"/>
  <c r="E35" i="24" s="1"/>
  <c r="G35" i="24" s="1"/>
  <c r="G147" i="14"/>
  <c r="U28" i="14"/>
  <c r="U36" i="23" s="1"/>
  <c r="F29" i="24" s="1"/>
  <c r="H29" i="24" s="1"/>
  <c r="AB31" i="14"/>
  <c r="AB39" i="23" s="1"/>
  <c r="E91" i="24" s="1"/>
  <c r="G91" i="24" s="1"/>
  <c r="N91" i="24" s="1"/>
  <c r="F279" i="26" s="1"/>
  <c r="L32" i="14"/>
  <c r="L40" i="23" s="1"/>
  <c r="E74" i="24" s="1"/>
  <c r="G74" i="24" s="1"/>
  <c r="AC28" i="14"/>
  <c r="AC36" i="23" s="1"/>
  <c r="E96" i="24" s="1"/>
  <c r="G96" i="24" s="1"/>
  <c r="N96" i="24" s="1"/>
  <c r="F284" i="26" s="1"/>
  <c r="G126" i="14"/>
  <c r="S28" i="14"/>
  <c r="S36" i="23" s="1"/>
  <c r="F45" i="24" s="1"/>
  <c r="H45" i="24" s="1"/>
  <c r="G34" i="14"/>
  <c r="G42" i="23" s="1"/>
  <c r="E36" i="24" s="1"/>
  <c r="G36" i="24" s="1"/>
  <c r="AD34" i="14"/>
  <c r="AD42" i="23" s="1"/>
  <c r="E110" i="24" s="1"/>
  <c r="G110" i="24" s="1"/>
  <c r="L110" i="24" s="1"/>
  <c r="D298" i="26" s="1"/>
  <c r="V34" i="14"/>
  <c r="V42" i="23" s="1"/>
  <c r="F15" i="24" s="1"/>
  <c r="H15" i="24" s="1"/>
  <c r="C107" i="14"/>
  <c r="L107" i="14" s="1"/>
  <c r="E107" i="14"/>
  <c r="G142" i="14"/>
  <c r="L29" i="14"/>
  <c r="L37" i="23" s="1"/>
  <c r="E71" i="24" s="1"/>
  <c r="G71" i="24" s="1"/>
  <c r="O29" i="14"/>
  <c r="O37" i="23" s="1"/>
  <c r="F76" i="24" s="1"/>
  <c r="H76" i="24" s="1"/>
  <c r="E104" i="14"/>
  <c r="C104" i="14"/>
  <c r="G131" i="14"/>
  <c r="E125" i="14"/>
  <c r="C125" i="14"/>
  <c r="L125" i="14" s="1"/>
  <c r="G24" i="22"/>
  <c r="F24" i="22"/>
  <c r="J24" i="22" s="1"/>
  <c r="W33" i="14"/>
  <c r="W41" i="23" s="1"/>
  <c r="F8" i="24" s="1"/>
  <c r="H8" i="24" s="1"/>
  <c r="G89" i="14"/>
  <c r="G63" i="14"/>
  <c r="AC25" i="22"/>
  <c r="AB25" i="22"/>
  <c r="AF25" i="22" s="1"/>
  <c r="F22" i="22"/>
  <c r="J22" i="22" s="1"/>
  <c r="G22" i="22"/>
  <c r="B35" i="14"/>
  <c r="B43" i="23" s="1"/>
  <c r="T28" i="14"/>
  <c r="T36" i="23" s="1"/>
  <c r="F37" i="24" s="1"/>
  <c r="H37" i="24" s="1"/>
  <c r="O31" i="14"/>
  <c r="O39" i="23" s="1"/>
  <c r="F74" i="24" s="1"/>
  <c r="H74" i="24" s="1"/>
  <c r="AC33" i="14"/>
  <c r="AC41" i="23" s="1"/>
  <c r="E101" i="24" s="1"/>
  <c r="G101" i="24" s="1"/>
  <c r="L101" i="24" s="1"/>
  <c r="D289" i="26" s="1"/>
  <c r="C131" i="14"/>
  <c r="L131" i="14" s="1"/>
  <c r="E131" i="14"/>
  <c r="W35" i="14"/>
  <c r="W43" i="23" s="1"/>
  <c r="F6" i="24" s="1"/>
  <c r="H6" i="24" s="1"/>
  <c r="AK32" i="14"/>
  <c r="AK40" i="23" s="1"/>
  <c r="E164" i="24" s="1"/>
  <c r="G164" i="24" s="1"/>
  <c r="N164" i="24" s="1"/>
  <c r="F352" i="26" s="1"/>
  <c r="AC21" i="22"/>
  <c r="Y61" i="22" a="1"/>
  <c r="Y61" i="22" s="1"/>
  <c r="AB21" i="22"/>
  <c r="AF21" i="22" s="1"/>
  <c r="W31" i="14"/>
  <c r="W39" i="23" s="1"/>
  <c r="F10" i="24" s="1"/>
  <c r="H10" i="24" s="1"/>
  <c r="G83" i="14"/>
  <c r="E34" i="14"/>
  <c r="E42" i="23" s="1"/>
  <c r="E20" i="24" s="1"/>
  <c r="G20" i="24" s="1"/>
  <c r="C58" i="14"/>
  <c r="L58" i="14" s="1"/>
  <c r="E58" i="14"/>
  <c r="AF30" i="14"/>
  <c r="AF38" i="23" s="1"/>
  <c r="E122" i="24" s="1"/>
  <c r="G122" i="24" s="1"/>
  <c r="N122" i="24" s="1"/>
  <c r="F310" i="26" s="1"/>
  <c r="T34" i="14"/>
  <c r="T42" i="23" s="1"/>
  <c r="F31" i="24" s="1"/>
  <c r="H31" i="24" s="1"/>
  <c r="AC30" i="14"/>
  <c r="AC38" i="23" s="1"/>
  <c r="E98" i="24" s="1"/>
  <c r="G98" i="24" s="1"/>
  <c r="L98" i="24" s="1"/>
  <c r="D286" i="26" s="1"/>
  <c r="G72" i="14"/>
  <c r="C64" i="14"/>
  <c r="L64" i="14" s="1"/>
  <c r="E64" i="14"/>
  <c r="Q21" i="22"/>
  <c r="U21" i="22" s="1"/>
  <c r="N61" i="22" a="1"/>
  <c r="N61" i="22" s="1"/>
  <c r="R21" i="22"/>
  <c r="F33" i="14"/>
  <c r="F41" i="23" s="1"/>
  <c r="E27" i="24" s="1"/>
  <c r="G27" i="24" s="1"/>
  <c r="AB36" i="22"/>
  <c r="AF36" i="22" s="1"/>
  <c r="AC36" i="22"/>
  <c r="Y35" i="14"/>
  <c r="Y43" i="23" s="1"/>
  <c r="AH34" i="14"/>
  <c r="AH42" i="23" s="1"/>
  <c r="E142" i="24" s="1"/>
  <c r="G142" i="24" s="1"/>
  <c r="L142" i="24" s="1"/>
  <c r="D330" i="26" s="1"/>
  <c r="B32" i="14"/>
  <c r="B40" i="23" s="1"/>
  <c r="AA33" i="14"/>
  <c r="AA41" i="23" s="1"/>
  <c r="C105" i="23" s="1"/>
  <c r="G105" i="23" s="1"/>
  <c r="AE29" i="14"/>
  <c r="AE37" i="23" s="1"/>
  <c r="E113" i="24" s="1"/>
  <c r="G113" i="24" s="1"/>
  <c r="L113" i="24" s="1"/>
  <c r="D301" i="26" s="1"/>
  <c r="P28" i="14"/>
  <c r="P36" i="23" s="1"/>
  <c r="P32" i="14"/>
  <c r="P40" i="23" s="1"/>
  <c r="G61" i="14"/>
  <c r="L35" i="14"/>
  <c r="L43" i="23" s="1"/>
  <c r="E77" i="24" s="1"/>
  <c r="G77" i="24" s="1"/>
  <c r="AB34" i="14"/>
  <c r="AB42" i="23" s="1"/>
  <c r="E94" i="24" s="1"/>
  <c r="G94" i="24" s="1"/>
  <c r="L94" i="24" s="1"/>
  <c r="D282" i="26" s="1"/>
  <c r="G85" i="14"/>
  <c r="K30" i="14"/>
  <c r="K38" i="23" s="1"/>
  <c r="E64" i="24" s="1"/>
  <c r="G64" i="24" s="1"/>
  <c r="G86" i="14"/>
  <c r="S35" i="14"/>
  <c r="S43" i="23" s="1"/>
  <c r="F38" i="24" s="1"/>
  <c r="H38" i="24" s="1"/>
  <c r="X31" i="14"/>
  <c r="X39" i="23" s="1"/>
  <c r="C103" i="23" s="1"/>
  <c r="G103" i="23" s="1"/>
  <c r="AB32" i="14"/>
  <c r="AB40" i="23" s="1"/>
  <c r="E92" i="24" s="1"/>
  <c r="G92" i="24" s="1"/>
  <c r="N92" i="24" s="1"/>
  <c r="F280" i="26" s="1"/>
  <c r="AF32" i="14"/>
  <c r="AF40" i="23" s="1"/>
  <c r="E124" i="24" s="1"/>
  <c r="G124" i="24" s="1"/>
  <c r="N124" i="24" s="1"/>
  <c r="F312" i="26" s="1"/>
  <c r="AC29" i="14"/>
  <c r="AC37" i="23" s="1"/>
  <c r="E97" i="24" s="1"/>
  <c r="G97" i="24" s="1"/>
  <c r="L97" i="24" s="1"/>
  <c r="D285" i="26" s="1"/>
  <c r="V35" i="14"/>
  <c r="V43" i="23" s="1"/>
  <c r="F14" i="24" s="1"/>
  <c r="H14" i="24" s="1"/>
  <c r="C133" i="14"/>
  <c r="L133" i="14" s="1"/>
  <c r="E133" i="14"/>
  <c r="AH29" i="14"/>
  <c r="AH37" i="23" s="1"/>
  <c r="E137" i="24" s="1"/>
  <c r="G137" i="24" s="1"/>
  <c r="N137" i="24" s="1"/>
  <c r="F325" i="26" s="1"/>
  <c r="R32" i="14"/>
  <c r="R40" i="23" s="1"/>
  <c r="F49" i="24" s="1"/>
  <c r="H49" i="24" s="1"/>
  <c r="Q32" i="14"/>
  <c r="Q40" i="23" s="1"/>
  <c r="F57" i="24" s="1"/>
  <c r="H57" i="24" s="1"/>
  <c r="C112" i="14"/>
  <c r="L112" i="14" s="1"/>
  <c r="E112" i="14"/>
  <c r="C105" i="14"/>
  <c r="L105" i="14" s="1"/>
  <c r="E105" i="14"/>
  <c r="G122" i="14"/>
  <c r="J29" i="14"/>
  <c r="J37" i="23" s="1"/>
  <c r="E55" i="24" s="1"/>
  <c r="G55" i="24" s="1"/>
  <c r="AA32" i="14"/>
  <c r="AA40" i="23" s="1"/>
  <c r="C104" i="23" s="1"/>
  <c r="G104" i="23" s="1"/>
  <c r="Q31" i="22"/>
  <c r="U31" i="22" s="1"/>
  <c r="R31" i="22"/>
  <c r="G74" i="14"/>
  <c r="AC23" i="22"/>
  <c r="AB23" i="22"/>
  <c r="AF23" i="22" s="1"/>
  <c r="Q35" i="14"/>
  <c r="Q43" i="23" s="1"/>
  <c r="F54" i="24" s="1"/>
  <c r="H54" i="24" s="1"/>
  <c r="AA28" i="14"/>
  <c r="AA36" i="23" s="1"/>
  <c r="B67" i="23" s="1"/>
  <c r="C67" i="23" s="1"/>
  <c r="G134" i="14"/>
  <c r="F32" i="14"/>
  <c r="F40" i="23" s="1"/>
  <c r="E26" i="24" s="1"/>
  <c r="G26" i="24" s="1"/>
  <c r="D28" i="14"/>
  <c r="D36" i="23" s="1"/>
  <c r="E6" i="24" s="1"/>
  <c r="G6" i="24" s="1"/>
  <c r="L31" i="14"/>
  <c r="L39" i="23" s="1"/>
  <c r="E73" i="24" s="1"/>
  <c r="G73" i="24" s="1"/>
  <c r="F23" i="22"/>
  <c r="J23" i="22" s="1"/>
  <c r="G23" i="22"/>
  <c r="N34" i="14"/>
  <c r="N42" i="23" s="1"/>
  <c r="F79" i="24" s="1"/>
  <c r="H79" i="24" s="1"/>
  <c r="AK29" i="14"/>
  <c r="AK37" i="23" s="1"/>
  <c r="E161" i="24" s="1"/>
  <c r="G161" i="24" s="1"/>
  <c r="N161" i="24" s="1"/>
  <c r="F349" i="26" s="1"/>
  <c r="E138" i="14"/>
  <c r="C138" i="14"/>
  <c r="AE31" i="14"/>
  <c r="AE39" i="23" s="1"/>
  <c r="E115" i="24" s="1"/>
  <c r="G115" i="24" s="1"/>
  <c r="L115" i="24" s="1"/>
  <c r="D303" i="26" s="1"/>
  <c r="Q22" i="22"/>
  <c r="U22" i="22" s="1"/>
  <c r="R22" i="22"/>
  <c r="Q34" i="14"/>
  <c r="Q42" i="23" s="1"/>
  <c r="F55" i="24" s="1"/>
  <c r="H55" i="24" s="1"/>
  <c r="AB35" i="14"/>
  <c r="AB43" i="23" s="1"/>
  <c r="E95" i="24" s="1"/>
  <c r="G95" i="24" s="1"/>
  <c r="L95" i="24" s="1"/>
  <c r="D283" i="26" s="1"/>
  <c r="T35" i="14"/>
  <c r="T43" i="23" s="1"/>
  <c r="F30" i="24" s="1"/>
  <c r="H30" i="24" s="1"/>
  <c r="H29" i="14"/>
  <c r="H37" i="23" s="1"/>
  <c r="E39" i="24" s="1"/>
  <c r="G39" i="24" s="1"/>
  <c r="AJ30" i="14"/>
  <c r="AJ38" i="23" s="1"/>
  <c r="E154" i="24" s="1"/>
  <c r="G154" i="24" s="1"/>
  <c r="N154" i="24" s="1"/>
  <c r="F342" i="26" s="1"/>
  <c r="C147" i="14"/>
  <c r="L147" i="14" s="1"/>
  <c r="E147" i="14"/>
  <c r="F26" i="22"/>
  <c r="J26" i="22" s="1"/>
  <c r="G26" i="22"/>
  <c r="AI33" i="14"/>
  <c r="AI41" i="23" s="1"/>
  <c r="E149" i="24" s="1"/>
  <c r="G149" i="24" s="1"/>
  <c r="N149" i="24" s="1"/>
  <c r="F337" i="26" s="1"/>
  <c r="R25" i="22"/>
  <c r="Q25" i="22"/>
  <c r="U25" i="22" s="1"/>
  <c r="Q33" i="14"/>
  <c r="Q41" i="23" s="1"/>
  <c r="F56" i="24" s="1"/>
  <c r="H56" i="24" s="1"/>
  <c r="AG29" i="14"/>
  <c r="AG37" i="23" s="1"/>
  <c r="E129" i="24" s="1"/>
  <c r="G129" i="24" s="1"/>
  <c r="N129" i="24" s="1"/>
  <c r="F317" i="26" s="1"/>
  <c r="R30" i="14"/>
  <c r="R38" i="23" s="1"/>
  <c r="F51" i="24" s="1"/>
  <c r="H51" i="24" s="1"/>
  <c r="G130" i="14"/>
  <c r="W28" i="14"/>
  <c r="W36" i="23" s="1"/>
  <c r="F13" i="24" s="1"/>
  <c r="H13" i="24" s="1"/>
  <c r="Q29" i="14"/>
  <c r="Q37" i="23" s="1"/>
  <c r="F60" i="24" s="1"/>
  <c r="W32" i="14"/>
  <c r="W40" i="23" s="1"/>
  <c r="F9" i="24" s="1"/>
  <c r="H9" i="24" s="1"/>
  <c r="I28" i="14"/>
  <c r="I36" i="23" s="1"/>
  <c r="E46" i="24" s="1"/>
  <c r="G46" i="24" s="1"/>
  <c r="C28" i="14"/>
  <c r="C36" i="23" s="1"/>
  <c r="B63" i="23" s="1"/>
  <c r="C114" i="26" s="1"/>
  <c r="G114" i="26" s="1"/>
  <c r="F28" i="14"/>
  <c r="F36" i="23" s="1"/>
  <c r="E22" i="24" s="1"/>
  <c r="G22" i="24" s="1"/>
  <c r="E65" i="14"/>
  <c r="C65" i="14"/>
  <c r="L65" i="14" s="1"/>
  <c r="AD29" i="14"/>
  <c r="AD37" i="23" s="1"/>
  <c r="E105" i="24" s="1"/>
  <c r="G105" i="24" s="1"/>
  <c r="L105" i="24" s="1"/>
  <c r="D293" i="26" s="1"/>
  <c r="E48" i="14"/>
  <c r="C48" i="14"/>
  <c r="Z34" i="14"/>
  <c r="Z42" i="23" s="1"/>
  <c r="AJ29" i="14"/>
  <c r="AJ37" i="23" s="1"/>
  <c r="E153" i="24" s="1"/>
  <c r="G153" i="24" s="1"/>
  <c r="N153" i="24" s="1"/>
  <c r="F341" i="26" s="1"/>
  <c r="M33" i="14"/>
  <c r="M41" i="23" s="1"/>
  <c r="E83" i="24" s="1"/>
  <c r="G83" i="24" s="1"/>
  <c r="V29" i="14"/>
  <c r="V37" i="23" s="1"/>
  <c r="F20" i="24" s="1"/>
  <c r="H20" i="24" s="1"/>
  <c r="T29" i="14"/>
  <c r="T37" i="23" s="1"/>
  <c r="F36" i="24" s="1"/>
  <c r="H36" i="24" s="1"/>
  <c r="AC34" i="14"/>
  <c r="AC42" i="23" s="1"/>
  <c r="E102" i="24" s="1"/>
  <c r="G102" i="24" s="1"/>
  <c r="L102" i="24" s="1"/>
  <c r="D290" i="26" s="1"/>
  <c r="O28" i="14"/>
  <c r="O36" i="23" s="1"/>
  <c r="F77" i="24" s="1"/>
  <c r="H77" i="24" s="1"/>
  <c r="AE30" i="14"/>
  <c r="AE38" i="23" s="1"/>
  <c r="E114" i="24" s="1"/>
  <c r="G114" i="24" s="1"/>
  <c r="G120" i="14"/>
  <c r="G44" i="14"/>
  <c r="Q31" i="14"/>
  <c r="Q39" i="23" s="1"/>
  <c r="F58" i="24" s="1"/>
  <c r="H58" i="24" s="1"/>
  <c r="AG33" i="14"/>
  <c r="AG41" i="23" s="1"/>
  <c r="E133" i="24" s="1"/>
  <c r="G133" i="24" s="1"/>
  <c r="N133" i="24" s="1"/>
  <c r="F321" i="26" s="1"/>
  <c r="C33" i="14"/>
  <c r="C41" i="23" s="1"/>
  <c r="C101" i="23" s="1"/>
  <c r="G101" i="23" s="1"/>
  <c r="AE28" i="14"/>
  <c r="AE36" i="23" s="1"/>
  <c r="E112" i="24" s="1"/>
  <c r="G112" i="24" s="1"/>
  <c r="AK33" i="14"/>
  <c r="AK41" i="23" s="1"/>
  <c r="E165" i="24" s="1"/>
  <c r="G165" i="24" s="1"/>
  <c r="N165" i="24" s="1"/>
  <c r="F353" i="26" s="1"/>
  <c r="AF33" i="14"/>
  <c r="AF41" i="23" s="1"/>
  <c r="E125" i="24" s="1"/>
  <c r="G125" i="24" s="1"/>
  <c r="N125" i="24" s="1"/>
  <c r="F313" i="26" s="1"/>
  <c r="E144" i="14"/>
  <c r="C144" i="14"/>
  <c r="Z32" i="14"/>
  <c r="Z40" i="23" s="1"/>
  <c r="I35" i="14"/>
  <c r="I43" i="23" s="1"/>
  <c r="E53" i="24" s="1"/>
  <c r="G53" i="24" s="1"/>
  <c r="AG35" i="14"/>
  <c r="AG43" i="23" s="1"/>
  <c r="E135" i="24" s="1"/>
  <c r="G135" i="24" s="1"/>
  <c r="N135" i="24" s="1"/>
  <c r="F323" i="26" s="1"/>
  <c r="E42" i="14"/>
  <c r="C42" i="14"/>
  <c r="T30" i="14"/>
  <c r="T38" i="23" s="1"/>
  <c r="F35" i="24" s="1"/>
  <c r="H35" i="24" s="1"/>
  <c r="AD31" i="14"/>
  <c r="AD39" i="23" s="1"/>
  <c r="E107" i="24" s="1"/>
  <c r="G107" i="24" s="1"/>
  <c r="L107" i="24" s="1"/>
  <c r="D295" i="26" s="1"/>
  <c r="H31" i="14"/>
  <c r="H39" i="23" s="1"/>
  <c r="E41" i="24" s="1"/>
  <c r="G41" i="24" s="1"/>
  <c r="AH31" i="14"/>
  <c r="AH39" i="23" s="1"/>
  <c r="E139" i="24" s="1"/>
  <c r="G139" i="24" s="1"/>
  <c r="M30" i="14"/>
  <c r="M38" i="23" s="1"/>
  <c r="E80" i="24" s="1"/>
  <c r="G80" i="24" s="1"/>
  <c r="K34" i="14"/>
  <c r="K42" i="23" s="1"/>
  <c r="E68" i="24" s="1"/>
  <c r="G68" i="24" s="1"/>
  <c r="E67" i="14"/>
  <c r="C67" i="14"/>
  <c r="L67" i="14" s="1"/>
  <c r="R26" i="22"/>
  <c r="Q26" i="22"/>
  <c r="U26" i="22" s="1"/>
  <c r="Y30" i="14"/>
  <c r="Y38" i="23" s="1"/>
  <c r="L30" i="14"/>
  <c r="L38" i="23" s="1"/>
  <c r="E72" i="24" s="1"/>
  <c r="G72" i="24" s="1"/>
  <c r="G114" i="14"/>
  <c r="AA34" i="14"/>
  <c r="AA42" i="23" s="1"/>
  <c r="E86" i="24" s="1"/>
  <c r="G86" i="24" s="1"/>
  <c r="L86" i="24" s="1"/>
  <c r="D274" i="26" s="1"/>
  <c r="R34" i="14"/>
  <c r="R42" i="23" s="1"/>
  <c r="F47" i="24" s="1"/>
  <c r="H47" i="24" s="1"/>
  <c r="I29" i="14"/>
  <c r="I37" i="23" s="1"/>
  <c r="E47" i="24" s="1"/>
  <c r="G47" i="24" s="1"/>
  <c r="X35" i="14"/>
  <c r="X43" i="23" s="1"/>
  <c r="B66" i="23" s="1"/>
  <c r="G45" i="14"/>
  <c r="G94" i="14"/>
  <c r="AD35" i="14"/>
  <c r="AD43" i="23" s="1"/>
  <c r="E111" i="24" s="1"/>
  <c r="G111" i="24" s="1"/>
  <c r="L111" i="24" s="1"/>
  <c r="D299" i="26" s="1"/>
  <c r="AC32" i="14"/>
  <c r="AC40" i="23" s="1"/>
  <c r="E100" i="24" s="1"/>
  <c r="G100" i="24" s="1"/>
  <c r="N100" i="24" s="1"/>
  <c r="X29" i="14"/>
  <c r="X37" i="23" s="1"/>
  <c r="F4" i="24" s="1"/>
  <c r="H4" i="24" s="1"/>
  <c r="G75" i="14"/>
  <c r="C142" i="14"/>
  <c r="L142" i="14" s="1"/>
  <c r="E142" i="14"/>
  <c r="P30" i="14"/>
  <c r="P38" i="23" s="1"/>
  <c r="AI29" i="14"/>
  <c r="AI37" i="23" s="1"/>
  <c r="E145" i="24" s="1"/>
  <c r="G145" i="24" s="1"/>
  <c r="N145" i="24" s="1"/>
  <c r="F333" i="26" s="1"/>
  <c r="E102" i="14"/>
  <c r="C102" i="14"/>
  <c r="L102" i="14" s="1"/>
  <c r="G109" i="14"/>
  <c r="C143" i="14"/>
  <c r="L143" i="14" s="1"/>
  <c r="E143" i="14"/>
  <c r="E88" i="14"/>
  <c r="C88" i="14"/>
  <c r="L88" i="14" s="1"/>
  <c r="AC31" i="22"/>
  <c r="AB31" i="22"/>
  <c r="AF31" i="22" s="1"/>
  <c r="G51" i="14"/>
  <c r="G145" i="14"/>
  <c r="E127" i="14"/>
  <c r="C127" i="14"/>
  <c r="L127" i="14" s="1"/>
  <c r="G41" i="14"/>
  <c r="G127" i="14"/>
  <c r="G104" i="14"/>
  <c r="G50" i="14"/>
  <c r="F36" i="22"/>
  <c r="J36" i="22" s="1"/>
  <c r="G36" i="22"/>
  <c r="G71" i="14"/>
  <c r="E77" i="14"/>
  <c r="C77" i="14"/>
  <c r="C81" i="14"/>
  <c r="E81" i="14"/>
  <c r="E68" i="14"/>
  <c r="C68" i="14"/>
  <c r="C80" i="14"/>
  <c r="L80" i="14" s="1"/>
  <c r="E80" i="14"/>
  <c r="E106" i="14"/>
  <c r="C106" i="14"/>
  <c r="T32" i="14"/>
  <c r="T40" i="23" s="1"/>
  <c r="F33" i="24" s="1"/>
  <c r="H33" i="24" s="1"/>
  <c r="AG31" i="14"/>
  <c r="AG39" i="23" s="1"/>
  <c r="E131" i="24" s="1"/>
  <c r="G131" i="24" s="1"/>
  <c r="N131" i="24" s="1"/>
  <c r="F319" i="26" s="1"/>
  <c r="S34" i="14"/>
  <c r="S42" i="23" s="1"/>
  <c r="F39" i="24" s="1"/>
  <c r="H39" i="24" s="1"/>
  <c r="C71" i="14"/>
  <c r="L71" i="14" s="1"/>
  <c r="E71" i="14"/>
  <c r="E117" i="14"/>
  <c r="C117" i="14"/>
  <c r="L117" i="14" s="1"/>
  <c r="E46" i="14"/>
  <c r="C46" i="14"/>
  <c r="C51" i="14"/>
  <c r="L51" i="14" s="1"/>
  <c r="E51" i="14"/>
  <c r="E59" i="14"/>
  <c r="C59" i="14"/>
  <c r="L59" i="14" s="1"/>
  <c r="E99" i="14"/>
  <c r="C99" i="14"/>
  <c r="L99" i="14" s="1"/>
  <c r="AB30" i="22"/>
  <c r="AF30" i="22" s="1"/>
  <c r="AC30" i="22"/>
  <c r="C103" i="14"/>
  <c r="E103" i="14"/>
  <c r="G108" i="14"/>
  <c r="C136" i="14"/>
  <c r="E136" i="14"/>
  <c r="G117" i="14"/>
  <c r="G125" i="14"/>
  <c r="E74" i="14"/>
  <c r="C74" i="14"/>
  <c r="L74" i="14" s="1"/>
  <c r="AB29" i="14"/>
  <c r="AB37" i="23" s="1"/>
  <c r="E89" i="24" s="1"/>
  <c r="G89" i="24" s="1"/>
  <c r="N89" i="24" s="1"/>
  <c r="F277" i="26" s="1"/>
  <c r="M32" i="14"/>
  <c r="M40" i="23" s="1"/>
  <c r="E82" i="24" s="1"/>
  <c r="G82" i="24" s="1"/>
  <c r="O30" i="14"/>
  <c r="O38" i="23" s="1"/>
  <c r="F75" i="24" s="1"/>
  <c r="H75" i="24" s="1"/>
  <c r="M29" i="14"/>
  <c r="M37" i="23" s="1"/>
  <c r="E79" i="24" s="1"/>
  <c r="G79" i="24" s="1"/>
  <c r="G56" i="14"/>
  <c r="G90" i="14"/>
  <c r="E45" i="14"/>
  <c r="C45" i="14"/>
  <c r="E93" i="14"/>
  <c r="C93" i="14"/>
  <c r="C63" i="14"/>
  <c r="L63" i="14" s="1"/>
  <c r="E63" i="14"/>
  <c r="G84" i="14"/>
  <c r="Q32" i="22"/>
  <c r="U32" i="22" s="1"/>
  <c r="R32" i="22"/>
  <c r="AC35" i="14"/>
  <c r="AC43" i="23" s="1"/>
  <c r="E103" i="24" s="1"/>
  <c r="G103" i="24" s="1"/>
  <c r="E101" i="14"/>
  <c r="C101" i="14"/>
  <c r="L101" i="14" s="1"/>
  <c r="F35" i="14"/>
  <c r="F43" i="23" s="1"/>
  <c r="E29" i="24" s="1"/>
  <c r="G29" i="24" s="1"/>
  <c r="AH32" i="14"/>
  <c r="AH40" i="23" s="1"/>
  <c r="E140" i="24" s="1"/>
  <c r="G140" i="24" s="1"/>
  <c r="N140" i="24" s="1"/>
  <c r="F328" i="26" s="1"/>
  <c r="X28" i="14"/>
  <c r="X36" i="23" s="1"/>
  <c r="F5" i="24" s="1"/>
  <c r="H5" i="24" s="1"/>
  <c r="G46" i="14"/>
  <c r="V32" i="14"/>
  <c r="V40" i="23" s="1"/>
  <c r="F17" i="24" s="1"/>
  <c r="H17" i="24" s="1"/>
  <c r="H33" i="14"/>
  <c r="H41" i="23" s="1"/>
  <c r="E43" i="24" s="1"/>
  <c r="G43" i="24" s="1"/>
  <c r="O33" i="14"/>
  <c r="O41" i="23" s="1"/>
  <c r="F72" i="24" s="1"/>
  <c r="H72" i="24" s="1"/>
  <c r="E33" i="14"/>
  <c r="E41" i="23" s="1"/>
  <c r="E19" i="24" s="1"/>
  <c r="G19" i="24" s="1"/>
  <c r="G148" i="14"/>
  <c r="G29" i="14"/>
  <c r="G37" i="23" s="1"/>
  <c r="E31" i="24" s="1"/>
  <c r="G31" i="24" s="1"/>
  <c r="E35" i="14"/>
  <c r="E43" i="23" s="1"/>
  <c r="E21" i="24" s="1"/>
  <c r="G21" i="24" s="1"/>
  <c r="G88" i="14"/>
  <c r="E111" i="14"/>
  <c r="C111" i="14"/>
  <c r="L111" i="14" s="1"/>
  <c r="C57" i="14"/>
  <c r="L57" i="14" s="1"/>
  <c r="E57" i="14"/>
  <c r="E86" i="14"/>
  <c r="C86" i="14"/>
  <c r="L86" i="14" s="1"/>
  <c r="E124" i="14"/>
  <c r="C124" i="14"/>
  <c r="G64" i="14"/>
  <c r="G49" i="14"/>
  <c r="C62" i="14"/>
  <c r="E62" i="14"/>
  <c r="G105" i="14"/>
  <c r="H105" i="14" s="1"/>
  <c r="R65" i="24" s="1"/>
  <c r="F31" i="22"/>
  <c r="J31" i="22" s="1"/>
  <c r="G31" i="22"/>
  <c r="E50" i="14"/>
  <c r="C50" i="14"/>
  <c r="G139" i="14"/>
  <c r="AC32" i="22"/>
  <c r="AB32" i="22"/>
  <c r="AF32" i="22" s="1"/>
  <c r="G47" i="14"/>
  <c r="H47" i="14" s="1"/>
  <c r="R7" i="24" s="1"/>
  <c r="G33" i="22"/>
  <c r="F33" i="22"/>
  <c r="J33" i="22" s="1"/>
  <c r="L33" i="14"/>
  <c r="L41" i="23" s="1"/>
  <c r="E75" i="24" s="1"/>
  <c r="G75" i="24" s="1"/>
  <c r="D34" i="14"/>
  <c r="D42" i="23" s="1"/>
  <c r="E12" i="24" s="1"/>
  <c r="G12" i="24" s="1"/>
  <c r="AF28" i="14"/>
  <c r="AF36" i="23" s="1"/>
  <c r="E120" i="24" s="1"/>
  <c r="G120" i="24" s="1"/>
  <c r="N120" i="24" s="1"/>
  <c r="F308" i="26" s="1"/>
  <c r="AK35" i="14"/>
  <c r="AK43" i="23" s="1"/>
  <c r="E167" i="24" s="1"/>
  <c r="G167" i="24" s="1"/>
  <c r="L167" i="24" s="1"/>
  <c r="D355" i="26" s="1"/>
  <c r="G132" i="14"/>
  <c r="G55" i="14"/>
  <c r="G42" i="14"/>
  <c r="G29" i="22"/>
  <c r="F29" i="22"/>
  <c r="J29" i="22" s="1"/>
  <c r="G133" i="14"/>
  <c r="G111" i="14"/>
  <c r="G79" i="14"/>
  <c r="G52" i="14"/>
  <c r="E78" i="14"/>
  <c r="C78" i="14"/>
  <c r="L78" i="14" s="1"/>
  <c r="AD33" i="14"/>
  <c r="AD41" i="23" s="1"/>
  <c r="E109" i="24" s="1"/>
  <c r="G109" i="24" s="1"/>
  <c r="N109" i="24" s="1"/>
  <c r="F297" i="26" s="1"/>
  <c r="AJ34" i="14"/>
  <c r="AJ42" i="23" s="1"/>
  <c r="E158" i="24" s="1"/>
  <c r="G158" i="24" s="1"/>
  <c r="N158" i="24" s="1"/>
  <c r="F346" i="26" s="1"/>
  <c r="M28" i="14"/>
  <c r="M36" i="23" s="1"/>
  <c r="E78" i="24" s="1"/>
  <c r="G78" i="24" s="1"/>
  <c r="AF31" i="14"/>
  <c r="AF39" i="23" s="1"/>
  <c r="E123" i="24" s="1"/>
  <c r="G123" i="24" s="1"/>
  <c r="L123" i="24" s="1"/>
  <c r="D311" i="26" s="1"/>
  <c r="C84" i="14"/>
  <c r="L84" i="14" s="1"/>
  <c r="E84" i="14"/>
  <c r="G76" i="14"/>
  <c r="E92" i="14"/>
  <c r="C92" i="14"/>
  <c r="L92" i="14" s="1"/>
  <c r="G150" i="14"/>
  <c r="E89" i="14"/>
  <c r="C89" i="14"/>
  <c r="L89" i="14" s="1"/>
  <c r="C75" i="14"/>
  <c r="L75" i="14" s="1"/>
  <c r="E75" i="14"/>
  <c r="E108" i="14"/>
  <c r="C108" i="14"/>
  <c r="L108" i="14" s="1"/>
  <c r="E70" i="14"/>
  <c r="C70" i="14"/>
  <c r="L70" i="14" s="1"/>
  <c r="G137" i="14"/>
  <c r="G59" i="14"/>
  <c r="AK34" i="14"/>
  <c r="AK42" i="23" s="1"/>
  <c r="E166" i="24" s="1"/>
  <c r="G166" i="24" s="1"/>
  <c r="N166" i="24" s="1"/>
  <c r="F354" i="26" s="1"/>
  <c r="S30" i="14"/>
  <c r="S38" i="23" s="1"/>
  <c r="F43" i="24" s="1"/>
  <c r="H43" i="24" s="1"/>
  <c r="P35" i="14"/>
  <c r="P43" i="23" s="1"/>
  <c r="Q30" i="14"/>
  <c r="Q38" i="23" s="1"/>
  <c r="F59" i="24" s="1"/>
  <c r="S32" i="14"/>
  <c r="S40" i="23" s="1"/>
  <c r="F41" i="24" s="1"/>
  <c r="H41" i="24" s="1"/>
  <c r="G136" i="14"/>
  <c r="C134" i="14"/>
  <c r="E134" i="14"/>
  <c r="H35" i="14"/>
  <c r="H43" i="23" s="1"/>
  <c r="E45" i="24" s="1"/>
  <c r="G45" i="24" s="1"/>
  <c r="C29" i="14"/>
  <c r="C37" i="23" s="1"/>
  <c r="B64" i="23" s="1"/>
  <c r="C115" i="26" s="1"/>
  <c r="G115" i="26" s="1"/>
  <c r="Y34" i="14"/>
  <c r="Y42" i="23" s="1"/>
  <c r="H30" i="14"/>
  <c r="H38" i="23" s="1"/>
  <c r="E40" i="24" s="1"/>
  <c r="G40" i="24" s="1"/>
  <c r="G48" i="14"/>
  <c r="G102" i="14"/>
  <c r="AI32" i="14"/>
  <c r="AI40" i="23" s="1"/>
  <c r="E148" i="24" s="1"/>
  <c r="G148" i="24" s="1"/>
  <c r="L148" i="24" s="1"/>
  <c r="D336" i="26" s="1"/>
  <c r="P34" i="14"/>
  <c r="P42" i="23" s="1"/>
  <c r="F63" i="24" s="1"/>
  <c r="G97" i="14"/>
  <c r="G81" i="14"/>
  <c r="E129" i="14"/>
  <c r="C129" i="14"/>
  <c r="C132" i="14"/>
  <c r="L132" i="14" s="1"/>
  <c r="E132" i="14"/>
  <c r="G123" i="14"/>
  <c r="G118" i="14"/>
  <c r="E119" i="14"/>
  <c r="C119" i="14"/>
  <c r="F35" i="22"/>
  <c r="J35" i="22" s="1"/>
  <c r="G35" i="22"/>
  <c r="G135" i="14"/>
  <c r="E130" i="14"/>
  <c r="C130" i="14"/>
  <c r="G119" i="14"/>
  <c r="G66" i="14"/>
  <c r="C91" i="14"/>
  <c r="E91" i="14"/>
  <c r="G115" i="14"/>
  <c r="E61" i="14"/>
  <c r="C61" i="14"/>
  <c r="L61" i="14" s="1"/>
  <c r="G87" i="14"/>
  <c r="C120" i="14"/>
  <c r="E120" i="14"/>
  <c r="R35" i="22"/>
  <c r="Q35" i="22"/>
  <c r="U35" i="22" s="1"/>
  <c r="C32" i="14"/>
  <c r="C40" i="23" s="1"/>
  <c r="C100" i="23" s="1"/>
  <c r="AD28" i="14"/>
  <c r="AD36" i="23" s="1"/>
  <c r="E104" i="24" s="1"/>
  <c r="G104" i="24" s="1"/>
  <c r="B33" i="14"/>
  <c r="B41" i="23" s="1"/>
  <c r="R35" i="14"/>
  <c r="R43" i="23" s="1"/>
  <c r="F46" i="24" s="1"/>
  <c r="H46" i="24" s="1"/>
  <c r="E100" i="14"/>
  <c r="C100" i="14"/>
  <c r="L100" i="14" s="1"/>
  <c r="E49" i="14"/>
  <c r="C49" i="14"/>
  <c r="L49" i="14" s="1"/>
  <c r="E123" i="14"/>
  <c r="C123" i="14"/>
  <c r="L123" i="14" s="1"/>
  <c r="C113" i="14"/>
  <c r="L113" i="14" s="1"/>
  <c r="E113" i="14"/>
  <c r="E148" i="14"/>
  <c r="C148" i="14"/>
  <c r="G68" i="14"/>
  <c r="E43" i="14"/>
  <c r="C43" i="14"/>
  <c r="L43" i="14" s="1"/>
  <c r="G30" i="22"/>
  <c r="F30" i="22"/>
  <c r="J30" i="22" s="1"/>
  <c r="Q36" i="22"/>
  <c r="U36" i="22" s="1"/>
  <c r="R36" i="22"/>
  <c r="G101" i="14"/>
  <c r="G146" i="14"/>
  <c r="G107" i="14"/>
  <c r="F34" i="22"/>
  <c r="J34" i="22" s="1"/>
  <c r="G34" i="22"/>
  <c r="O34" i="14"/>
  <c r="O42" i="23" s="1"/>
  <c r="F71" i="24" s="1"/>
  <c r="H71" i="24" s="1"/>
  <c r="J32" i="14"/>
  <c r="J40" i="23" s="1"/>
  <c r="E58" i="24" s="1"/>
  <c r="G58" i="24" s="1"/>
  <c r="D32" i="14"/>
  <c r="D40" i="23" s="1"/>
  <c r="E10" i="24" s="1"/>
  <c r="G10" i="24" s="1"/>
  <c r="W34" i="14"/>
  <c r="W42" i="23" s="1"/>
  <c r="C115" i="14"/>
  <c r="E115" i="14"/>
  <c r="G103" i="14"/>
  <c r="G138" i="14"/>
  <c r="G106" i="14"/>
  <c r="G53" i="14"/>
  <c r="G80" i="14"/>
  <c r="AB29" i="22"/>
  <c r="AF29" i="22" s="1"/>
  <c r="AC29" i="22"/>
  <c r="E118" i="14"/>
  <c r="C118" i="14"/>
  <c r="L118" i="14" s="1"/>
  <c r="E82" i="14"/>
  <c r="C82" i="14"/>
  <c r="AB34" i="22"/>
  <c r="AF34" i="22" s="1"/>
  <c r="AC34" i="22"/>
  <c r="C31" i="14"/>
  <c r="C39" i="23" s="1"/>
  <c r="C93" i="23" s="1"/>
  <c r="G93" i="23" s="1"/>
  <c r="J28" i="14"/>
  <c r="J36" i="23" s="1"/>
  <c r="E54" i="24" s="1"/>
  <c r="G54" i="24" s="1"/>
  <c r="AA31" i="14"/>
  <c r="AA39" i="23" s="1"/>
  <c r="C97" i="23" s="1"/>
  <c r="U31" i="14"/>
  <c r="U39" i="23" s="1"/>
  <c r="F26" i="24" s="1"/>
  <c r="H26" i="24" s="1"/>
  <c r="C30" i="14"/>
  <c r="C38" i="23" s="1"/>
  <c r="C92" i="23" s="1"/>
  <c r="E149" i="14"/>
  <c r="C149" i="14"/>
  <c r="L149" i="14" s="1"/>
  <c r="E116" i="14"/>
  <c r="C116" i="14"/>
  <c r="L116" i="14" s="1"/>
  <c r="G58" i="14"/>
  <c r="R29" i="14"/>
  <c r="R37" i="23" s="1"/>
  <c r="F52" i="24" s="1"/>
  <c r="H52" i="24" s="1"/>
  <c r="AD32" i="14"/>
  <c r="AD40" i="23" s="1"/>
  <c r="E108" i="24" s="1"/>
  <c r="G108" i="24" s="1"/>
  <c r="N108" i="24" s="1"/>
  <c r="F296" i="26" s="1"/>
  <c r="U35" i="14"/>
  <c r="U43" i="23" s="1"/>
  <c r="F22" i="24" s="1"/>
  <c r="H22" i="24" s="1"/>
  <c r="AE32" i="14"/>
  <c r="AE40" i="23" s="1"/>
  <c r="E116" i="24" s="1"/>
  <c r="G116" i="24" s="1"/>
  <c r="L116" i="24" s="1"/>
  <c r="D304" i="26" s="1"/>
  <c r="G77" i="14"/>
  <c r="AB33" i="22"/>
  <c r="AF33" i="22" s="1"/>
  <c r="AC33" i="22"/>
  <c r="AD30" i="14"/>
  <c r="AD38" i="23" s="1"/>
  <c r="E106" i="24" s="1"/>
  <c r="G106" i="24" s="1"/>
  <c r="R33" i="14"/>
  <c r="R41" i="23" s="1"/>
  <c r="F48" i="24" s="1"/>
  <c r="H48" i="24" s="1"/>
  <c r="G99" i="14"/>
  <c r="G113" i="14"/>
  <c r="C95" i="14"/>
  <c r="L95" i="14" s="1"/>
  <c r="E95" i="14"/>
  <c r="C66" i="14"/>
  <c r="L66" i="14" s="1"/>
  <c r="E66" i="14"/>
  <c r="Q33" i="22"/>
  <c r="U33" i="22" s="1"/>
  <c r="R33" i="22"/>
  <c r="G43" i="14"/>
  <c r="G144" i="14"/>
  <c r="E141" i="14"/>
  <c r="C141" i="14"/>
  <c r="G96" i="14"/>
  <c r="G54" i="14"/>
  <c r="G92" i="14"/>
  <c r="C73" i="14"/>
  <c r="E73" i="14"/>
  <c r="E79" i="14"/>
  <c r="C79" i="14"/>
  <c r="L79" i="14" s="1"/>
  <c r="G141" i="14"/>
  <c r="O32" i="14"/>
  <c r="O40" i="23" s="1"/>
  <c r="F73" i="24" s="1"/>
  <c r="H73" i="24" s="1"/>
  <c r="O35" i="14"/>
  <c r="O43" i="23" s="1"/>
  <c r="F70" i="24" s="1"/>
  <c r="H70" i="24" s="1"/>
  <c r="AF34" i="14"/>
  <c r="AF42" i="23" s="1"/>
  <c r="E126" i="24" s="1"/>
  <c r="G126" i="24" s="1"/>
  <c r="L126" i="24" s="1"/>
  <c r="D314" i="26" s="1"/>
  <c r="AK30" i="14"/>
  <c r="AK38" i="23" s="1"/>
  <c r="E162" i="24" s="1"/>
  <c r="G162" i="24" s="1"/>
  <c r="N162" i="24" s="1"/>
  <c r="F350" i="26" s="1"/>
  <c r="G100" i="14"/>
  <c r="G116" i="14"/>
  <c r="G143" i="14"/>
  <c r="R30" i="22"/>
  <c r="Q30" i="22"/>
  <c r="U30" i="22" s="1"/>
  <c r="G124" i="14"/>
  <c r="C128" i="14"/>
  <c r="L128" i="14" s="1"/>
  <c r="E128" i="14"/>
  <c r="G121" i="14"/>
  <c r="E30" i="14"/>
  <c r="E38" i="23" s="1"/>
  <c r="E16" i="24" s="1"/>
  <c r="G16" i="24" s="1"/>
  <c r="I31" i="14"/>
  <c r="I39" i="23" s="1"/>
  <c r="E49" i="24" s="1"/>
  <c r="G49" i="24" s="1"/>
  <c r="I32" i="14"/>
  <c r="I40" i="23" s="1"/>
  <c r="E50" i="24" s="1"/>
  <c r="G50" i="24" s="1"/>
  <c r="P29" i="14"/>
  <c r="P37" i="23" s="1"/>
  <c r="C56" i="14"/>
  <c r="L56" i="14" s="1"/>
  <c r="E56" i="14"/>
  <c r="G112" i="14"/>
  <c r="E44" i="14"/>
  <c r="C44" i="14"/>
  <c r="L44" i="14" s="1"/>
  <c r="G69" i="14"/>
  <c r="G70" i="14"/>
  <c r="E110" i="14"/>
  <c r="C110" i="14"/>
  <c r="E60" i="14"/>
  <c r="C60" i="14"/>
  <c r="L60" i="14" s="1"/>
  <c r="D100" i="23" l="1"/>
  <c r="E100" i="23"/>
  <c r="G92" i="23"/>
  <c r="D92" i="23"/>
  <c r="C36" i="26" s="1"/>
  <c r="E92" i="23"/>
  <c r="L153" i="24"/>
  <c r="D341" i="26" s="1"/>
  <c r="D78" i="23"/>
  <c r="D53" i="26" s="1"/>
  <c r="I137" i="14"/>
  <c r="L137" i="14"/>
  <c r="I120" i="14"/>
  <c r="L120" i="14"/>
  <c r="I129" i="14"/>
  <c r="L129" i="14"/>
  <c r="I103" i="14"/>
  <c r="L103" i="14"/>
  <c r="I144" i="14"/>
  <c r="L144" i="14"/>
  <c r="I138" i="14"/>
  <c r="L138" i="14"/>
  <c r="I104" i="14"/>
  <c r="L104" i="14"/>
  <c r="I54" i="14"/>
  <c r="L54" i="14"/>
  <c r="I53" i="14"/>
  <c r="L53" i="14"/>
  <c r="I85" i="14"/>
  <c r="L85" i="14"/>
  <c r="I73" i="14"/>
  <c r="L73" i="14"/>
  <c r="I141" i="14"/>
  <c r="L141" i="14"/>
  <c r="I130" i="14"/>
  <c r="L130" i="14"/>
  <c r="I134" i="14"/>
  <c r="L134" i="14"/>
  <c r="I50" i="14"/>
  <c r="L50" i="14"/>
  <c r="I136" i="14"/>
  <c r="L136" i="14"/>
  <c r="I46" i="14"/>
  <c r="L46" i="14"/>
  <c r="I81" i="14"/>
  <c r="L81" i="14"/>
  <c r="I94" i="14"/>
  <c r="L94" i="14"/>
  <c r="I121" i="14"/>
  <c r="L121" i="14"/>
  <c r="I135" i="14"/>
  <c r="L135" i="14"/>
  <c r="I97" i="14"/>
  <c r="L97" i="14"/>
  <c r="I52" i="14"/>
  <c r="L52" i="14"/>
  <c r="I122" i="14"/>
  <c r="L122" i="14"/>
  <c r="I126" i="14"/>
  <c r="L126" i="14"/>
  <c r="I110" i="14"/>
  <c r="L110" i="14"/>
  <c r="I148" i="14"/>
  <c r="L148" i="14"/>
  <c r="I62" i="14"/>
  <c r="L62" i="14"/>
  <c r="I42" i="14"/>
  <c r="L42" i="14"/>
  <c r="I45" i="14"/>
  <c r="L45" i="14"/>
  <c r="I140" i="14"/>
  <c r="L140" i="14"/>
  <c r="I76" i="14"/>
  <c r="L76" i="14"/>
  <c r="I82" i="14"/>
  <c r="L82" i="14"/>
  <c r="I115" i="14"/>
  <c r="L115" i="14"/>
  <c r="I91" i="14"/>
  <c r="L91" i="14"/>
  <c r="I119" i="14"/>
  <c r="L119" i="14"/>
  <c r="I124" i="14"/>
  <c r="L124" i="14"/>
  <c r="I93" i="14"/>
  <c r="L93" i="14"/>
  <c r="I106" i="14"/>
  <c r="L106" i="14"/>
  <c r="I68" i="14"/>
  <c r="L68" i="14"/>
  <c r="I77" i="14"/>
  <c r="L77" i="14"/>
  <c r="I48" i="14"/>
  <c r="L48" i="14"/>
  <c r="I114" i="14"/>
  <c r="L114" i="14"/>
  <c r="F7" i="24"/>
  <c r="H7" i="24" s="1"/>
  <c r="F62" i="24"/>
  <c r="H62" i="24" s="1"/>
  <c r="F67" i="24"/>
  <c r="H67" i="24" s="1"/>
  <c r="N67" i="24" s="1"/>
  <c r="F255" i="26" s="1"/>
  <c r="F65" i="24"/>
  <c r="H65" i="24" s="1"/>
  <c r="H63" i="24"/>
  <c r="L63" i="24" s="1"/>
  <c r="D251" i="26" s="1"/>
  <c r="F66" i="24"/>
  <c r="H66" i="24" s="1"/>
  <c r="N66" i="24" s="1"/>
  <c r="F254" i="26" s="1"/>
  <c r="F68" i="24"/>
  <c r="H68" i="24" s="1"/>
  <c r="N68" i="24" s="1"/>
  <c r="F64" i="24"/>
  <c r="H64" i="24" s="1"/>
  <c r="N64" i="24" s="1"/>
  <c r="F252" i="26" s="1"/>
  <c r="F69" i="24"/>
  <c r="H69" i="24" s="1"/>
  <c r="H208" i="14"/>
  <c r="H220" i="14"/>
  <c r="H219" i="14"/>
  <c r="H231" i="14"/>
  <c r="H54" i="14"/>
  <c r="R14" i="24" s="1"/>
  <c r="C125" i="26"/>
  <c r="G125" i="26" s="1"/>
  <c r="H229" i="14"/>
  <c r="H211" i="14"/>
  <c r="S36" i="22"/>
  <c r="T36" i="22" s="1"/>
  <c r="I70" i="14"/>
  <c r="H48" i="14"/>
  <c r="R8" i="24" s="1"/>
  <c r="H138" i="14"/>
  <c r="R98" i="24" s="1"/>
  <c r="H144" i="14"/>
  <c r="R104" i="24" s="1"/>
  <c r="H122" i="14"/>
  <c r="R82" i="24" s="1"/>
  <c r="H214" i="14"/>
  <c r="H223" i="14"/>
  <c r="H218" i="14"/>
  <c r="H224" i="14"/>
  <c r="H230" i="14"/>
  <c r="I88" i="14"/>
  <c r="AD35" i="22"/>
  <c r="AE35" i="22" s="1"/>
  <c r="I58" i="14"/>
  <c r="H80" i="14"/>
  <c r="R40" i="24" s="1"/>
  <c r="I105" i="14"/>
  <c r="H152" i="14"/>
  <c r="R112" i="24" s="1"/>
  <c r="I80" i="14"/>
  <c r="H121" i="14"/>
  <c r="R81" i="24" s="1"/>
  <c r="H59" i="14"/>
  <c r="R19" i="24" s="1"/>
  <c r="H94" i="14"/>
  <c r="R54" i="24" s="1"/>
  <c r="H240" i="14"/>
  <c r="I59" i="14"/>
  <c r="H69" i="14"/>
  <c r="R29" i="24" s="1"/>
  <c r="H58" i="14"/>
  <c r="R18" i="24" s="1"/>
  <c r="H81" i="14"/>
  <c r="R41" i="24" s="1"/>
  <c r="H136" i="14"/>
  <c r="R96" i="24" s="1"/>
  <c r="H88" i="14"/>
  <c r="R48" i="24" s="1"/>
  <c r="H90" i="14"/>
  <c r="R50" i="24" s="1"/>
  <c r="C64" i="23"/>
  <c r="C63" i="23"/>
  <c r="H151" i="14"/>
  <c r="R111" i="24" s="1"/>
  <c r="I183" i="14"/>
  <c r="I239" i="14"/>
  <c r="I160" i="14"/>
  <c r="H239" i="14"/>
  <c r="I175" i="14"/>
  <c r="I215" i="14"/>
  <c r="I217" i="14"/>
  <c r="I188" i="14"/>
  <c r="I202" i="14"/>
  <c r="H232" i="14"/>
  <c r="I226" i="14"/>
  <c r="I123" i="14"/>
  <c r="I224" i="14"/>
  <c r="I222" i="14"/>
  <c r="I168" i="14"/>
  <c r="I235" i="14"/>
  <c r="I153" i="14"/>
  <c r="I193" i="14"/>
  <c r="H238" i="14"/>
  <c r="H222" i="14"/>
  <c r="I157" i="14"/>
  <c r="I158" i="14"/>
  <c r="I182" i="14"/>
  <c r="I237" i="14"/>
  <c r="I227" i="14"/>
  <c r="I221" i="14"/>
  <c r="I210" i="14"/>
  <c r="I185" i="14"/>
  <c r="I208" i="14"/>
  <c r="I201" i="14"/>
  <c r="I184" i="14"/>
  <c r="I194" i="14"/>
  <c r="H235" i="14"/>
  <c r="I191" i="14"/>
  <c r="H148" i="14"/>
  <c r="R108" i="24" s="1"/>
  <c r="H55" i="14"/>
  <c r="R15" i="24" s="1"/>
  <c r="H145" i="14"/>
  <c r="R105" i="24" s="1"/>
  <c r="I170" i="14"/>
  <c r="H237" i="14"/>
  <c r="I164" i="14"/>
  <c r="I233" i="14"/>
  <c r="H210" i="14"/>
  <c r="I163" i="14"/>
  <c r="I177" i="14"/>
  <c r="I187" i="14"/>
  <c r="I151" i="14"/>
  <c r="I165" i="14"/>
  <c r="I180" i="14"/>
  <c r="I171" i="14"/>
  <c r="I198" i="14"/>
  <c r="I199" i="14"/>
  <c r="I205" i="14"/>
  <c r="I154" i="14"/>
  <c r="I152" i="14"/>
  <c r="I172" i="14"/>
  <c r="I181" i="14"/>
  <c r="I166" i="14"/>
  <c r="H209" i="14"/>
  <c r="I155" i="14"/>
  <c r="H213" i="14"/>
  <c r="I214" i="14"/>
  <c r="I174" i="14"/>
  <c r="I218" i="14"/>
  <c r="I240" i="14"/>
  <c r="I190" i="14"/>
  <c r="I209" i="14"/>
  <c r="I236" i="14"/>
  <c r="I238" i="14"/>
  <c r="I216" i="14"/>
  <c r="I232" i="14"/>
  <c r="I189" i="14"/>
  <c r="I197" i="14"/>
  <c r="I195" i="14"/>
  <c r="I179" i="14"/>
  <c r="I213" i="14"/>
  <c r="H96" i="14"/>
  <c r="R56" i="24" s="1"/>
  <c r="H99" i="14"/>
  <c r="R59" i="24" s="1"/>
  <c r="I206" i="14"/>
  <c r="I196" i="14"/>
  <c r="I223" i="14"/>
  <c r="I169" i="14"/>
  <c r="I176" i="14"/>
  <c r="I74" i="14"/>
  <c r="N80" i="24"/>
  <c r="F268" i="26" s="1"/>
  <c r="L32" i="24"/>
  <c r="D220" i="26" s="1"/>
  <c r="N34" i="24"/>
  <c r="F222" i="26" s="1"/>
  <c r="I212" i="14"/>
  <c r="H227" i="14"/>
  <c r="I230" i="14"/>
  <c r="H236" i="14"/>
  <c r="I207" i="14"/>
  <c r="H217" i="14"/>
  <c r="I229" i="14"/>
  <c r="H216" i="14"/>
  <c r="I178" i="14"/>
  <c r="I161" i="14"/>
  <c r="I156" i="14"/>
  <c r="H233" i="14"/>
  <c r="I234" i="14"/>
  <c r="I186" i="14"/>
  <c r="I200" i="14"/>
  <c r="I192" i="14"/>
  <c r="I162" i="14"/>
  <c r="I159" i="14"/>
  <c r="I203" i="14"/>
  <c r="I228" i="14"/>
  <c r="I173" i="14"/>
  <c r="H228" i="14"/>
  <c r="I167" i="14"/>
  <c r="H212" i="14"/>
  <c r="I204" i="14"/>
  <c r="I211" i="14"/>
  <c r="H153" i="14"/>
  <c r="R113" i="24" s="1"/>
  <c r="I225" i="14"/>
  <c r="H221" i="14"/>
  <c r="I231" i="14"/>
  <c r="I219" i="14"/>
  <c r="I220" i="14"/>
  <c r="N27" i="24"/>
  <c r="F215" i="26" s="1"/>
  <c r="C82" i="23"/>
  <c r="C57" i="26" s="1"/>
  <c r="F57" i="26" s="1"/>
  <c r="C119" i="26"/>
  <c r="G119" i="26" s="1"/>
  <c r="C133" i="26"/>
  <c r="H59" i="24"/>
  <c r="L59" i="24" s="1"/>
  <c r="D247" i="26" s="1"/>
  <c r="AD30" i="22"/>
  <c r="AE30" i="22" s="1"/>
  <c r="H117" i="14"/>
  <c r="R77" i="24" s="1"/>
  <c r="S21" i="22"/>
  <c r="T21" i="22" s="1"/>
  <c r="Q45" i="22" s="1"/>
  <c r="O45" i="22" s="1"/>
  <c r="AD21" i="22"/>
  <c r="AE21" i="22" s="1"/>
  <c r="L70" i="24"/>
  <c r="D258" i="26" s="1"/>
  <c r="N144" i="24"/>
  <c r="O144" i="24" s="1"/>
  <c r="L93" i="24"/>
  <c r="D281" i="26" s="1"/>
  <c r="N58" i="24"/>
  <c r="F246" i="26" s="1"/>
  <c r="L5" i="24"/>
  <c r="D193" i="26" s="1"/>
  <c r="N136" i="24"/>
  <c r="F324" i="26" s="1"/>
  <c r="L124" i="24"/>
  <c r="D312" i="26" s="1"/>
  <c r="N87" i="24"/>
  <c r="O87" i="24" s="1"/>
  <c r="N26" i="24"/>
  <c r="F214" i="26" s="1"/>
  <c r="N30" i="24"/>
  <c r="F218" i="26" s="1"/>
  <c r="N76" i="24"/>
  <c r="F264" i="26" s="1"/>
  <c r="L10" i="24"/>
  <c r="D198" i="26" s="1"/>
  <c r="L40" i="24"/>
  <c r="D228" i="26" s="1"/>
  <c r="L53" i="24"/>
  <c r="D241" i="26" s="1"/>
  <c r="N101" i="24"/>
  <c r="O101" i="24" s="1"/>
  <c r="G289" i="26" s="1"/>
  <c r="N97" i="24"/>
  <c r="O97" i="24" s="1"/>
  <c r="G285" i="26" s="1"/>
  <c r="C118" i="26"/>
  <c r="G118" i="26" s="1"/>
  <c r="L79" i="24"/>
  <c r="D267" i="26" s="1"/>
  <c r="AD33" i="22"/>
  <c r="AE33" i="22" s="1"/>
  <c r="AD29" i="22"/>
  <c r="AE29" i="22" s="1"/>
  <c r="H34" i="22"/>
  <c r="I34" i="22" s="1"/>
  <c r="H35" i="22"/>
  <c r="I35" i="22" s="1"/>
  <c r="N123" i="24"/>
  <c r="O123" i="24" s="1"/>
  <c r="H33" i="22"/>
  <c r="I33" i="22" s="1"/>
  <c r="H29" i="22"/>
  <c r="I29" i="22" s="1"/>
  <c r="N36" i="24"/>
  <c r="F224" i="26" s="1"/>
  <c r="L57" i="24"/>
  <c r="D245" i="26" s="1"/>
  <c r="N74" i="24"/>
  <c r="F262" i="26" s="1"/>
  <c r="N126" i="24"/>
  <c r="F314" i="26" s="1"/>
  <c r="L152" i="24"/>
  <c r="D340" i="26" s="1"/>
  <c r="H43" i="14"/>
  <c r="H123" i="14"/>
  <c r="R83" i="24" s="1"/>
  <c r="H133" i="14"/>
  <c r="R93" i="24" s="1"/>
  <c r="H42" i="14"/>
  <c r="N17" i="24"/>
  <c r="F205" i="26" s="1"/>
  <c r="H50" i="14"/>
  <c r="R10" i="24" s="1"/>
  <c r="N51" i="24"/>
  <c r="F239" i="26" s="1"/>
  <c r="H112" i="14"/>
  <c r="R72" i="24" s="1"/>
  <c r="N14" i="24"/>
  <c r="F202" i="26" s="1"/>
  <c r="L8" i="24"/>
  <c r="D196" i="26" s="1"/>
  <c r="H98" i="14"/>
  <c r="R58" i="24" s="1"/>
  <c r="H129" i="14"/>
  <c r="R89" i="24" s="1"/>
  <c r="H60" i="14"/>
  <c r="R20" i="24" s="1"/>
  <c r="D84" i="23"/>
  <c r="D59" i="26" s="1"/>
  <c r="L133" i="24"/>
  <c r="D321" i="26" s="1"/>
  <c r="I139" i="14"/>
  <c r="H126" i="14"/>
  <c r="R86" i="24" s="1"/>
  <c r="I83" i="14"/>
  <c r="H128" i="14"/>
  <c r="R88" i="24" s="1"/>
  <c r="AD31" i="22"/>
  <c r="AE31" i="22" s="1"/>
  <c r="S35" i="22"/>
  <c r="T35" i="22" s="1"/>
  <c r="H22" i="22"/>
  <c r="I22" i="22" s="1"/>
  <c r="F44" i="22" s="1"/>
  <c r="H32" i="22"/>
  <c r="I32" i="22" s="1"/>
  <c r="N118" i="24"/>
  <c r="F306" i="26" s="1"/>
  <c r="L160" i="24"/>
  <c r="D348" i="26" s="1"/>
  <c r="N32" i="24"/>
  <c r="F220" i="26" s="1"/>
  <c r="L121" i="24"/>
  <c r="D309" i="26" s="1"/>
  <c r="N35" i="24"/>
  <c r="F223" i="26" s="1"/>
  <c r="L48" i="24"/>
  <c r="D236" i="26" s="1"/>
  <c r="N82" i="24"/>
  <c r="F270" i="26" s="1"/>
  <c r="L12" i="24"/>
  <c r="D200" i="26" s="1"/>
  <c r="N57" i="24"/>
  <c r="F245" i="26" s="1"/>
  <c r="L18" i="24"/>
  <c r="D206" i="26" s="1"/>
  <c r="L145" i="24"/>
  <c r="D333" i="26" s="1"/>
  <c r="AD36" i="22"/>
  <c r="AE36" i="22" s="1"/>
  <c r="AD26" i="22"/>
  <c r="AE26" i="22" s="1"/>
  <c r="AD24" i="22"/>
  <c r="AE24" i="22" s="1"/>
  <c r="AD32" i="22"/>
  <c r="AE32" i="22" s="1"/>
  <c r="S34" i="22"/>
  <c r="T34" i="22" s="1"/>
  <c r="S29" i="22"/>
  <c r="T29" i="22" s="1"/>
  <c r="S30" i="22"/>
  <c r="T30" i="22" s="1"/>
  <c r="N6" i="24"/>
  <c r="F194" i="26" s="1"/>
  <c r="L36" i="24"/>
  <c r="D224" i="26" s="1"/>
  <c r="L37" i="24"/>
  <c r="D225" i="26" s="1"/>
  <c r="L78" i="24"/>
  <c r="D266" i="26" s="1"/>
  <c r="N42" i="24"/>
  <c r="F230" i="26" s="1"/>
  <c r="L16" i="24"/>
  <c r="D204" i="26" s="1"/>
  <c r="B72" i="23"/>
  <c r="I133" i="14"/>
  <c r="H104" i="14"/>
  <c r="R64" i="24" s="1"/>
  <c r="I69" i="14"/>
  <c r="H85" i="14"/>
  <c r="R45" i="24" s="1"/>
  <c r="I75" i="14"/>
  <c r="H143" i="14"/>
  <c r="R103" i="24" s="1"/>
  <c r="H100" i="14"/>
  <c r="R60" i="24" s="1"/>
  <c r="H77" i="14"/>
  <c r="R37" i="24" s="1"/>
  <c r="H52" i="14"/>
  <c r="R12" i="24" s="1"/>
  <c r="H139" i="14"/>
  <c r="R99" i="24" s="1"/>
  <c r="H46" i="14"/>
  <c r="R6" i="24" s="1"/>
  <c r="H75" i="14"/>
  <c r="R35" i="24" s="1"/>
  <c r="H74" i="14"/>
  <c r="R34" i="24" s="1"/>
  <c r="H146" i="14"/>
  <c r="R106" i="24" s="1"/>
  <c r="H91" i="14"/>
  <c r="R51" i="24" s="1"/>
  <c r="H71" i="14"/>
  <c r="R31" i="24" s="1"/>
  <c r="I79" i="14"/>
  <c r="C80" i="23"/>
  <c r="C55" i="26" s="1"/>
  <c r="F55" i="26" s="1"/>
  <c r="N52" i="24"/>
  <c r="F240" i="26" s="1"/>
  <c r="D82" i="23"/>
  <c r="D57" i="26" s="1"/>
  <c r="I131" i="14"/>
  <c r="I44" i="14"/>
  <c r="I111" i="14"/>
  <c r="H78" i="14"/>
  <c r="R38" i="24" s="1"/>
  <c r="H97" i="14"/>
  <c r="R57" i="24" s="1"/>
  <c r="I51" i="14"/>
  <c r="I149" i="14"/>
  <c r="H62" i="14"/>
  <c r="R22" i="24" s="1"/>
  <c r="H61" i="14"/>
  <c r="R21" i="24" s="1"/>
  <c r="H67" i="14"/>
  <c r="R27" i="24" s="1"/>
  <c r="H137" i="14"/>
  <c r="R97" i="24" s="1"/>
  <c r="I113" i="14"/>
  <c r="I61" i="14"/>
  <c r="H44" i="14"/>
  <c r="R4" i="24" s="1"/>
  <c r="I89" i="14"/>
  <c r="I63" i="14"/>
  <c r="H149" i="14"/>
  <c r="R109" i="24" s="1"/>
  <c r="S33" i="22"/>
  <c r="T33" i="22" s="1"/>
  <c r="S32" i="22"/>
  <c r="T32" i="22" s="1"/>
  <c r="H36" i="22"/>
  <c r="I36" i="22" s="1"/>
  <c r="I95" i="14"/>
  <c r="H95" i="14"/>
  <c r="R55" i="24" s="1"/>
  <c r="I132" i="14"/>
  <c r="H132" i="14"/>
  <c r="R92" i="24" s="1"/>
  <c r="I92" i="14"/>
  <c r="H108" i="14"/>
  <c r="R68" i="24" s="1"/>
  <c r="I99" i="14"/>
  <c r="H127" i="14"/>
  <c r="R87" i="24" s="1"/>
  <c r="I127" i="14"/>
  <c r="I150" i="14"/>
  <c r="I142" i="14"/>
  <c r="H92" i="14"/>
  <c r="R52" i="24" s="1"/>
  <c r="H107" i="14"/>
  <c r="R67" i="24" s="1"/>
  <c r="H142" i="14"/>
  <c r="R102" i="24" s="1"/>
  <c r="I49" i="14"/>
  <c r="H57" i="14"/>
  <c r="R17" i="24" s="1"/>
  <c r="I57" i="14"/>
  <c r="I101" i="14"/>
  <c r="I90" i="14"/>
  <c r="H84" i="14"/>
  <c r="R44" i="24" s="1"/>
  <c r="I84" i="14"/>
  <c r="H135" i="14"/>
  <c r="R95" i="24" s="1"/>
  <c r="H49" i="14"/>
  <c r="R9" i="24" s="1"/>
  <c r="H131" i="14"/>
  <c r="R91" i="24" s="1"/>
  <c r="H73" i="14"/>
  <c r="R33" i="24" s="1"/>
  <c r="I107" i="14"/>
  <c r="H86" i="14"/>
  <c r="R46" i="24" s="1"/>
  <c r="N8" i="24"/>
  <c r="F196" i="26" s="1"/>
  <c r="I96" i="14"/>
  <c r="N119" i="24"/>
  <c r="F307" i="26" s="1"/>
  <c r="N37" i="24"/>
  <c r="F225" i="26" s="1"/>
  <c r="N90" i="24"/>
  <c r="F278" i="26" s="1"/>
  <c r="C116" i="26"/>
  <c r="G116" i="26" s="1"/>
  <c r="I128" i="14"/>
  <c r="H124" i="14"/>
  <c r="R84" i="24" s="1"/>
  <c r="I98" i="14"/>
  <c r="I147" i="14"/>
  <c r="N95" i="24"/>
  <c r="O95" i="24" s="1"/>
  <c r="L91" i="24"/>
  <c r="O91" i="24" s="1"/>
  <c r="N115" i="24"/>
  <c r="O115" i="24" s="1"/>
  <c r="C134" i="26"/>
  <c r="G134" i="26" s="1"/>
  <c r="I41" i="14"/>
  <c r="H79" i="14"/>
  <c r="R39" i="24" s="1"/>
  <c r="I55" i="14"/>
  <c r="I72" i="14"/>
  <c r="H113" i="14"/>
  <c r="R73" i="24" s="1"/>
  <c r="H116" i="14"/>
  <c r="R76" i="24" s="1"/>
  <c r="H53" i="14"/>
  <c r="R13" i="24" s="1"/>
  <c r="H103" i="14"/>
  <c r="R63" i="24" s="1"/>
  <c r="H101" i="14"/>
  <c r="R61" i="24" s="1"/>
  <c r="H115" i="14"/>
  <c r="R75" i="24" s="1"/>
  <c r="H118" i="14"/>
  <c r="R78" i="24" s="1"/>
  <c r="H150" i="14"/>
  <c r="R110" i="24" s="1"/>
  <c r="H111" i="14"/>
  <c r="R71" i="24" s="1"/>
  <c r="H41" i="14"/>
  <c r="H51" i="14"/>
  <c r="R11" i="24" s="1"/>
  <c r="H130" i="14"/>
  <c r="R90" i="24" s="1"/>
  <c r="H72" i="14"/>
  <c r="R32" i="24" s="1"/>
  <c r="H147" i="14"/>
  <c r="R107" i="24" s="1"/>
  <c r="H82" i="14"/>
  <c r="R42" i="24" s="1"/>
  <c r="H140" i="14"/>
  <c r="R100" i="24" s="1"/>
  <c r="D79" i="23"/>
  <c r="D54" i="26" s="1"/>
  <c r="L149" i="24"/>
  <c r="D337" i="26" s="1"/>
  <c r="L129" i="24"/>
  <c r="D317" i="26" s="1"/>
  <c r="I78" i="14"/>
  <c r="L165" i="24"/>
  <c r="D353" i="26" s="1"/>
  <c r="N134" i="24"/>
  <c r="O134" i="24" s="1"/>
  <c r="C126" i="26"/>
  <c r="G126" i="26" s="1"/>
  <c r="H45" i="14"/>
  <c r="R5" i="24" s="1"/>
  <c r="H63" i="14"/>
  <c r="R23" i="24" s="1"/>
  <c r="I118" i="14"/>
  <c r="H119" i="14"/>
  <c r="R79" i="24" s="1"/>
  <c r="I43" i="14"/>
  <c r="I67" i="14"/>
  <c r="H76" i="14"/>
  <c r="R36" i="24" s="1"/>
  <c r="H64" i="14"/>
  <c r="R24" i="24" s="1"/>
  <c r="H109" i="14"/>
  <c r="R69" i="24" s="1"/>
  <c r="N148" i="24"/>
  <c r="F336" i="26" s="1"/>
  <c r="L127" i="24"/>
  <c r="D315" i="26" s="1"/>
  <c r="L162" i="24"/>
  <c r="D350" i="26" s="1"/>
  <c r="N111" i="24"/>
  <c r="F299" i="26" s="1"/>
  <c r="C135" i="26"/>
  <c r="G135" i="26" s="1"/>
  <c r="N117" i="24"/>
  <c r="F305" i="26" s="1"/>
  <c r="N33" i="24"/>
  <c r="F221" i="26" s="1"/>
  <c r="C79" i="23"/>
  <c r="F79" i="23" s="1"/>
  <c r="L85" i="24"/>
  <c r="D273" i="26" s="1"/>
  <c r="N22" i="24"/>
  <c r="F210" i="26" s="1"/>
  <c r="N83" i="24"/>
  <c r="F271" i="26" s="1"/>
  <c r="D81" i="23"/>
  <c r="D56" i="26" s="1"/>
  <c r="H63" i="23"/>
  <c r="D80" i="23"/>
  <c r="D55" i="26" s="1"/>
  <c r="N23" i="24"/>
  <c r="F211" i="26" s="1"/>
  <c r="C83" i="23"/>
  <c r="F83" i="23" s="1"/>
  <c r="L35" i="24"/>
  <c r="D223" i="26" s="1"/>
  <c r="B71" i="23"/>
  <c r="H61" i="24"/>
  <c r="L61" i="24" s="1"/>
  <c r="D249" i="26" s="1"/>
  <c r="C123" i="26"/>
  <c r="G123" i="26" s="1"/>
  <c r="N75" i="24"/>
  <c r="F263" i="26" s="1"/>
  <c r="N72" i="24"/>
  <c r="F260" i="26" s="1"/>
  <c r="C130" i="26"/>
  <c r="G130" i="26" s="1"/>
  <c r="G100" i="23"/>
  <c r="D35" i="26" s="1"/>
  <c r="L89" i="24"/>
  <c r="D277" i="26" s="1"/>
  <c r="L34" i="24"/>
  <c r="D222" i="26" s="1"/>
  <c r="C35" i="26"/>
  <c r="C78" i="23"/>
  <c r="C53" i="26" s="1"/>
  <c r="F53" i="26" s="1"/>
  <c r="L109" i="24"/>
  <c r="D297" i="26" s="1"/>
  <c r="C127" i="26"/>
  <c r="G127" i="26" s="1"/>
  <c r="G97" i="23"/>
  <c r="D36" i="26" s="1"/>
  <c r="C84" i="23"/>
  <c r="L131" i="24"/>
  <c r="D319" i="26" s="1"/>
  <c r="N28" i="24"/>
  <c r="F216" i="26" s="1"/>
  <c r="L146" i="24"/>
  <c r="D334" i="26" s="1"/>
  <c r="N130" i="24"/>
  <c r="O130" i="24" s="1"/>
  <c r="D83" i="23"/>
  <c r="D58" i="26" s="1"/>
  <c r="L80" i="24"/>
  <c r="D268" i="26" s="1"/>
  <c r="C81" i="23"/>
  <c r="F81" i="23" s="1"/>
  <c r="L135" i="24"/>
  <c r="D323" i="26" s="1"/>
  <c r="L161" i="24"/>
  <c r="D349" i="26" s="1"/>
  <c r="L156" i="24"/>
  <c r="D344" i="26" s="1"/>
  <c r="L84" i="24"/>
  <c r="D272" i="26" s="1"/>
  <c r="H28" i="22"/>
  <c r="I28" i="22" s="1"/>
  <c r="H24" i="22"/>
  <c r="I24" i="22" s="1"/>
  <c r="F42" i="22" s="1"/>
  <c r="S22" i="22"/>
  <c r="T22" i="22" s="1"/>
  <c r="S23" i="22"/>
  <c r="T23" i="22" s="1"/>
  <c r="N41" i="22" s="1"/>
  <c r="L41" i="22" s="1"/>
  <c r="N57" i="22" s="1"/>
  <c r="S24" i="22"/>
  <c r="T24" i="22" s="1"/>
  <c r="Q39" i="22" s="1"/>
  <c r="O39" i="22" s="1"/>
  <c r="H21" i="22"/>
  <c r="I21" i="22" s="1"/>
  <c r="F45" i="22" s="1"/>
  <c r="S27" i="22"/>
  <c r="T27" i="22" s="1"/>
  <c r="AD27" i="22"/>
  <c r="AE27" i="22" s="1"/>
  <c r="S25" i="22"/>
  <c r="T25" i="22" s="1"/>
  <c r="AD28" i="22"/>
  <c r="AE28" i="22" s="1"/>
  <c r="L122" i="24"/>
  <c r="D310" i="26" s="1"/>
  <c r="L147" i="24"/>
  <c r="D335" i="26" s="1"/>
  <c r="N40" i="24"/>
  <c r="F228" i="26" s="1"/>
  <c r="L17" i="24"/>
  <c r="D205" i="26" s="1"/>
  <c r="L155" i="24"/>
  <c r="D343" i="26" s="1"/>
  <c r="L42" i="24"/>
  <c r="D230" i="26" s="1"/>
  <c r="L159" i="24"/>
  <c r="D347" i="26" s="1"/>
  <c r="N10" i="24"/>
  <c r="F198" i="26" s="1"/>
  <c r="N53" i="24"/>
  <c r="F241" i="26" s="1"/>
  <c r="L132" i="24"/>
  <c r="D320" i="26" s="1"/>
  <c r="N73" i="24"/>
  <c r="F261" i="26" s="1"/>
  <c r="L41" i="24"/>
  <c r="D229" i="26" s="1"/>
  <c r="L77" i="24"/>
  <c r="D265" i="26" s="1"/>
  <c r="L46" i="24"/>
  <c r="D234" i="26" s="1"/>
  <c r="L31" i="24"/>
  <c r="D219" i="26" s="1"/>
  <c r="N19" i="24"/>
  <c r="F207" i="26" s="1"/>
  <c r="L9" i="24"/>
  <c r="D197" i="26" s="1"/>
  <c r="L28" i="24"/>
  <c r="D216" i="26" s="1"/>
  <c r="L23" i="24"/>
  <c r="D211" i="26" s="1"/>
  <c r="L52" i="24"/>
  <c r="D240" i="26" s="1"/>
  <c r="L14" i="24"/>
  <c r="D202" i="26" s="1"/>
  <c r="N16" i="24"/>
  <c r="F204" i="26" s="1"/>
  <c r="N141" i="24"/>
  <c r="O141" i="24" s="1"/>
  <c r="N102" i="24"/>
  <c r="O102" i="24" s="1"/>
  <c r="G290" i="26" s="1"/>
  <c r="N79" i="24"/>
  <c r="F267" i="26" s="1"/>
  <c r="N98" i="24"/>
  <c r="F286" i="26" s="1"/>
  <c r="N48" i="24"/>
  <c r="F236" i="26" s="1"/>
  <c r="L33" i="24"/>
  <c r="D221" i="26" s="1"/>
  <c r="N105" i="24"/>
  <c r="F293" i="26" s="1"/>
  <c r="L51" i="24"/>
  <c r="D239" i="26" s="1"/>
  <c r="L120" i="24"/>
  <c r="D308" i="26" s="1"/>
  <c r="L125" i="24"/>
  <c r="D313" i="26" s="1"/>
  <c r="L82" i="24"/>
  <c r="D270" i="26" s="1"/>
  <c r="N47" i="24"/>
  <c r="F235" i="26" s="1"/>
  <c r="L58" i="24"/>
  <c r="D246" i="26" s="1"/>
  <c r="L26" i="24"/>
  <c r="D214" i="26" s="1"/>
  <c r="L49" i="24"/>
  <c r="D237" i="26" s="1"/>
  <c r="L6" i="24"/>
  <c r="D194" i="26" s="1"/>
  <c r="L74" i="24"/>
  <c r="D262" i="26" s="1"/>
  <c r="N21" i="24"/>
  <c r="F209" i="26" s="1"/>
  <c r="L30" i="24"/>
  <c r="D218" i="26" s="1"/>
  <c r="N5" i="24"/>
  <c r="F193" i="26" s="1"/>
  <c r="N44" i="24"/>
  <c r="F232" i="26" s="1"/>
  <c r="L76" i="24"/>
  <c r="D264" i="26" s="1"/>
  <c r="L15" i="24"/>
  <c r="D203" i="26" s="1"/>
  <c r="S28" i="22"/>
  <c r="T28" i="22" s="1"/>
  <c r="H25" i="22"/>
  <c r="I25" i="22" s="1"/>
  <c r="F41" i="22" s="1"/>
  <c r="AD25" i="22"/>
  <c r="AE25" i="22" s="1"/>
  <c r="AD22" i="22"/>
  <c r="AE22" i="22" s="1"/>
  <c r="L106" i="24"/>
  <c r="D294" i="26" s="1"/>
  <c r="N106" i="24"/>
  <c r="F294" i="26" s="1"/>
  <c r="L54" i="24"/>
  <c r="D242" i="26" s="1"/>
  <c r="N54" i="24"/>
  <c r="F242" i="26" s="1"/>
  <c r="L71" i="24"/>
  <c r="D259" i="26" s="1"/>
  <c r="N71" i="24"/>
  <c r="F259" i="26" s="1"/>
  <c r="L104" i="24"/>
  <c r="D292" i="26" s="1"/>
  <c r="N104" i="24"/>
  <c r="F292" i="26" s="1"/>
  <c r="N103" i="24"/>
  <c r="F291" i="26" s="1"/>
  <c r="L103" i="24"/>
  <c r="D291" i="26" s="1"/>
  <c r="L64" i="24"/>
  <c r="D252" i="26" s="1"/>
  <c r="L139" i="24"/>
  <c r="D327" i="26" s="1"/>
  <c r="N139" i="24"/>
  <c r="F327" i="26" s="1"/>
  <c r="N112" i="24"/>
  <c r="F300" i="26" s="1"/>
  <c r="L112" i="24"/>
  <c r="D300" i="26" s="1"/>
  <c r="L114" i="24"/>
  <c r="D302" i="26" s="1"/>
  <c r="N114" i="24"/>
  <c r="F302" i="26" s="1"/>
  <c r="N55" i="24"/>
  <c r="F243" i="26" s="1"/>
  <c r="L55" i="24"/>
  <c r="D243" i="26" s="1"/>
  <c r="L13" i="24"/>
  <c r="D201" i="26" s="1"/>
  <c r="N13" i="24"/>
  <c r="F201" i="26" s="1"/>
  <c r="L157" i="24"/>
  <c r="D345" i="26" s="1"/>
  <c r="N157" i="24"/>
  <c r="F345" i="26" s="1"/>
  <c r="L56" i="24"/>
  <c r="D244" i="26" s="1"/>
  <c r="L25" i="24"/>
  <c r="D213" i="26" s="1"/>
  <c r="N25" i="24"/>
  <c r="F213" i="26" s="1"/>
  <c r="N70" i="24"/>
  <c r="F258" i="26" s="1"/>
  <c r="N11" i="24"/>
  <c r="F199" i="26" s="1"/>
  <c r="L21" i="24"/>
  <c r="D209" i="26" s="1"/>
  <c r="L154" i="24"/>
  <c r="D342" i="26" s="1"/>
  <c r="L47" i="24"/>
  <c r="D235" i="26" s="1"/>
  <c r="L164" i="24"/>
  <c r="D352" i="26" s="1"/>
  <c r="N78" i="24"/>
  <c r="F266" i="26" s="1"/>
  <c r="L11" i="24"/>
  <c r="D199" i="26" s="1"/>
  <c r="N56" i="24"/>
  <c r="F244" i="26" s="1"/>
  <c r="N81" i="24"/>
  <c r="F269" i="26" s="1"/>
  <c r="N84" i="24"/>
  <c r="L72" i="24"/>
  <c r="D260" i="26" s="1"/>
  <c r="L140" i="24"/>
  <c r="D328" i="26" s="1"/>
  <c r="L44" i="24"/>
  <c r="D232" i="26" s="1"/>
  <c r="N142" i="24"/>
  <c r="O142" i="24" s="1"/>
  <c r="N49" i="24"/>
  <c r="F237" i="26" s="1"/>
  <c r="N116" i="24"/>
  <c r="O116" i="24" s="1"/>
  <c r="L138" i="24"/>
  <c r="D326" i="26" s="1"/>
  <c r="L75" i="24"/>
  <c r="D263" i="26" s="1"/>
  <c r="N50" i="24"/>
  <c r="F238" i="26" s="1"/>
  <c r="N45" i="24"/>
  <c r="F233" i="26" s="1"/>
  <c r="N43" i="24"/>
  <c r="F231" i="26" s="1"/>
  <c r="L29" i="24"/>
  <c r="D217" i="26" s="1"/>
  <c r="L39" i="24"/>
  <c r="D227" i="26" s="1"/>
  <c r="N38" i="24"/>
  <c r="F226" i="26" s="1"/>
  <c r="L20" i="24"/>
  <c r="D208" i="26" s="1"/>
  <c r="N15" i="24"/>
  <c r="F203" i="26" s="1"/>
  <c r="N4" i="24"/>
  <c r="F192" i="26" s="1"/>
  <c r="N24" i="24"/>
  <c r="F212" i="26" s="1"/>
  <c r="L45" i="24"/>
  <c r="D233" i="26" s="1"/>
  <c r="L22" i="24"/>
  <c r="D210" i="26" s="1"/>
  <c r="L24" i="24"/>
  <c r="D212" i="26" s="1"/>
  <c r="L163" i="24"/>
  <c r="D351" i="26" s="1"/>
  <c r="N77" i="24"/>
  <c r="F265" i="26" s="1"/>
  <c r="N88" i="24"/>
  <c r="O88" i="24" s="1"/>
  <c r="L96" i="24"/>
  <c r="D284" i="26" s="1"/>
  <c r="N110" i="24"/>
  <c r="O110" i="24" s="1"/>
  <c r="G298" i="26" s="1"/>
  <c r="L81" i="24"/>
  <c r="D269" i="26" s="1"/>
  <c r="N99" i="24"/>
  <c r="F287" i="26" s="1"/>
  <c r="L128" i="24"/>
  <c r="D316" i="26" s="1"/>
  <c r="N9" i="24"/>
  <c r="F197" i="26" s="1"/>
  <c r="N151" i="24"/>
  <c r="O151" i="24" s="1"/>
  <c r="L108" i="24"/>
  <c r="D296" i="26" s="1"/>
  <c r="N107" i="24"/>
  <c r="O107" i="24" s="1"/>
  <c r="L166" i="24"/>
  <c r="D354" i="26" s="1"/>
  <c r="N12" i="24"/>
  <c r="F200" i="26" s="1"/>
  <c r="I125" i="14"/>
  <c r="I87" i="14"/>
  <c r="C122" i="26"/>
  <c r="G122" i="26" s="1"/>
  <c r="H60" i="24"/>
  <c r="L43" i="24"/>
  <c r="D231" i="26" s="1"/>
  <c r="N41" i="24"/>
  <c r="F229" i="26" s="1"/>
  <c r="N150" i="24"/>
  <c r="O150" i="24" s="1"/>
  <c r="L158" i="24"/>
  <c r="D346" i="26" s="1"/>
  <c r="L83" i="24"/>
  <c r="D271" i="26" s="1"/>
  <c r="H141" i="14"/>
  <c r="R101" i="24" s="1"/>
  <c r="I60" i="14"/>
  <c r="G63" i="23"/>
  <c r="L73" i="24"/>
  <c r="D261" i="26" s="1"/>
  <c r="L92" i="24"/>
  <c r="D280" i="26" s="1"/>
  <c r="L4" i="24"/>
  <c r="D192" i="26" s="1"/>
  <c r="AD23" i="22"/>
  <c r="AE23" i="22" s="1"/>
  <c r="H114" i="14"/>
  <c r="R74" i="24" s="1"/>
  <c r="I116" i="14"/>
  <c r="I65" i="14"/>
  <c r="H110" i="14"/>
  <c r="R70" i="24" s="1"/>
  <c r="I56" i="14"/>
  <c r="H106" i="14"/>
  <c r="R66" i="24" s="1"/>
  <c r="H87" i="14"/>
  <c r="R47" i="24" s="1"/>
  <c r="H66" i="14"/>
  <c r="R26" i="24" s="1"/>
  <c r="I108" i="14"/>
  <c r="H31" i="22"/>
  <c r="I31" i="22" s="1"/>
  <c r="C117" i="26"/>
  <c r="G117" i="26" s="1"/>
  <c r="C66" i="23"/>
  <c r="C131" i="26"/>
  <c r="G131" i="26" s="1"/>
  <c r="H134" i="14"/>
  <c r="R94" i="24" s="1"/>
  <c r="I112" i="14"/>
  <c r="I64" i="14"/>
  <c r="I47" i="14"/>
  <c r="C132" i="26"/>
  <c r="C124" i="26"/>
  <c r="G124" i="26" s="1"/>
  <c r="N18" i="24"/>
  <c r="F206" i="26" s="1"/>
  <c r="F288" i="26"/>
  <c r="H23" i="22"/>
  <c r="I23" i="22" s="1"/>
  <c r="F43" i="22" s="1"/>
  <c r="L27" i="24"/>
  <c r="D215" i="26" s="1"/>
  <c r="N29" i="24"/>
  <c r="F217" i="26" s="1"/>
  <c r="H83" i="14"/>
  <c r="R43" i="24" s="1"/>
  <c r="H26" i="22"/>
  <c r="I26" i="22" s="1"/>
  <c r="C44" i="22" s="1"/>
  <c r="N46" i="24"/>
  <c r="H120" i="14"/>
  <c r="R80" i="24" s="1"/>
  <c r="H30" i="22"/>
  <c r="I30" i="22" s="1"/>
  <c r="H68" i="14"/>
  <c r="R28" i="24" s="1"/>
  <c r="H125" i="14"/>
  <c r="R85" i="24" s="1"/>
  <c r="AD34" i="22"/>
  <c r="AE34" i="22" s="1"/>
  <c r="N86" i="24"/>
  <c r="O86" i="24" s="1"/>
  <c r="G274" i="26" s="1"/>
  <c r="H102" i="14"/>
  <c r="R62" i="24" s="1"/>
  <c r="H93" i="14"/>
  <c r="R53" i="24" s="1"/>
  <c r="H89" i="14"/>
  <c r="R49" i="24" s="1"/>
  <c r="I86" i="14"/>
  <c r="N31" i="24"/>
  <c r="F219" i="26" s="1"/>
  <c r="L19" i="24"/>
  <c r="D207" i="26" s="1"/>
  <c r="I71" i="14"/>
  <c r="I146" i="14"/>
  <c r="I109" i="14"/>
  <c r="I143" i="14"/>
  <c r="S26" i="22"/>
  <c r="T26" i="22" s="1"/>
  <c r="S31" i="22"/>
  <c r="T31" i="22" s="1"/>
  <c r="N20" i="24"/>
  <c r="F208" i="26" s="1"/>
  <c r="N39" i="24"/>
  <c r="F227" i="26" s="1"/>
  <c r="L137" i="24"/>
  <c r="D325" i="26" s="1"/>
  <c r="N113" i="24"/>
  <c r="F301" i="26" s="1"/>
  <c r="N167" i="24"/>
  <c r="O167" i="24" s="1"/>
  <c r="L50" i="24"/>
  <c r="D238" i="26" s="1"/>
  <c r="I100" i="14"/>
  <c r="H65" i="14"/>
  <c r="R25" i="24" s="1"/>
  <c r="N143" i="24"/>
  <c r="O143" i="24" s="1"/>
  <c r="N94" i="24"/>
  <c r="O94" i="24" s="1"/>
  <c r="G282" i="26" s="1"/>
  <c r="L100" i="24"/>
  <c r="D288" i="26" s="1"/>
  <c r="I102" i="14"/>
  <c r="I66" i="14"/>
  <c r="H70" i="14"/>
  <c r="R30" i="24" s="1"/>
  <c r="H56" i="14"/>
  <c r="R16" i="24" s="1"/>
  <c r="I117" i="14"/>
  <c r="L38" i="24"/>
  <c r="D226" i="26" s="1"/>
  <c r="I145" i="14"/>
  <c r="H27" i="22"/>
  <c r="I27" i="22" s="1"/>
  <c r="C45" i="22" s="1"/>
  <c r="F281" i="26"/>
  <c r="AE338" i="12"/>
  <c r="AE317" i="12"/>
  <c r="AE175" i="12"/>
  <c r="AE259" i="12"/>
  <c r="AE208" i="12"/>
  <c r="AE271" i="12"/>
  <c r="AE203" i="12"/>
  <c r="AE332" i="12"/>
  <c r="AE289" i="12"/>
  <c r="AE336" i="12"/>
  <c r="AE310" i="12"/>
  <c r="AE251" i="12"/>
  <c r="AE223" i="12"/>
  <c r="AE144" i="12"/>
  <c r="AE318" i="12"/>
  <c r="AE266" i="12"/>
  <c r="AE151" i="12"/>
  <c r="AE281" i="12"/>
  <c r="L103" i="12"/>
  <c r="AE260" i="12"/>
  <c r="AE202" i="12"/>
  <c r="AE333" i="12"/>
  <c r="AE239" i="12"/>
  <c r="AE200" i="12"/>
  <c r="AE190" i="12"/>
  <c r="L102" i="12"/>
  <c r="AE177" i="12"/>
  <c r="AE154" i="12"/>
  <c r="AE292" i="12"/>
  <c r="AE227" i="12"/>
  <c r="AE215" i="12"/>
  <c r="AE278" i="12"/>
  <c r="AE290" i="12"/>
  <c r="AE331" i="12"/>
  <c r="AE303" i="12"/>
  <c r="L106" i="12"/>
  <c r="AE293" i="12"/>
  <c r="AE287" i="12"/>
  <c r="AE309" i="12"/>
  <c r="AE323" i="12"/>
  <c r="AE258" i="12"/>
  <c r="AE311" i="12"/>
  <c r="AE244" i="12"/>
  <c r="Z97" i="12"/>
  <c r="AE211" i="12"/>
  <c r="AN101" i="12"/>
  <c r="AE156" i="12"/>
  <c r="AE147" i="12"/>
  <c r="AN98" i="12"/>
  <c r="AE329" i="12"/>
  <c r="AE168" i="12"/>
  <c r="AN96" i="12"/>
  <c r="AE225" i="12"/>
  <c r="AE189" i="12"/>
  <c r="AE183" i="12"/>
  <c r="AE326" i="12"/>
  <c r="AE216" i="12"/>
  <c r="L93" i="12"/>
  <c r="AE213" i="12"/>
  <c r="AN107" i="12"/>
  <c r="AE261" i="12"/>
  <c r="AE163" i="12"/>
  <c r="AE314" i="12"/>
  <c r="AE263" i="12"/>
  <c r="AE283" i="12"/>
  <c r="Z107" i="12"/>
  <c r="AE265" i="12"/>
  <c r="AE164" i="12"/>
  <c r="AE162" i="12"/>
  <c r="AE170" i="12"/>
  <c r="Z108" i="12"/>
  <c r="AE250" i="12"/>
  <c r="AE185" i="12"/>
  <c r="AE237" i="12"/>
  <c r="AE220" i="12"/>
  <c r="AE169" i="12"/>
  <c r="AE142" i="12"/>
  <c r="Z95" i="12"/>
  <c r="AE181" i="12"/>
  <c r="L100" i="12"/>
  <c r="AE218" i="12"/>
  <c r="AE153" i="12"/>
  <c r="AE192" i="12"/>
  <c r="AE242" i="12"/>
  <c r="AE158" i="12"/>
  <c r="AE174" i="12"/>
  <c r="AE240" i="12"/>
  <c r="L104" i="12"/>
  <c r="AE193" i="12"/>
  <c r="AE322" i="12"/>
  <c r="AE167" i="12"/>
  <c r="Z98" i="12"/>
  <c r="AE307" i="12"/>
  <c r="Z100" i="12"/>
  <c r="AE219" i="12"/>
  <c r="AE171" i="12"/>
  <c r="AE212" i="12"/>
  <c r="AE241" i="12"/>
  <c r="AE146" i="12"/>
  <c r="Z94" i="12"/>
  <c r="AE209" i="12"/>
  <c r="AE253" i="12"/>
  <c r="AE327" i="12"/>
  <c r="AE222" i="12"/>
  <c r="AE165" i="12"/>
  <c r="AN97" i="12"/>
  <c r="AN93" i="12"/>
  <c r="AE299" i="12"/>
  <c r="AE207" i="12"/>
  <c r="AE205" i="12"/>
  <c r="AE284" i="12"/>
  <c r="Y344" i="12"/>
  <c r="L99" i="12"/>
  <c r="AE204" i="12"/>
  <c r="AE301" i="12"/>
  <c r="AE221" i="12"/>
  <c r="Z101" i="12"/>
  <c r="Y343" i="12"/>
  <c r="AE228" i="12"/>
  <c r="AE298" i="12"/>
  <c r="AE201" i="12"/>
  <c r="AE199" i="12"/>
  <c r="AE277" i="12"/>
  <c r="AE148" i="12"/>
  <c r="AE335" i="12"/>
  <c r="AE231" i="12"/>
  <c r="AE328" i="12"/>
  <c r="AE152" i="12"/>
  <c r="AN103" i="12"/>
  <c r="AN108" i="12"/>
  <c r="AE141" i="12"/>
  <c r="AE179" i="12"/>
  <c r="AE313" i="12"/>
  <c r="AE334" i="12"/>
  <c r="AE180" i="12"/>
  <c r="AE279" i="12"/>
  <c r="AE217" i="12"/>
  <c r="AE262" i="12"/>
  <c r="AE149" i="12"/>
  <c r="L97" i="12"/>
  <c r="AE295" i="12"/>
  <c r="AE140" i="12"/>
  <c r="L105" i="12"/>
  <c r="Z99" i="12"/>
  <c r="AE198" i="12"/>
  <c r="AE243" i="12"/>
  <c r="Z105" i="12"/>
  <c r="Z106" i="12"/>
  <c r="AE194" i="12"/>
  <c r="AE312" i="12"/>
  <c r="L108" i="12"/>
  <c r="AE302" i="12"/>
  <c r="AE304" i="12"/>
  <c r="Z93" i="12"/>
  <c r="AE236" i="12"/>
  <c r="AN106" i="12"/>
  <c r="Z104" i="12"/>
  <c r="AE275" i="12"/>
  <c r="AE272" i="12"/>
  <c r="AE247" i="12"/>
  <c r="AE324" i="12"/>
  <c r="AE294" i="12"/>
  <c r="AN95" i="12"/>
  <c r="AE305" i="12"/>
  <c r="AE229" i="12"/>
  <c r="AE256" i="12"/>
  <c r="AE248" i="12"/>
  <c r="AE150" i="12"/>
  <c r="AE249" i="12"/>
  <c r="AE319" i="12"/>
  <c r="L98" i="12"/>
  <c r="Z96" i="12"/>
  <c r="AE274" i="12"/>
  <c r="AE191" i="12"/>
  <c r="AE339" i="12"/>
  <c r="AN105" i="12"/>
  <c r="AE234" i="12"/>
  <c r="AE264" i="12"/>
  <c r="AE306" i="12"/>
  <c r="AE320" i="12"/>
  <c r="AE233" i="12"/>
  <c r="AE187" i="12"/>
  <c r="AE214" i="12"/>
  <c r="AE330" i="12"/>
  <c r="AE257" i="12"/>
  <c r="AE230" i="12"/>
  <c r="AE188" i="12"/>
  <c r="AN102" i="12"/>
  <c r="AE316" i="12"/>
  <c r="AE337" i="12"/>
  <c r="L107" i="12"/>
  <c r="AE161" i="12"/>
  <c r="AE197" i="12"/>
  <c r="AE280" i="12"/>
  <c r="AE296" i="12"/>
  <c r="AE269" i="12"/>
  <c r="AE157" i="12"/>
  <c r="Z102" i="12"/>
  <c r="AE254" i="12"/>
  <c r="L94" i="12"/>
  <c r="AN99" i="12"/>
  <c r="AE235" i="12"/>
  <c r="AE321" i="12"/>
  <c r="AE238" i="12"/>
  <c r="AE172" i="12"/>
  <c r="AE196" i="12"/>
  <c r="AN104" i="12"/>
  <c r="AN100" i="12"/>
  <c r="AE224" i="12"/>
  <c r="AE282" i="12"/>
  <c r="AN94" i="12"/>
  <c r="AE276" i="12"/>
  <c r="AE308" i="12"/>
  <c r="L95" i="12"/>
  <c r="AE255" i="12"/>
  <c r="L101" i="12"/>
  <c r="AE246" i="12"/>
  <c r="AE182" i="12"/>
  <c r="AE178" i="12"/>
  <c r="AE206" i="12"/>
  <c r="AE252" i="12"/>
  <c r="AE297" i="12"/>
  <c r="AE173" i="12"/>
  <c r="AE300" i="12"/>
  <c r="AE166" i="12"/>
  <c r="AE291" i="12"/>
  <c r="AE176" i="12"/>
  <c r="AE267" i="12"/>
  <c r="AE232" i="12"/>
  <c r="AE160" i="12"/>
  <c r="AE159" i="12"/>
  <c r="AE210" i="12"/>
  <c r="AE184" i="12"/>
  <c r="L96" i="12"/>
  <c r="AE286" i="12"/>
  <c r="AE288" i="12"/>
  <c r="AE145" i="12"/>
  <c r="AE325" i="12"/>
  <c r="AE285" i="12"/>
  <c r="AE226" i="12"/>
  <c r="AE315" i="12"/>
  <c r="AE268" i="12"/>
  <c r="AE245" i="12"/>
  <c r="AE155" i="12"/>
  <c r="AE273" i="12"/>
  <c r="AE186" i="12"/>
  <c r="AE195" i="12"/>
  <c r="AE270" i="12"/>
  <c r="Y345" i="12"/>
  <c r="Z103" i="12"/>
  <c r="AE143" i="12"/>
  <c r="F100" i="23" l="1"/>
  <c r="F92" i="23"/>
  <c r="E36" i="26" s="1"/>
  <c r="O153" i="24"/>
  <c r="G341" i="26" s="1"/>
  <c r="L66" i="24"/>
  <c r="D254" i="26" s="1"/>
  <c r="S101" i="24"/>
  <c r="N63" i="24"/>
  <c r="F251" i="26" s="1"/>
  <c r="L67" i="24"/>
  <c r="D255" i="26" s="1"/>
  <c r="L7" i="24"/>
  <c r="D195" i="26" s="1"/>
  <c r="N7" i="24"/>
  <c r="F195" i="26" s="1"/>
  <c r="S97" i="24"/>
  <c r="L65" i="24"/>
  <c r="D253" i="26" s="1"/>
  <c r="N65" i="24"/>
  <c r="F253" i="26" s="1"/>
  <c r="L69" i="24"/>
  <c r="D257" i="26" s="1"/>
  <c r="N69" i="24"/>
  <c r="F257" i="26" s="1"/>
  <c r="N62" i="24"/>
  <c r="F250" i="26" s="1"/>
  <c r="L62" i="24"/>
  <c r="D250" i="26" s="1"/>
  <c r="S94" i="24"/>
  <c r="G330" i="26"/>
  <c r="S142" i="24"/>
  <c r="G331" i="26"/>
  <c r="S143" i="24"/>
  <c r="G295" i="26"/>
  <c r="S107" i="24"/>
  <c r="G338" i="26"/>
  <c r="S150" i="24"/>
  <c r="G339" i="26"/>
  <c r="S151" i="24"/>
  <c r="S110" i="24"/>
  <c r="G279" i="26"/>
  <c r="S91" i="24"/>
  <c r="G332" i="26"/>
  <c r="S144" i="24"/>
  <c r="G283" i="26"/>
  <c r="S95" i="24"/>
  <c r="G355" i="26"/>
  <c r="S167" i="24"/>
  <c r="G322" i="26"/>
  <c r="S134" i="24"/>
  <c r="S86" i="24"/>
  <c r="G275" i="26"/>
  <c r="S87" i="24"/>
  <c r="G276" i="26"/>
  <c r="S88" i="24"/>
  <c r="G304" i="26"/>
  <c r="S116" i="24"/>
  <c r="G329" i="26"/>
  <c r="S141" i="24"/>
  <c r="G318" i="26"/>
  <c r="S130" i="24"/>
  <c r="G303" i="26"/>
  <c r="S115" i="24"/>
  <c r="S102" i="24"/>
  <c r="G311" i="26"/>
  <c r="S123" i="24"/>
  <c r="C72" i="23"/>
  <c r="F82" i="23"/>
  <c r="N59" i="24"/>
  <c r="F247" i="26" s="1"/>
  <c r="C40" i="22"/>
  <c r="N58" i="22"/>
  <c r="E84" i="23"/>
  <c r="E59" i="26" s="1"/>
  <c r="E79" i="23"/>
  <c r="E54" i="26" s="1"/>
  <c r="B73" i="23"/>
  <c r="E37" i="26" s="1"/>
  <c r="C54" i="26"/>
  <c r="F54" i="26" s="1"/>
  <c r="F332" i="26"/>
  <c r="O145" i="24"/>
  <c r="O124" i="24"/>
  <c r="O136" i="24"/>
  <c r="O93" i="24"/>
  <c r="G281" i="26" s="1"/>
  <c r="F275" i="26"/>
  <c r="O126" i="24"/>
  <c r="O121" i="24"/>
  <c r="F289" i="26"/>
  <c r="F285" i="26"/>
  <c r="F274" i="26"/>
  <c r="O119" i="24"/>
  <c r="O111" i="24"/>
  <c r="O125" i="24"/>
  <c r="O118" i="24"/>
  <c r="O152" i="24"/>
  <c r="F311" i="26"/>
  <c r="O133" i="24"/>
  <c r="O57" i="24"/>
  <c r="O160" i="24"/>
  <c r="O32" i="24"/>
  <c r="G220" i="26" s="1"/>
  <c r="C41" i="22"/>
  <c r="O36" i="24"/>
  <c r="G224" i="26" s="1"/>
  <c r="O51" i="24"/>
  <c r="O135" i="24"/>
  <c r="F282" i="26"/>
  <c r="C39" i="22"/>
  <c r="A39" i="22" s="1"/>
  <c r="C43" i="22"/>
  <c r="C42" i="22"/>
  <c r="O161" i="24"/>
  <c r="O17" i="24"/>
  <c r="O23" i="24"/>
  <c r="O74" i="24"/>
  <c r="G262" i="26" s="1"/>
  <c r="O16" i="24"/>
  <c r="G204" i="26" s="1"/>
  <c r="F80" i="23"/>
  <c r="O108" i="24"/>
  <c r="F322" i="26"/>
  <c r="O99" i="24"/>
  <c r="D114" i="26"/>
  <c r="F303" i="26"/>
  <c r="F78" i="23"/>
  <c r="E80" i="23"/>
  <c r="E55" i="26" s="1"/>
  <c r="F318" i="26"/>
  <c r="E78" i="23"/>
  <c r="E53" i="26" s="1"/>
  <c r="F40" i="22"/>
  <c r="O149" i="24"/>
  <c r="O148" i="24"/>
  <c r="O105" i="24"/>
  <c r="G293" i="26" s="1"/>
  <c r="O21" i="24"/>
  <c r="F355" i="26"/>
  <c r="O113" i="24"/>
  <c r="G301" i="26" s="1"/>
  <c r="F330" i="26"/>
  <c r="O131" i="24"/>
  <c r="F290" i="26"/>
  <c r="O34" i="24"/>
  <c r="F283" i="26"/>
  <c r="O37" i="24"/>
  <c r="O33" i="24"/>
  <c r="E82" i="23"/>
  <c r="E57" i="26" s="1"/>
  <c r="I63" i="23"/>
  <c r="O154" i="24"/>
  <c r="O35" i="24"/>
  <c r="O25" i="24"/>
  <c r="O117" i="24"/>
  <c r="O147" i="24"/>
  <c r="O8" i="24"/>
  <c r="G196" i="26" s="1"/>
  <c r="O122" i="24"/>
  <c r="E114" i="26"/>
  <c r="O129" i="24"/>
  <c r="O55" i="24"/>
  <c r="O90" i="24"/>
  <c r="G278" i="26" s="1"/>
  <c r="O165" i="24"/>
  <c r="D279" i="26"/>
  <c r="O127" i="24"/>
  <c r="O85" i="24"/>
  <c r="G273" i="26" s="1"/>
  <c r="O162" i="24"/>
  <c r="F339" i="26"/>
  <c r="E35" i="26"/>
  <c r="C58" i="26"/>
  <c r="F58" i="26" s="1"/>
  <c r="N61" i="24"/>
  <c r="F249" i="26" s="1"/>
  <c r="O14" i="24"/>
  <c r="O77" i="24"/>
  <c r="G265" i="26" s="1"/>
  <c r="O52" i="24"/>
  <c r="G240" i="26" s="1"/>
  <c r="O76" i="24"/>
  <c r="O4" i="24"/>
  <c r="D130" i="26"/>
  <c r="C71" i="23"/>
  <c r="B115" i="23" s="1"/>
  <c r="B26" i="26" s="1"/>
  <c r="C26" i="26" s="1"/>
  <c r="O82" i="24"/>
  <c r="G270" i="26" s="1"/>
  <c r="O29" i="24"/>
  <c r="E83" i="23"/>
  <c r="E58" i="26" s="1"/>
  <c r="O78" i="24"/>
  <c r="G266" i="26" s="1"/>
  <c r="O80" i="24"/>
  <c r="O10" i="24"/>
  <c r="O28" i="24"/>
  <c r="G216" i="26" s="1"/>
  <c r="O26" i="24"/>
  <c r="C37" i="26"/>
  <c r="O157" i="24"/>
  <c r="E81" i="23"/>
  <c r="E56" i="26" s="1"/>
  <c r="O46" i="24"/>
  <c r="O146" i="24"/>
  <c r="O30" i="24"/>
  <c r="O79" i="24"/>
  <c r="O49" i="24"/>
  <c r="O98" i="24"/>
  <c r="G286" i="26" s="1"/>
  <c r="O39" i="24"/>
  <c r="O89" i="24"/>
  <c r="G277" i="26" s="1"/>
  <c r="O53" i="24"/>
  <c r="C56" i="26"/>
  <c r="F56" i="26" s="1"/>
  <c r="O84" i="24"/>
  <c r="C59" i="26"/>
  <c r="F59" i="26" s="1"/>
  <c r="F84" i="23"/>
  <c r="E122" i="26"/>
  <c r="D122" i="26"/>
  <c r="O5" i="24"/>
  <c r="O42" i="24"/>
  <c r="O72" i="24"/>
  <c r="O54" i="24"/>
  <c r="O47" i="24"/>
  <c r="O6" i="24"/>
  <c r="E130" i="26"/>
  <c r="O15" i="24"/>
  <c r="O64" i="24"/>
  <c r="O96" i="24"/>
  <c r="O155" i="24"/>
  <c r="O109" i="24"/>
  <c r="G297" i="26" s="1"/>
  <c r="O156" i="24"/>
  <c r="O132" i="24"/>
  <c r="O73" i="24"/>
  <c r="G261" i="26" s="1"/>
  <c r="F39" i="22"/>
  <c r="D39" i="22" s="1"/>
  <c r="N60" i="22" a="1"/>
  <c r="N60" i="22" s="1"/>
  <c r="O43" i="24"/>
  <c r="O140" i="24"/>
  <c r="O164" i="24"/>
  <c r="O137" i="24"/>
  <c r="O163" i="24"/>
  <c r="O40" i="24"/>
  <c r="G228" i="26" s="1"/>
  <c r="O9" i="24"/>
  <c r="O159" i="24"/>
  <c r="O83" i="24"/>
  <c r="O92" i="24"/>
  <c r="F331" i="26"/>
  <c r="L68" i="24"/>
  <c r="D256" i="26" s="1"/>
  <c r="F304" i="26"/>
  <c r="F329" i="26"/>
  <c r="O81" i="24"/>
  <c r="G269" i="26" s="1"/>
  <c r="F298" i="26"/>
  <c r="O18" i="24"/>
  <c r="O58" i="24"/>
  <c r="O166" i="24"/>
  <c r="O48" i="24"/>
  <c r="G236" i="26" s="1"/>
  <c r="O41" i="24"/>
  <c r="F338" i="26"/>
  <c r="O120" i="24"/>
  <c r="O103" i="24"/>
  <c r="O20" i="24"/>
  <c r="G208" i="26" s="1"/>
  <c r="Y60" i="22" a="1"/>
  <c r="Y60" i="22" s="1"/>
  <c r="C60" i="22" a="1"/>
  <c r="C60" i="22" s="1"/>
  <c r="O75" i="24"/>
  <c r="O138" i="24"/>
  <c r="F295" i="26"/>
  <c r="O22" i="24"/>
  <c r="O71" i="24"/>
  <c r="F234" i="26"/>
  <c r="O104" i="24"/>
  <c r="O114" i="24"/>
  <c r="O11" i="24"/>
  <c r="O158" i="24"/>
  <c r="O112" i="24"/>
  <c r="O13" i="24"/>
  <c r="O70" i="24"/>
  <c r="G258" i="26" s="1"/>
  <c r="O31" i="24"/>
  <c r="O50" i="24"/>
  <c r="O12" i="24"/>
  <c r="G200" i="26" s="1"/>
  <c r="O27" i="24"/>
  <c r="O45" i="24"/>
  <c r="O56" i="24"/>
  <c r="G244" i="26" s="1"/>
  <c r="O24" i="24"/>
  <c r="G212" i="26" s="1"/>
  <c r="O44" i="24"/>
  <c r="G232" i="26" s="1"/>
  <c r="O19" i="24"/>
  <c r="F272" i="26"/>
  <c r="F276" i="26"/>
  <c r="O128" i="24"/>
  <c r="O106" i="24"/>
  <c r="G294" i="26" s="1"/>
  <c r="O139" i="24"/>
  <c r="F256" i="26"/>
  <c r="O38" i="24"/>
  <c r="G132" i="26"/>
  <c r="G133" i="26"/>
  <c r="N60" i="24"/>
  <c r="L60" i="24"/>
  <c r="O100" i="24"/>
  <c r="B41" i="26"/>
  <c r="B42" i="26"/>
  <c r="S153" i="24" l="1"/>
  <c r="O66" i="24"/>
  <c r="G254" i="26" s="1"/>
  <c r="O63" i="24"/>
  <c r="G251" i="26" s="1"/>
  <c r="O67" i="24"/>
  <c r="G255" i="26" s="1"/>
  <c r="O59" i="24"/>
  <c r="G247" i="26" s="1"/>
  <c r="O7" i="24"/>
  <c r="S7" i="24" s="1"/>
  <c r="S82" i="24"/>
  <c r="S93" i="24"/>
  <c r="S106" i="24"/>
  <c r="S56" i="24"/>
  <c r="S48" i="24"/>
  <c r="S109" i="24"/>
  <c r="S78" i="24"/>
  <c r="S81" i="24"/>
  <c r="S24" i="24"/>
  <c r="O62" i="24"/>
  <c r="G250" i="26" s="1"/>
  <c r="S52" i="24"/>
  <c r="S40" i="24"/>
  <c r="S98" i="24"/>
  <c r="G215" i="26"/>
  <c r="S27" i="24"/>
  <c r="G199" i="26"/>
  <c r="S11" i="24"/>
  <c r="G326" i="26"/>
  <c r="S138" i="24"/>
  <c r="G229" i="26"/>
  <c r="S41" i="24"/>
  <c r="G206" i="26"/>
  <c r="S18" i="24"/>
  <c r="G271" i="26"/>
  <c r="S83" i="24"/>
  <c r="G351" i="26"/>
  <c r="S163" i="24"/>
  <c r="G320" i="26"/>
  <c r="S132" i="24"/>
  <c r="G343" i="26"/>
  <c r="S155" i="24"/>
  <c r="G342" i="26"/>
  <c r="S154" i="24"/>
  <c r="G225" i="26"/>
  <c r="S37" i="24"/>
  <c r="G209" i="26"/>
  <c r="S21" i="24"/>
  <c r="G287" i="26"/>
  <c r="S99" i="24"/>
  <c r="G349" i="26"/>
  <c r="S161" i="24"/>
  <c r="G245" i="26"/>
  <c r="S57" i="24"/>
  <c r="G314" i="26"/>
  <c r="S126" i="24"/>
  <c r="G312" i="26"/>
  <c r="S124" i="24"/>
  <c r="G327" i="26"/>
  <c r="S139" i="24"/>
  <c r="G201" i="26"/>
  <c r="S13" i="24"/>
  <c r="G210" i="26"/>
  <c r="S22" i="24"/>
  <c r="G263" i="26"/>
  <c r="S75" i="24"/>
  <c r="G347" i="26"/>
  <c r="S159" i="24"/>
  <c r="G344" i="26"/>
  <c r="S156" i="24"/>
  <c r="G227" i="26"/>
  <c r="S39" i="24"/>
  <c r="G345" i="26"/>
  <c r="S157" i="24"/>
  <c r="G217" i="26"/>
  <c r="S29" i="24"/>
  <c r="G315" i="26"/>
  <c r="S127" i="24"/>
  <c r="G310" i="26"/>
  <c r="S122" i="24"/>
  <c r="O69" i="24"/>
  <c r="G257" i="26" s="1"/>
  <c r="G323" i="26"/>
  <c r="S135" i="24"/>
  <c r="G313" i="26"/>
  <c r="S125" i="24"/>
  <c r="S28" i="24"/>
  <c r="G288" i="26"/>
  <c r="S100" i="24"/>
  <c r="G238" i="26"/>
  <c r="S50" i="24"/>
  <c r="G292" i="26"/>
  <c r="S104" i="24"/>
  <c r="G308" i="26"/>
  <c r="S120" i="24"/>
  <c r="G352" i="26"/>
  <c r="S164" i="24"/>
  <c r="G226" i="26"/>
  <c r="S38" i="24"/>
  <c r="G316" i="26"/>
  <c r="S128" i="24"/>
  <c r="G207" i="26"/>
  <c r="S19" i="24"/>
  <c r="G233" i="26"/>
  <c r="S45" i="24"/>
  <c r="G219" i="26"/>
  <c r="S31" i="24"/>
  <c r="G346" i="26"/>
  <c r="S158" i="24"/>
  <c r="G246" i="26"/>
  <c r="S58" i="24"/>
  <c r="G280" i="26"/>
  <c r="S92" i="24"/>
  <c r="G328" i="26"/>
  <c r="S140" i="24"/>
  <c r="G203" i="26"/>
  <c r="S15" i="24"/>
  <c r="G242" i="26"/>
  <c r="S54" i="24"/>
  <c r="G193" i="26"/>
  <c r="S5" i="24"/>
  <c r="G241" i="26"/>
  <c r="S53" i="24"/>
  <c r="G237" i="26"/>
  <c r="S49" i="24"/>
  <c r="G234" i="26"/>
  <c r="S46" i="24"/>
  <c r="G214" i="26"/>
  <c r="S26" i="24"/>
  <c r="G350" i="26"/>
  <c r="S162" i="24"/>
  <c r="O65" i="24"/>
  <c r="G253" i="26" s="1"/>
  <c r="G317" i="26"/>
  <c r="S129" i="24"/>
  <c r="G335" i="26"/>
  <c r="S147" i="24"/>
  <c r="G223" i="26"/>
  <c r="S35" i="24"/>
  <c r="G221" i="26"/>
  <c r="S33" i="24"/>
  <c r="G337" i="26"/>
  <c r="S149" i="24"/>
  <c r="G205" i="26"/>
  <c r="S17" i="24"/>
  <c r="G348" i="26"/>
  <c r="S160" i="24"/>
  <c r="G340" i="26"/>
  <c r="S152" i="24"/>
  <c r="G307" i="26"/>
  <c r="S119" i="24"/>
  <c r="G309" i="26"/>
  <c r="S121" i="24"/>
  <c r="G324" i="26"/>
  <c r="S136" i="24"/>
  <c r="S44" i="24"/>
  <c r="S32" i="24"/>
  <c r="S8" i="24"/>
  <c r="S36" i="24"/>
  <c r="S16" i="24"/>
  <c r="S77" i="24"/>
  <c r="S70" i="24"/>
  <c r="G259" i="26"/>
  <c r="S71" i="24"/>
  <c r="G231" i="26"/>
  <c r="S43" i="24"/>
  <c r="G272" i="26"/>
  <c r="S84" i="24"/>
  <c r="G267" i="26"/>
  <c r="S79" i="24"/>
  <c r="G353" i="26"/>
  <c r="S165" i="24"/>
  <c r="G305" i="26"/>
  <c r="S117" i="24"/>
  <c r="G319" i="26"/>
  <c r="S131" i="24"/>
  <c r="G306" i="26"/>
  <c r="S118" i="24"/>
  <c r="S20" i="24"/>
  <c r="G302" i="26"/>
  <c r="S114" i="24"/>
  <c r="G291" i="26"/>
  <c r="S103" i="24"/>
  <c r="G325" i="26"/>
  <c r="S137" i="24"/>
  <c r="G284" i="26"/>
  <c r="S96" i="24"/>
  <c r="G194" i="26"/>
  <c r="S6" i="24"/>
  <c r="G260" i="26"/>
  <c r="S72" i="24"/>
  <c r="G218" i="26"/>
  <c r="S30" i="24"/>
  <c r="G198" i="26"/>
  <c r="S10" i="24"/>
  <c r="G192" i="26"/>
  <c r="S4" i="24"/>
  <c r="G202" i="26"/>
  <c r="S14" i="24"/>
  <c r="G321" i="26"/>
  <c r="S133" i="24"/>
  <c r="G333" i="26"/>
  <c r="S145" i="24"/>
  <c r="S89" i="24"/>
  <c r="G300" i="26"/>
  <c r="S112" i="24"/>
  <c r="G354" i="26"/>
  <c r="S166" i="24"/>
  <c r="G197" i="26"/>
  <c r="S9" i="24"/>
  <c r="G235" i="26"/>
  <c r="S47" i="24"/>
  <c r="G230" i="26"/>
  <c r="S42" i="24"/>
  <c r="G334" i="26"/>
  <c r="S146" i="24"/>
  <c r="G268" i="26"/>
  <c r="S80" i="24"/>
  <c r="G264" i="26"/>
  <c r="S76" i="24"/>
  <c r="G243" i="26"/>
  <c r="S55" i="24"/>
  <c r="G213" i="26"/>
  <c r="S25" i="24"/>
  <c r="G222" i="26"/>
  <c r="S34" i="24"/>
  <c r="G336" i="26"/>
  <c r="S148" i="24"/>
  <c r="G296" i="26"/>
  <c r="S108" i="24"/>
  <c r="G211" i="26"/>
  <c r="S23" i="24"/>
  <c r="G239" i="26"/>
  <c r="S51" i="24"/>
  <c r="G299" i="26"/>
  <c r="S111" i="24"/>
  <c r="S73" i="24"/>
  <c r="S85" i="24"/>
  <c r="S105" i="24"/>
  <c r="S12" i="24"/>
  <c r="S90" i="24"/>
  <c r="S74" i="24"/>
  <c r="S113" i="24"/>
  <c r="G252" i="26"/>
  <c r="S64" i="24"/>
  <c r="A40" i="22"/>
  <c r="A41" i="22" s="1"/>
  <c r="A42" i="22" s="1"/>
  <c r="A43" i="22" s="1"/>
  <c r="A44" i="22" s="1"/>
  <c r="A45" i="22" s="1"/>
  <c r="F130" i="26"/>
  <c r="B116" i="23"/>
  <c r="D40" i="22"/>
  <c r="D41" i="22" s="1"/>
  <c r="D42" i="22" s="1"/>
  <c r="D43" i="22" s="1"/>
  <c r="D44" i="22" s="1"/>
  <c r="D45" i="22" s="1"/>
  <c r="F114" i="26"/>
  <c r="V6" i="24" a="1"/>
  <c r="V6" i="24" s="1"/>
  <c r="B101" i="26" s="1"/>
  <c r="X6" i="24" a="1"/>
  <c r="X6" i="24" s="1"/>
  <c r="D101" i="26" s="1"/>
  <c r="D37" i="26"/>
  <c r="C115" i="23"/>
  <c r="O61" i="24"/>
  <c r="C73" i="23"/>
  <c r="W6" i="24" a="1"/>
  <c r="W6" i="24" s="1"/>
  <c r="C101" i="26" s="1"/>
  <c r="O68" i="24"/>
  <c r="F122" i="26"/>
  <c r="Y6" i="24" a="1"/>
  <c r="Y6" i="24" s="1"/>
  <c r="E101" i="26" s="1"/>
  <c r="D248" i="26"/>
  <c r="V5" i="24" a="1"/>
  <c r="V5" i="24" s="1"/>
  <c r="B100" i="26" s="1"/>
  <c r="Y5" i="24" a="1"/>
  <c r="Y5" i="24" s="1"/>
  <c r="E100" i="26" s="1"/>
  <c r="W5" i="24" a="1"/>
  <c r="W5" i="24" s="1"/>
  <c r="C100" i="26" s="1"/>
  <c r="X5" i="24" a="1"/>
  <c r="X5" i="24" s="1"/>
  <c r="D100" i="26" s="1"/>
  <c r="F248" i="26"/>
  <c r="O60" i="24"/>
  <c r="Y17" i="24"/>
  <c r="C41" i="26"/>
  <c r="Y18" i="24"/>
  <c r="C42" i="26"/>
  <c r="C116" i="23" l="1"/>
  <c r="B27" i="26"/>
  <c r="C27" i="26" s="1"/>
  <c r="S66" i="24"/>
  <c r="S63" i="24"/>
  <c r="S59" i="24"/>
  <c r="S67" i="24"/>
  <c r="V12" i="24"/>
  <c r="W12" i="24" s="1"/>
  <c r="G195" i="26"/>
  <c r="S69" i="24"/>
  <c r="S65" i="24"/>
  <c r="S62" i="24"/>
  <c r="G256" i="26"/>
  <c r="S68" i="24"/>
  <c r="G249" i="26"/>
  <c r="S61" i="24"/>
  <c r="G248" i="26"/>
  <c r="S60" i="24"/>
  <c r="C58" i="22"/>
  <c r="C57" i="22"/>
  <c r="B118" i="23"/>
  <c r="C3" i="26" s="1"/>
  <c r="C118" i="23"/>
  <c r="W7" i="24" a="1"/>
  <c r="W7" i="24" s="1"/>
  <c r="C102" i="26" s="1"/>
  <c r="Y7" i="24" a="1"/>
  <c r="Y7" i="24" s="1"/>
  <c r="E102" i="26" s="1"/>
  <c r="V11" i="24"/>
  <c r="B107" i="26" s="1"/>
  <c r="C107" i="26" s="1"/>
  <c r="X7" i="24" a="1"/>
  <c r="X7" i="24" s="1"/>
  <c r="D102" i="26" s="1"/>
  <c r="V7" i="24" a="1"/>
  <c r="V7" i="24" s="1"/>
  <c r="B102" i="26" s="1"/>
  <c r="V9" i="24"/>
  <c r="B105" i="26" s="1"/>
  <c r="C105" i="26" s="1"/>
  <c r="M94" i="24"/>
  <c r="E282" i="26" s="1"/>
  <c r="M129" i="24"/>
  <c r="E317" i="26" s="1"/>
  <c r="M128" i="24"/>
  <c r="E316" i="26" s="1"/>
  <c r="M30" i="24"/>
  <c r="E218" i="26" s="1"/>
  <c r="M114" i="24"/>
  <c r="E302" i="26" s="1"/>
  <c r="M134" i="24"/>
  <c r="E322" i="26" s="1"/>
  <c r="M97" i="24"/>
  <c r="E285" i="26" s="1"/>
  <c r="M102" i="24"/>
  <c r="E290" i="26" s="1"/>
  <c r="M144" i="24"/>
  <c r="E332" i="26" s="1"/>
  <c r="M137" i="24"/>
  <c r="E325" i="26" s="1"/>
  <c r="M124" i="24"/>
  <c r="E312" i="26" s="1"/>
  <c r="M141" i="24"/>
  <c r="E329" i="26" s="1"/>
  <c r="M160" i="24"/>
  <c r="E348" i="26" s="1"/>
  <c r="M106" i="24"/>
  <c r="E294" i="26" s="1"/>
  <c r="M165" i="24"/>
  <c r="E353" i="26" s="1"/>
  <c r="M55" i="24"/>
  <c r="E243" i="26" s="1"/>
  <c r="M119" i="24"/>
  <c r="E307" i="26" s="1"/>
  <c r="M105" i="24"/>
  <c r="E293" i="26" s="1"/>
  <c r="M46" i="24"/>
  <c r="E234" i="26" s="1"/>
  <c r="M104" i="24"/>
  <c r="E292" i="26" s="1"/>
  <c r="M54" i="24"/>
  <c r="E242" i="26" s="1"/>
  <c r="M36" i="24"/>
  <c r="E224" i="26" s="1"/>
  <c r="M4" i="24"/>
  <c r="E192" i="26" s="1"/>
  <c r="M21" i="24"/>
  <c r="E209" i="26" s="1"/>
  <c r="M39" i="24"/>
  <c r="E227" i="26" s="1"/>
  <c r="M16" i="24"/>
  <c r="E204" i="26" s="1"/>
  <c r="M159" i="24"/>
  <c r="E347" i="26" s="1"/>
  <c r="M66" i="24"/>
  <c r="E254" i="26" s="1"/>
  <c r="M92" i="24"/>
  <c r="E280" i="26" s="1"/>
  <c r="M19" i="24"/>
  <c r="E207" i="26" s="1"/>
  <c r="M10" i="24"/>
  <c r="E198" i="26" s="1"/>
  <c r="M9" i="24"/>
  <c r="E197" i="26" s="1"/>
  <c r="M45" i="24"/>
  <c r="E233" i="26" s="1"/>
  <c r="M37" i="24"/>
  <c r="E225" i="26" s="1"/>
  <c r="M85" i="24"/>
  <c r="E273" i="26" s="1"/>
  <c r="M5" i="24"/>
  <c r="E193" i="26" s="1"/>
  <c r="M110" i="24"/>
  <c r="E298" i="26" s="1"/>
  <c r="M38" i="24"/>
  <c r="E226" i="26" s="1"/>
  <c r="M108" i="24"/>
  <c r="E296" i="26" s="1"/>
  <c r="M74" i="24"/>
  <c r="E262" i="26" s="1"/>
  <c r="M75" i="24"/>
  <c r="E263" i="26" s="1"/>
  <c r="M31" i="24"/>
  <c r="E219" i="26" s="1"/>
  <c r="M164" i="24"/>
  <c r="E352" i="26" s="1"/>
  <c r="M101" i="24"/>
  <c r="E289" i="26" s="1"/>
  <c r="M26" i="24"/>
  <c r="E214" i="26" s="1"/>
  <c r="M156" i="24"/>
  <c r="E344" i="26" s="1"/>
  <c r="M109" i="24"/>
  <c r="E297" i="26" s="1"/>
  <c r="M65" i="24"/>
  <c r="E253" i="26" s="1"/>
  <c r="M50" i="24"/>
  <c r="E238" i="26" s="1"/>
  <c r="M56" i="24"/>
  <c r="E244" i="26" s="1"/>
  <c r="M44" i="24"/>
  <c r="E232" i="26" s="1"/>
  <c r="M35" i="24"/>
  <c r="E223" i="26" s="1"/>
  <c r="M32" i="24"/>
  <c r="E220" i="26" s="1"/>
  <c r="M29" i="24"/>
  <c r="E217" i="26" s="1"/>
  <c r="M53" i="24"/>
  <c r="E241" i="26" s="1"/>
  <c r="M135" i="24"/>
  <c r="E323" i="26" s="1"/>
  <c r="M27" i="24"/>
  <c r="E215" i="26" s="1"/>
  <c r="M150" i="24"/>
  <c r="E338" i="26" s="1"/>
  <c r="M68" i="24"/>
  <c r="E256" i="26" s="1"/>
  <c r="M89" i="24"/>
  <c r="E277" i="26" s="1"/>
  <c r="M34" i="24"/>
  <c r="E222" i="26" s="1"/>
  <c r="M117" i="24"/>
  <c r="E305" i="26" s="1"/>
  <c r="M148" i="24"/>
  <c r="E336" i="26" s="1"/>
  <c r="M127" i="24"/>
  <c r="E315" i="26" s="1"/>
  <c r="M49" i="24"/>
  <c r="E237" i="26" s="1"/>
  <c r="M23" i="24"/>
  <c r="E211" i="26" s="1"/>
  <c r="M67" i="24"/>
  <c r="E255" i="26" s="1"/>
  <c r="M84" i="24"/>
  <c r="E272" i="26" s="1"/>
  <c r="M13" i="24"/>
  <c r="E201" i="26" s="1"/>
  <c r="M166" i="24"/>
  <c r="E354" i="26" s="1"/>
  <c r="M15" i="24"/>
  <c r="E203" i="26" s="1"/>
  <c r="M33" i="24"/>
  <c r="E221" i="26" s="1"/>
  <c r="M118" i="24"/>
  <c r="E306" i="26" s="1"/>
  <c r="M70" i="24"/>
  <c r="E258" i="26" s="1"/>
  <c r="M63" i="24"/>
  <c r="E251" i="26" s="1"/>
  <c r="M18" i="24"/>
  <c r="E206" i="26" s="1"/>
  <c r="M147" i="24"/>
  <c r="E335" i="26" s="1"/>
  <c r="M64" i="24"/>
  <c r="E252" i="26" s="1"/>
  <c r="M113" i="24"/>
  <c r="E301" i="26" s="1"/>
  <c r="M79" i="24"/>
  <c r="E267" i="26" s="1"/>
  <c r="M52" i="24"/>
  <c r="E240" i="26" s="1"/>
  <c r="M61" i="24"/>
  <c r="E249" i="26" s="1"/>
  <c r="M136" i="24"/>
  <c r="E324" i="26" s="1"/>
  <c r="M116" i="24"/>
  <c r="E304" i="26" s="1"/>
  <c r="M145" i="24"/>
  <c r="E333" i="26" s="1"/>
  <c r="M90" i="24"/>
  <c r="E278" i="26" s="1"/>
  <c r="M99" i="24"/>
  <c r="E287" i="26" s="1"/>
  <c r="M153" i="24"/>
  <c r="E341" i="26" s="1"/>
  <c r="M107" i="24"/>
  <c r="E295" i="26" s="1"/>
  <c r="M126" i="24"/>
  <c r="E314" i="26" s="1"/>
  <c r="M139" i="24"/>
  <c r="E327" i="26" s="1"/>
  <c r="M152" i="24"/>
  <c r="E340" i="26" s="1"/>
  <c r="M157" i="24"/>
  <c r="E345" i="26" s="1"/>
  <c r="M95" i="24"/>
  <c r="E283" i="26" s="1"/>
  <c r="M76" i="24"/>
  <c r="E264" i="26" s="1"/>
  <c r="M131" i="24"/>
  <c r="E319" i="26" s="1"/>
  <c r="M12" i="24"/>
  <c r="E200" i="26" s="1"/>
  <c r="M59" i="24"/>
  <c r="E247" i="26" s="1"/>
  <c r="M100" i="24"/>
  <c r="E288" i="26" s="1"/>
  <c r="M57" i="24"/>
  <c r="E245" i="26" s="1"/>
  <c r="M11" i="24"/>
  <c r="E199" i="26" s="1"/>
  <c r="M43" i="24"/>
  <c r="E231" i="26" s="1"/>
  <c r="M62" i="24"/>
  <c r="E250" i="26" s="1"/>
  <c r="M71" i="24"/>
  <c r="E259" i="26" s="1"/>
  <c r="M20" i="24"/>
  <c r="E208" i="26" s="1"/>
  <c r="M149" i="24"/>
  <c r="E337" i="26" s="1"/>
  <c r="M103" i="24"/>
  <c r="E291" i="26" s="1"/>
  <c r="M138" i="24"/>
  <c r="E326" i="26" s="1"/>
  <c r="M123" i="24"/>
  <c r="E311" i="26" s="1"/>
  <c r="M121" i="24"/>
  <c r="E309" i="26" s="1"/>
  <c r="M122" i="24"/>
  <c r="E310" i="26" s="1"/>
  <c r="M167" i="24"/>
  <c r="E355" i="26" s="1"/>
  <c r="M6" i="24"/>
  <c r="E194" i="26" s="1"/>
  <c r="M158" i="24"/>
  <c r="E346" i="26" s="1"/>
  <c r="M132" i="24"/>
  <c r="E320" i="26" s="1"/>
  <c r="M130" i="24"/>
  <c r="E318" i="26" s="1"/>
  <c r="M87" i="24"/>
  <c r="E275" i="26" s="1"/>
  <c r="M51" i="24"/>
  <c r="E239" i="26" s="1"/>
  <c r="M24" i="24"/>
  <c r="E212" i="26" s="1"/>
  <c r="M77" i="24"/>
  <c r="E265" i="26" s="1"/>
  <c r="M41" i="24"/>
  <c r="E229" i="26" s="1"/>
  <c r="M112" i="24"/>
  <c r="E300" i="26" s="1"/>
  <c r="M80" i="24"/>
  <c r="E268" i="26" s="1"/>
  <c r="M72" i="24"/>
  <c r="E260" i="26" s="1"/>
  <c r="M82" i="24"/>
  <c r="E270" i="26" s="1"/>
  <c r="M40" i="24"/>
  <c r="E228" i="26" s="1"/>
  <c r="M154" i="24"/>
  <c r="E342" i="26" s="1"/>
  <c r="M42" i="24"/>
  <c r="E230" i="26" s="1"/>
  <c r="M73" i="24"/>
  <c r="E261" i="26" s="1"/>
  <c r="M14" i="24"/>
  <c r="E202" i="26" s="1"/>
  <c r="M7" i="24"/>
  <c r="E195" i="26" s="1"/>
  <c r="M17" i="24"/>
  <c r="E205" i="26" s="1"/>
  <c r="M58" i="24"/>
  <c r="E246" i="26" s="1"/>
  <c r="M22" i="24"/>
  <c r="E210" i="26" s="1"/>
  <c r="M93" i="24"/>
  <c r="E281" i="26" s="1"/>
  <c r="M47" i="24"/>
  <c r="E235" i="26" s="1"/>
  <c r="M28" i="24"/>
  <c r="E216" i="26" s="1"/>
  <c r="M125" i="24"/>
  <c r="E313" i="26" s="1"/>
  <c r="M161" i="24"/>
  <c r="E349" i="26" s="1"/>
  <c r="M143" i="24"/>
  <c r="E331" i="26" s="1"/>
  <c r="M98" i="24"/>
  <c r="E286" i="26" s="1"/>
  <c r="M111" i="24"/>
  <c r="E299" i="26" s="1"/>
  <c r="M140" i="24"/>
  <c r="E328" i="26" s="1"/>
  <c r="M155" i="24"/>
  <c r="E343" i="26" s="1"/>
  <c r="M96" i="24"/>
  <c r="E284" i="26" s="1"/>
  <c r="M78" i="24"/>
  <c r="E266" i="26" s="1"/>
  <c r="M86" i="24"/>
  <c r="E274" i="26" s="1"/>
  <c r="M151" i="24"/>
  <c r="E339" i="26" s="1"/>
  <c r="M88" i="24"/>
  <c r="E276" i="26" s="1"/>
  <c r="M142" i="24"/>
  <c r="E330" i="26" s="1"/>
  <c r="M115" i="24"/>
  <c r="E303" i="26" s="1"/>
  <c r="M120" i="24"/>
  <c r="E308" i="26" s="1"/>
  <c r="M163" i="24"/>
  <c r="E351" i="26" s="1"/>
  <c r="M8" i="24"/>
  <c r="E196" i="26" s="1"/>
  <c r="M83" i="24"/>
  <c r="E271" i="26" s="1"/>
  <c r="M146" i="24"/>
  <c r="E334" i="26" s="1"/>
  <c r="M91" i="24"/>
  <c r="E279" i="26" s="1"/>
  <c r="M60" i="24"/>
  <c r="E248" i="26" s="1"/>
  <c r="M25" i="24"/>
  <c r="E213" i="26" s="1"/>
  <c r="M48" i="24"/>
  <c r="E236" i="26" s="1"/>
  <c r="M81" i="24"/>
  <c r="E269" i="26" s="1"/>
  <c r="M133" i="24"/>
  <c r="E321" i="26" s="1"/>
  <c r="M69" i="24"/>
  <c r="E257" i="26" s="1"/>
  <c r="M162" i="24"/>
  <c r="E350" i="26" s="1"/>
  <c r="B108" i="26" l="1"/>
  <c r="C108" i="26" s="1"/>
  <c r="W11" i="24"/>
  <c r="V10" i="24"/>
  <c r="B106" i="26" s="1"/>
  <c r="C106" i="26" s="1"/>
  <c r="W9" i="24"/>
  <c r="W10" i="24" l="1"/>
</calcChain>
</file>

<file path=xl/sharedStrings.xml><?xml version="1.0" encoding="utf-8"?>
<sst xmlns="http://schemas.openxmlformats.org/spreadsheetml/2006/main" count="5217" uniqueCount="1389">
  <si>
    <t>Run1</t>
  </si>
  <si>
    <t>Run2</t>
  </si>
  <si>
    <t>Run3</t>
  </si>
  <si>
    <t>Run4</t>
  </si>
  <si>
    <t>Run5</t>
  </si>
  <si>
    <t>Run6</t>
  </si>
  <si>
    <t>Run7</t>
  </si>
  <si>
    <t>Run8</t>
  </si>
  <si>
    <t>Run9</t>
  </si>
  <si>
    <t>Run10</t>
  </si>
  <si>
    <t>Run11</t>
  </si>
  <si>
    <t>Run12</t>
  </si>
  <si>
    <t>Chnl1</t>
  </si>
  <si>
    <t>Chnl2</t>
  </si>
  <si>
    <t>Chnl3</t>
  </si>
  <si>
    <t>Chnl4</t>
  </si>
  <si>
    <t>Chnl5</t>
  </si>
  <si>
    <t>Chnl6</t>
  </si>
  <si>
    <t>Chnl7</t>
  </si>
  <si>
    <t>Chnl8</t>
  </si>
  <si>
    <t>Stdev</t>
  </si>
  <si>
    <t>A</t>
  </si>
  <si>
    <t>B</t>
  </si>
  <si>
    <t>C</t>
  </si>
  <si>
    <t>D</t>
  </si>
  <si>
    <t>E</t>
  </si>
  <si>
    <t>F</t>
  </si>
  <si>
    <t>G</t>
  </si>
  <si>
    <t>H</t>
  </si>
  <si>
    <t>S1</t>
  </si>
  <si>
    <t>S2</t>
  </si>
  <si>
    <t>S3</t>
  </si>
  <si>
    <t>S4</t>
  </si>
  <si>
    <t>S5</t>
  </si>
  <si>
    <t>S6</t>
  </si>
  <si>
    <t>S7</t>
  </si>
  <si>
    <t>S8</t>
  </si>
  <si>
    <t>Sample</t>
  </si>
  <si>
    <t>Mean</t>
  </si>
  <si>
    <t>CV</t>
  </si>
  <si>
    <t>Standard</t>
  </si>
  <si>
    <t>Type</t>
  </si>
  <si>
    <t>Name</t>
  </si>
  <si>
    <t>Note:</t>
  </si>
  <si>
    <t>If you would like to remove any points from the</t>
  </si>
  <si>
    <t>Run13</t>
  </si>
  <si>
    <t>Run14</t>
  </si>
  <si>
    <t>Run15</t>
  </si>
  <si>
    <t>S9</t>
  </si>
  <si>
    <t>S10</t>
  </si>
  <si>
    <t>S11</t>
  </si>
  <si>
    <t>S12</t>
  </si>
  <si>
    <t>Unknown</t>
  </si>
  <si>
    <t>Calibration Curve, feel free to do so, by removing them</t>
  </si>
  <si>
    <t>Pnt</t>
  </si>
  <si>
    <t>Value 1</t>
  </si>
  <si>
    <t>Value 2</t>
  </si>
  <si>
    <t>Value 3</t>
  </si>
  <si>
    <t>Value 4</t>
  </si>
  <si>
    <t>Value 5</t>
  </si>
  <si>
    <t>Value 6</t>
  </si>
  <si>
    <t>Value 7</t>
  </si>
  <si>
    <t>Value 8</t>
  </si>
  <si>
    <t>Value 9</t>
  </si>
  <si>
    <t>Low</t>
  </si>
  <si>
    <t>High</t>
  </si>
  <si>
    <t>Run16</t>
  </si>
  <si>
    <t>Run17</t>
  </si>
  <si>
    <t>Run18</t>
  </si>
  <si>
    <t>Run19</t>
  </si>
  <si>
    <t>Run20</t>
  </si>
  <si>
    <t>Bead Accumulation Values</t>
  </si>
  <si>
    <t>Unknowns</t>
  </si>
  <si>
    <t>Value 10</t>
  </si>
  <si>
    <t>Value 11</t>
  </si>
  <si>
    <t>Value 12</t>
  </si>
  <si>
    <t>Value 13</t>
  </si>
  <si>
    <t>Value 14</t>
  </si>
  <si>
    <t>Value 15</t>
  </si>
  <si>
    <t>Value 16</t>
  </si>
  <si>
    <t>Value 17</t>
  </si>
  <si>
    <t>Value 18</t>
  </si>
  <si>
    <t>Value 19</t>
  </si>
  <si>
    <t>Value 20</t>
  </si>
  <si>
    <t>U1</t>
  </si>
  <si>
    <t>U2</t>
  </si>
  <si>
    <t>U3</t>
  </si>
  <si>
    <t>U5</t>
  </si>
  <si>
    <t>U6</t>
  </si>
  <si>
    <t>U4</t>
  </si>
  <si>
    <t>U7</t>
  </si>
  <si>
    <t>U8</t>
  </si>
  <si>
    <t>U9</t>
  </si>
  <si>
    <t>U10</t>
  </si>
  <si>
    <t>U11</t>
  </si>
  <si>
    <t>U12</t>
  </si>
  <si>
    <t>Initial Values:</t>
  </si>
  <si>
    <t>Notes</t>
  </si>
  <si>
    <t>S13</t>
  </si>
  <si>
    <t>S14</t>
  </si>
  <si>
    <t>S15</t>
  </si>
  <si>
    <t>S16</t>
  </si>
  <si>
    <t>U13</t>
  </si>
  <si>
    <t>U14</t>
  </si>
  <si>
    <t>U15</t>
  </si>
  <si>
    <t>U16</t>
  </si>
  <si>
    <t>Concentration</t>
  </si>
  <si>
    <t>Units</t>
  </si>
  <si>
    <t>Chosen</t>
  </si>
  <si>
    <t>Order</t>
  </si>
  <si>
    <t>Please check the Calibration Chart in order to make sure everything is in order</t>
  </si>
  <si>
    <t>mg/ml</t>
  </si>
  <si>
    <t>ug/ml</t>
  </si>
  <si>
    <t>ng/ml</t>
  </si>
  <si>
    <t>pg/ml</t>
  </si>
  <si>
    <t>Dilution Factor</t>
  </si>
  <si>
    <t xml:space="preserve"> from  the cells that are highlilghted in light yellow</t>
  </si>
  <si>
    <t>Run21</t>
  </si>
  <si>
    <t>Run22</t>
  </si>
  <si>
    <t>Run23</t>
  </si>
  <si>
    <t>Run24</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</si>
  <si>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</si>
  <si>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</si>
  <si>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</si>
  <si>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</si>
  <si>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</si>
  <si>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</si>
  <si>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</si>
  <si>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</si>
  <si>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</si>
  <si>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</si>
  <si>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</si>
  <si>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</si>
  <si>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</si>
  <si>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</si>
  <si>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</si>
  <si>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</si>
  <si>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</si>
  <si>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</si>
  <si>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</si>
  <si>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</si>
  <si>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</si>
  <si>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</si>
  <si>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</si>
  <si>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</si>
  <si>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</si>
  <si>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</si>
  <si>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</si>
  <si>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</si>
  <si>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</si>
  <si>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</si>
  <si>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</si>
  <si>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</si>
  <si>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Calculation Units</t>
  </si>
  <si>
    <t>Plate A</t>
  </si>
  <si>
    <t>Plate B</t>
  </si>
  <si>
    <t>Chosen Assay:</t>
  </si>
  <si>
    <t>Plate C</t>
  </si>
  <si>
    <t>Run25</t>
  </si>
  <si>
    <t>Run26</t>
  </si>
  <si>
    <t>Run27</t>
  </si>
  <si>
    <t>Run28</t>
  </si>
  <si>
    <t>Run29</t>
  </si>
  <si>
    <t>Run30</t>
  </si>
  <si>
    <t>Run31</t>
  </si>
  <si>
    <t>Run32</t>
  </si>
  <si>
    <t>Run33</t>
  </si>
  <si>
    <t>Run34</t>
  </si>
  <si>
    <t>Run35</t>
  </si>
  <si>
    <t>Run36</t>
  </si>
  <si>
    <t>Final Values:</t>
  </si>
  <si>
    <t>Signal 1</t>
  </si>
  <si>
    <t>Signal 2</t>
  </si>
  <si>
    <t>Signal 3</t>
  </si>
  <si>
    <t>Signal 4</t>
  </si>
  <si>
    <t>Signal 5</t>
  </si>
  <si>
    <t>Signal 6</t>
  </si>
  <si>
    <t>Signal 7</t>
  </si>
  <si>
    <t>Signal 8</t>
  </si>
  <si>
    <t>Signal 9</t>
  </si>
  <si>
    <t>Signal 10</t>
  </si>
  <si>
    <t>Error 1</t>
  </si>
  <si>
    <t>Error 2</t>
  </si>
  <si>
    <t>Error 3</t>
  </si>
  <si>
    <t>Error 4</t>
  </si>
  <si>
    <t>Error 5</t>
  </si>
  <si>
    <t>Error 6</t>
  </si>
  <si>
    <t>Error 7</t>
  </si>
  <si>
    <t>Error 8</t>
  </si>
  <si>
    <t>Error 9</t>
  </si>
  <si>
    <t>Error 10</t>
  </si>
  <si>
    <t>Mean Error</t>
  </si>
  <si>
    <t>Parameter</t>
  </si>
  <si>
    <t>Count</t>
  </si>
  <si>
    <t>Samples in Range</t>
  </si>
  <si>
    <t>Step By Step Instructions:</t>
  </si>
  <si>
    <t>Important Notes:</t>
  </si>
  <si>
    <t>Then Press the button Below</t>
  </si>
  <si>
    <t>Slope</t>
  </si>
  <si>
    <t>EC(n)</t>
  </si>
  <si>
    <t>Recovery</t>
  </si>
  <si>
    <t>Asymmetry</t>
  </si>
  <si>
    <t>Asymptotic Minimum</t>
  </si>
  <si>
    <t>Asymptotic Maximum</t>
  </si>
  <si>
    <t>U49</t>
  </si>
  <si>
    <t>U50</t>
  </si>
  <si>
    <t>U51</t>
  </si>
  <si>
    <t>U52</t>
  </si>
  <si>
    <t>U53</t>
  </si>
  <si>
    <t>U54</t>
  </si>
  <si>
    <t>U55</t>
  </si>
  <si>
    <t>U56</t>
  </si>
  <si>
    <t>U57</t>
  </si>
  <si>
    <t>U58</t>
  </si>
  <si>
    <t>U59</t>
  </si>
  <si>
    <t>U60</t>
  </si>
  <si>
    <t>U61</t>
  </si>
  <si>
    <t>U62</t>
  </si>
  <si>
    <t>U63</t>
  </si>
  <si>
    <t>U64</t>
  </si>
  <si>
    <t>Distance from Standard Values to the Calibration Curve</t>
  </si>
  <si>
    <t>Standard Plot's Data</t>
  </si>
  <si>
    <t>Chart and Axis Titles</t>
  </si>
  <si>
    <t>Model Range</t>
  </si>
  <si>
    <t>Log(Cmin)</t>
  </si>
  <si>
    <t>Log(Cmax)</t>
  </si>
  <si>
    <t>Negatives</t>
  </si>
  <si>
    <t>5 PL Fit Parameters:</t>
  </si>
  <si>
    <t>NEG</t>
  </si>
  <si>
    <t>uM</t>
  </si>
  <si>
    <t>nM</t>
  </si>
  <si>
    <t>pM</t>
  </si>
  <si>
    <t>U65</t>
  </si>
  <si>
    <t>U66</t>
  </si>
  <si>
    <t>U67</t>
  </si>
  <si>
    <t>U68</t>
  </si>
  <si>
    <t>U69</t>
  </si>
  <si>
    <t>U70</t>
  </si>
  <si>
    <t>U71</t>
  </si>
  <si>
    <t>U72</t>
  </si>
  <si>
    <t>U73</t>
  </si>
  <si>
    <t>U74</t>
  </si>
  <si>
    <t>U75</t>
  </si>
  <si>
    <t>U76</t>
  </si>
  <si>
    <t>U77</t>
  </si>
  <si>
    <t>U78</t>
  </si>
  <si>
    <t>U79</t>
  </si>
  <si>
    <t>U80</t>
  </si>
  <si>
    <t>U81</t>
  </si>
  <si>
    <t>U82</t>
  </si>
  <si>
    <t>U83</t>
  </si>
  <si>
    <t>U84</t>
  </si>
  <si>
    <t>U85</t>
  </si>
  <si>
    <t>U86</t>
  </si>
  <si>
    <t>U87</t>
  </si>
  <si>
    <t>U88</t>
  </si>
  <si>
    <t>U89</t>
  </si>
  <si>
    <t>U90</t>
  </si>
  <si>
    <t>U91</t>
  </si>
  <si>
    <t>U92</t>
  </si>
  <si>
    <t>U93</t>
  </si>
  <si>
    <t>U94</t>
  </si>
  <si>
    <t>U95</t>
  </si>
  <si>
    <t>U96</t>
  </si>
  <si>
    <t>U97</t>
  </si>
  <si>
    <t>U98</t>
  </si>
  <si>
    <t>U99</t>
  </si>
  <si>
    <t>U100</t>
  </si>
  <si>
    <t>U101</t>
  </si>
  <si>
    <t>U102</t>
  </si>
  <si>
    <t>U103</t>
  </si>
  <si>
    <t>U104</t>
  </si>
  <si>
    <t>U105</t>
  </si>
  <si>
    <t>U106</t>
  </si>
  <si>
    <t>U107</t>
  </si>
  <si>
    <t>U108</t>
  </si>
  <si>
    <t>U109</t>
  </si>
  <si>
    <t>U110</t>
  </si>
  <si>
    <t>U111</t>
  </si>
  <si>
    <t>U112</t>
  </si>
  <si>
    <t>U113</t>
  </si>
  <si>
    <t>U114</t>
  </si>
  <si>
    <t>U115</t>
  </si>
  <si>
    <t>U116</t>
  </si>
  <si>
    <t>U117</t>
  </si>
  <si>
    <t>U118</t>
  </si>
  <si>
    <t>U119</t>
  </si>
  <si>
    <t>U120</t>
  </si>
  <si>
    <t>U121</t>
  </si>
  <si>
    <t>U122</t>
  </si>
  <si>
    <t>U123</t>
  </si>
  <si>
    <t>U124</t>
  </si>
  <si>
    <t>U125</t>
  </si>
  <si>
    <t>U126</t>
  </si>
  <si>
    <t>U127</t>
  </si>
  <si>
    <t>U128</t>
  </si>
  <si>
    <t>U129</t>
  </si>
  <si>
    <t>U130</t>
  </si>
  <si>
    <t>U131</t>
  </si>
  <si>
    <t>U132</t>
  </si>
  <si>
    <t>U133</t>
  </si>
  <si>
    <t>U134</t>
  </si>
  <si>
    <t>U135</t>
  </si>
  <si>
    <t>U136</t>
  </si>
  <si>
    <t>U137</t>
  </si>
  <si>
    <t>U138</t>
  </si>
  <si>
    <t>U139</t>
  </si>
  <si>
    <t>U140</t>
  </si>
  <si>
    <t>U141</t>
  </si>
  <si>
    <t>U142</t>
  </si>
  <si>
    <t>U143</t>
  </si>
  <si>
    <t>U144</t>
  </si>
  <si>
    <t>U145</t>
  </si>
  <si>
    <t>U146</t>
  </si>
  <si>
    <t>U147</t>
  </si>
  <si>
    <t>U148</t>
  </si>
  <si>
    <t>U149</t>
  </si>
  <si>
    <t>U150</t>
  </si>
  <si>
    <t>U151</t>
  </si>
  <si>
    <t>U152</t>
  </si>
  <si>
    <t>U153</t>
  </si>
  <si>
    <t>U154</t>
  </si>
  <si>
    <t>U155</t>
  </si>
  <si>
    <t>U156</t>
  </si>
  <si>
    <t>U157</t>
  </si>
  <si>
    <t>U158</t>
  </si>
  <si>
    <t>U159</t>
  </si>
  <si>
    <t>U160</t>
  </si>
  <si>
    <t>U161</t>
  </si>
  <si>
    <t>U162</t>
  </si>
  <si>
    <t>U163</t>
  </si>
  <si>
    <t>U164</t>
  </si>
  <si>
    <t>U165</t>
  </si>
  <si>
    <t>U166</t>
  </si>
  <si>
    <t>U167</t>
  </si>
  <si>
    <t>U168</t>
  </si>
  <si>
    <t>U169</t>
  </si>
  <si>
    <t>U170</t>
  </si>
  <si>
    <t>U171</t>
  </si>
  <si>
    <t>U172</t>
  </si>
  <si>
    <t>U173</t>
  </si>
  <si>
    <t>U174</t>
  </si>
  <si>
    <t>U175</t>
  </si>
  <si>
    <t>U176</t>
  </si>
  <si>
    <t>U177</t>
  </si>
  <si>
    <t>U178</t>
  </si>
  <si>
    <t>U179</t>
  </si>
  <si>
    <t>U180</t>
  </si>
  <si>
    <t>U181</t>
  </si>
  <si>
    <t>U182</t>
  </si>
  <si>
    <t>U183</t>
  </si>
  <si>
    <t>U184</t>
  </si>
  <si>
    <t>U185</t>
  </si>
  <si>
    <t>U186</t>
  </si>
  <si>
    <t>U187</t>
  </si>
  <si>
    <t>U188</t>
  </si>
  <si>
    <t>U189</t>
  </si>
  <si>
    <t>U190</t>
  </si>
  <si>
    <t>U191</t>
  </si>
  <si>
    <t>U192</t>
  </si>
  <si>
    <t>U193</t>
  </si>
  <si>
    <t>U194</t>
  </si>
  <si>
    <t>U195</t>
  </si>
  <si>
    <t>U196</t>
  </si>
  <si>
    <t>U197</t>
  </si>
  <si>
    <t>U198</t>
  </si>
  <si>
    <t>U199</t>
  </si>
  <si>
    <t>U200</t>
  </si>
  <si>
    <t>Stdev 1</t>
  </si>
  <si>
    <t>Stdev  2</t>
  </si>
  <si>
    <t>Stdev 3</t>
  </si>
  <si>
    <t>Plate 1</t>
  </si>
  <si>
    <t>Plate 2</t>
  </si>
  <si>
    <t>Plate 3</t>
  </si>
  <si>
    <t>StDev</t>
  </si>
  <si>
    <t>Plate 1 Negatives</t>
  </si>
  <si>
    <t>Plate 2 Negatives - 2StDev</t>
  </si>
  <si>
    <t>Plate 1 Negatives - 2StDev</t>
  </si>
  <si>
    <t>Plate 1 Negatives + 2StDev</t>
  </si>
  <si>
    <t>Plate 2 Negatives</t>
  </si>
  <si>
    <t>Plate 2 Negatives + 2StDev</t>
  </si>
  <si>
    <t>Plate 3 Negatives</t>
  </si>
  <si>
    <t>Plate 3 Negatives - 2StDev</t>
  </si>
  <si>
    <t>Plate 3 Negatives + 2StDev</t>
  </si>
  <si>
    <t>Plate 1 X-Axis Range</t>
  </si>
  <si>
    <t>Plate 2 X-Axis Range</t>
  </si>
  <si>
    <t>Plate 3 X-Axis Range</t>
  </si>
  <si>
    <t>Conc 1</t>
  </si>
  <si>
    <t>Conc 2</t>
  </si>
  <si>
    <t>Conc 3</t>
  </si>
  <si>
    <t>Parameter 1</t>
  </si>
  <si>
    <t>Parameter 2</t>
  </si>
  <si>
    <t>Parameter 3</t>
  </si>
  <si>
    <t>Parameter 4</t>
  </si>
  <si>
    <t>Parameter 5</t>
  </si>
  <si>
    <t>Fitting</t>
  </si>
  <si>
    <t>Log Conc Range</t>
  </si>
  <si>
    <t>Step Size</t>
  </si>
  <si>
    <t>Minimum Signal</t>
  </si>
  <si>
    <t>Maximum Signal</t>
  </si>
  <si>
    <t>Mean Point Error</t>
  </si>
  <si>
    <t>Best Value Set</t>
  </si>
  <si>
    <t>Unknowns - Signal</t>
  </si>
  <si>
    <t>Unknowns - Concentrations</t>
  </si>
  <si>
    <t>Section 1</t>
  </si>
  <si>
    <t>Section 2</t>
  </si>
  <si>
    <t>Section 3</t>
  </si>
  <si>
    <t>Section</t>
  </si>
  <si>
    <t>Run#</t>
  </si>
  <si>
    <t>Lowest Signal Value Reported</t>
  </si>
  <si>
    <t>Highest Signal Value Reported</t>
  </si>
  <si>
    <t>Do the inside Calculations?</t>
  </si>
  <si>
    <t>Section 1 Standards</t>
  </si>
  <si>
    <t>Section 2 Standards</t>
  </si>
  <si>
    <t>Section 3 Standards</t>
  </si>
  <si>
    <t>5PL Standard Curves for Each Section</t>
  </si>
  <si>
    <t>Negative References</t>
  </si>
  <si>
    <t>NIS</t>
  </si>
  <si>
    <t>Reagent Plates and Trough Types</t>
  </si>
  <si>
    <t>Trough Types</t>
  </si>
  <si>
    <t>Reagent Plate Types</t>
  </si>
  <si>
    <t>Trough Type 1</t>
  </si>
  <si>
    <t>Corning 3605, 200ul Plate</t>
  </si>
  <si>
    <t>Trough Type 2</t>
  </si>
  <si>
    <t>Costar 3959, 1ml Plate</t>
  </si>
  <si>
    <t>Trough Type 3</t>
  </si>
  <si>
    <t>Plate Types Chosen</t>
  </si>
  <si>
    <t>Type #</t>
  </si>
  <si>
    <t>Reagent Plate</t>
  </si>
  <si>
    <t>Sample Plate</t>
  </si>
  <si>
    <t>Run Condition Sensor?</t>
  </si>
  <si>
    <t>Initial Protocol to Run</t>
  </si>
  <si>
    <t>Washbuffer needed:</t>
  </si>
  <si>
    <t>Troughs Needed</t>
  </si>
  <si>
    <t>RegenerationBuffer needed:</t>
  </si>
  <si>
    <t>Protocol Name</t>
  </si>
  <si>
    <t>ReaderFeederWithRegen</t>
  </si>
  <si>
    <t>ShortWetCartridge Incubation Time</t>
  </si>
  <si>
    <t>Trough Information</t>
  </si>
  <si>
    <t>T1</t>
  </si>
  <si>
    <t>WashBuffer</t>
  </si>
  <si>
    <t>T2</t>
  </si>
  <si>
    <t>T3</t>
  </si>
  <si>
    <t>T4</t>
  </si>
  <si>
    <t>T5</t>
  </si>
  <si>
    <t>T6</t>
  </si>
  <si>
    <t>Decontamination Options</t>
  </si>
  <si>
    <t>Software Abbrev.</t>
  </si>
  <si>
    <t>Chosen Option</t>
  </si>
  <si>
    <t>Decontamination is not required</t>
  </si>
  <si>
    <t>NoDecon</t>
  </si>
  <si>
    <t>Number</t>
  </si>
  <si>
    <t>Option</t>
  </si>
  <si>
    <t>Decontaminate cartridge and probes</t>
  </si>
  <si>
    <t>DeconCP</t>
  </si>
  <si>
    <t>Decontaminate probes only</t>
  </si>
  <si>
    <t>DeconP</t>
  </si>
  <si>
    <t>Do not Dry the Cartridge</t>
  </si>
  <si>
    <t>NoDry</t>
  </si>
  <si>
    <t>Scripts:</t>
  </si>
  <si>
    <t>Script Group:</t>
  </si>
  <si>
    <t>Chosen Accumulation Time</t>
  </si>
  <si>
    <t>Seconds</t>
  </si>
  <si>
    <t>Accumulation Times</t>
  </si>
  <si>
    <t>order</t>
  </si>
  <si>
    <t>Trough Placement</t>
  </si>
  <si>
    <t>End of Assay Shutdown</t>
  </si>
  <si>
    <t>Reagent 1 Volume to be added (ul)</t>
  </si>
  <si>
    <t>Reagent 1 Incubation Time (minutes)</t>
  </si>
  <si>
    <t>Reagent 2 Incubation Time (minutes)</t>
  </si>
  <si>
    <t>Sample Accumulation Time (seconds)</t>
  </si>
  <si>
    <t>Reagent</t>
  </si>
  <si>
    <t>Reagent Plate Volume/Column (uL)</t>
  </si>
  <si>
    <t>Column 1</t>
  </si>
  <si>
    <t>R1</t>
  </si>
  <si>
    <t>Column 2</t>
  </si>
  <si>
    <t>R2</t>
  </si>
  <si>
    <t>Column 3</t>
  </si>
  <si>
    <t>Column 4</t>
  </si>
  <si>
    <t>Columns Used</t>
  </si>
  <si>
    <t>Column 5</t>
  </si>
  <si>
    <t>Column 6</t>
  </si>
  <si>
    <t>Column 7</t>
  </si>
  <si>
    <t>Column 8</t>
  </si>
  <si>
    <t>Column 9</t>
  </si>
  <si>
    <t>Column 10</t>
  </si>
  <si>
    <t>Reagent Plate Type</t>
  </si>
  <si>
    <t>Column 11</t>
  </si>
  <si>
    <t>Sample Plate Type</t>
  </si>
  <si>
    <t>Column 12</t>
  </si>
  <si>
    <t>Trough Placements: (Calculated Automatically)</t>
  </si>
  <si>
    <t>Trough:</t>
  </si>
  <si>
    <t>Solution</t>
  </si>
  <si>
    <t>Amount (ml)</t>
  </si>
  <si>
    <t>Trough 1</t>
  </si>
  <si>
    <t>Trough 2</t>
  </si>
  <si>
    <t>Trough 3</t>
  </si>
  <si>
    <t>Trough 4</t>
  </si>
  <si>
    <t>Trough 5</t>
  </si>
  <si>
    <t>Trough 6</t>
  </si>
  <si>
    <t>Length of Incubation Time (h:mm)</t>
  </si>
  <si>
    <t>Reagent 2 Volume to be added (ul)</t>
  </si>
  <si>
    <t>Reagent Plate C</t>
  </si>
  <si>
    <t>Columns Needed                                                       (includes 30ul dead volume/column)</t>
  </si>
  <si>
    <t>All Possible Protocols:</t>
  </si>
  <si>
    <t>TwoReagentAdd</t>
  </si>
  <si>
    <t>OneReagentAdd</t>
  </si>
  <si>
    <t>1: Prior to Running the Assay</t>
  </si>
  <si>
    <t>1.1:</t>
  </si>
  <si>
    <t>Make a copy of this file, and rename it. You may place it wherever you wish.</t>
  </si>
  <si>
    <t>1.2:</t>
  </si>
  <si>
    <t>1.2.1</t>
  </si>
  <si>
    <t>Assay name and Unit of measurements</t>
  </si>
  <si>
    <t>1.2.2</t>
  </si>
  <si>
    <t>Sample Accumulation Time</t>
  </si>
  <si>
    <t>1.2.3</t>
  </si>
  <si>
    <t>Plate Layout</t>
  </si>
  <si>
    <t>1.2.4</t>
  </si>
  <si>
    <t>Concentration of Standards</t>
  </si>
  <si>
    <t>1.3:</t>
  </si>
  <si>
    <t>Save the file, and exit Excel</t>
  </si>
  <si>
    <t>2: Running the Assay</t>
  </si>
  <si>
    <t>2.1:</t>
  </si>
  <si>
    <t>Open BioScale Vibe Software icon which is placed on the desktop</t>
  </si>
  <si>
    <t>2.3:</t>
  </si>
  <si>
    <t>Click on Start Assay. Follow the instructions on the screen</t>
  </si>
  <si>
    <t xml:space="preserve">2.4: </t>
  </si>
  <si>
    <t>The assay should now be running. The software will save a copy of the Excel template that you made, and place the results directly in it.</t>
  </si>
  <si>
    <t>3: Analyzing the Data</t>
  </si>
  <si>
    <t>3.1:</t>
  </si>
  <si>
    <t>Open the folder containing the data from the run, and open the excel sheet in that folder</t>
  </si>
  <si>
    <t>3.2:</t>
  </si>
  <si>
    <t>You need to make sure Macros are enabled, in order to be able to analyze the data. This only needs to be done once per computer</t>
  </si>
  <si>
    <t>3.2.1</t>
  </si>
  <si>
    <t>3.2.2</t>
  </si>
  <si>
    <t>3.3:</t>
  </si>
  <si>
    <t>Excel Solver needs to be installed on this computer for this template to work. This only needs to be done once per computer</t>
  </si>
  <si>
    <t>3.3.1</t>
  </si>
  <si>
    <t>3.3.2</t>
  </si>
  <si>
    <t>3.3.3</t>
  </si>
  <si>
    <t>3.4:</t>
  </si>
  <si>
    <t>Press Analyze Data. The data is now being copied into the correct places on the template, and The data will be fitted to the model</t>
  </si>
  <si>
    <t>3.5:</t>
  </si>
  <si>
    <t>3.6:</t>
  </si>
  <si>
    <t>If you would like to remove outliers from the standards chart</t>
  </si>
  <si>
    <t>3.6.1</t>
  </si>
  <si>
    <t>3.6.2</t>
  </si>
  <si>
    <t>Press Re-Analyze Data</t>
  </si>
  <si>
    <t>Create a copy of this file, and never change the original file</t>
  </si>
  <si>
    <t>Calibration Curve Sections</t>
  </si>
  <si>
    <t>You must fill in all of the required information on the 'Vibe Setup' Page. The required information for this template includes:</t>
  </si>
  <si>
    <t>1.3.1</t>
  </si>
  <si>
    <t>1.3.2</t>
  </si>
  <si>
    <t>1.3.3</t>
  </si>
  <si>
    <t>1.3.4</t>
  </si>
  <si>
    <t>1.4:</t>
  </si>
  <si>
    <t>End of Assay Shutdown information</t>
  </si>
  <si>
    <t>You must first fill in all of the required information on the 'Sample Setup' Page. The required information for this template includes:</t>
  </si>
  <si>
    <t>Sensor Conditioning Option</t>
  </si>
  <si>
    <t>Reagent Plate Setup</t>
  </si>
  <si>
    <t xml:space="preserve">Click on the 'Calibration Chart' Tab and look at the calibration fit. </t>
  </si>
  <si>
    <t>Go to the "Calculations" tab and remove points from the areas that is highlighted in light yellow</t>
  </si>
  <si>
    <t>Calculated Concentration</t>
  </si>
  <si>
    <t>If you like to remove values from the Calibration Chart, please go to the</t>
  </si>
  <si>
    <t xml:space="preserve"> Calculations tab and follow the instructions on the sheet</t>
  </si>
  <si>
    <t>Tabel Legend</t>
  </si>
  <si>
    <t>The sample was not part of any defined section, based on the "Sample Setup" page</t>
  </si>
  <si>
    <t>The calculated concentration lies outside the range of the Standard Curve</t>
  </si>
  <si>
    <t>ABQuantAssay</t>
  </si>
  <si>
    <t>Conc 4</t>
  </si>
  <si>
    <t>Conc 5</t>
  </si>
  <si>
    <t>Conc 6</t>
  </si>
  <si>
    <t>Conc 7</t>
  </si>
  <si>
    <t>Conc 8</t>
  </si>
  <si>
    <t>Conc 9</t>
  </si>
  <si>
    <t>Conc 10</t>
  </si>
  <si>
    <t>Mean Recovery</t>
  </si>
  <si>
    <t>Recovery Stdev</t>
  </si>
  <si>
    <t>Recovery CV</t>
  </si>
  <si>
    <t>Mean Signal</t>
  </si>
  <si>
    <t>Signal Stdev</t>
  </si>
  <si>
    <t>Signal CV</t>
  </si>
  <si>
    <t>LOQ</t>
  </si>
  <si>
    <t>LOQ Quality</t>
  </si>
  <si>
    <t>Conc</t>
  </si>
  <si>
    <t>Range</t>
  </si>
  <si>
    <t>Section 1 Standard Recovery Values</t>
  </si>
  <si>
    <t>Section 2 Standard Recovery Values</t>
  </si>
  <si>
    <t>Section 3 Standard Recovery Values</t>
  </si>
  <si>
    <t>Statistics:</t>
  </si>
  <si>
    <t>LLOQ</t>
  </si>
  <si>
    <t>ULOQ</t>
  </si>
  <si>
    <t>Mean Signal CV</t>
  </si>
  <si>
    <t>Mean Recovery CV</t>
  </si>
  <si>
    <t>Mean Recovery Error</t>
  </si>
  <si>
    <t>Recovery Error</t>
  </si>
  <si>
    <t>Chart Data</t>
  </si>
  <si>
    <t>X Axis</t>
  </si>
  <si>
    <t>Min</t>
  </si>
  <si>
    <t>Max</t>
  </si>
  <si>
    <t>Section 3 Standard Statistics</t>
  </si>
  <si>
    <t>Section 2 Standard Statistics</t>
  </si>
  <si>
    <t>Section 1 Standard Statistics</t>
  </si>
  <si>
    <t>Stupid thing for Excel's UDFs</t>
  </si>
  <si>
    <t>Template Version Number:</t>
  </si>
  <si>
    <t>17.0</t>
  </si>
  <si>
    <t>Signal</t>
  </si>
  <si>
    <t>%CV</t>
  </si>
  <si>
    <t>%Recovery</t>
  </si>
  <si>
    <t>Biomarker Name</t>
  </si>
  <si>
    <t>ELISA Lot</t>
  </si>
  <si>
    <t>Date</t>
  </si>
  <si>
    <t>User</t>
  </si>
  <si>
    <t># of samples Tested</t>
  </si>
  <si>
    <t>Calibration Curve</t>
  </si>
  <si>
    <t>Controls</t>
  </si>
  <si>
    <t>Plasma ID#</t>
  </si>
  <si>
    <t>Sample Dilution</t>
  </si>
  <si>
    <t>S1 concentration</t>
  </si>
  <si>
    <t>Raw DATA File Name</t>
  </si>
  <si>
    <t>Cal Dil factor</t>
  </si>
  <si>
    <t>PC</t>
  </si>
  <si>
    <t>Comments</t>
  </si>
  <si>
    <t>P5</t>
  </si>
  <si>
    <t>P13</t>
  </si>
  <si>
    <t>P21</t>
  </si>
  <si>
    <t>P29</t>
  </si>
  <si>
    <t>P6</t>
  </si>
  <si>
    <t>P14</t>
  </si>
  <si>
    <t>P22</t>
  </si>
  <si>
    <t>P30</t>
  </si>
  <si>
    <t>P7</t>
  </si>
  <si>
    <t>P15</t>
  </si>
  <si>
    <t>P23</t>
  </si>
  <si>
    <t>P31</t>
  </si>
  <si>
    <t>P8</t>
  </si>
  <si>
    <t>P16</t>
  </si>
  <si>
    <t>P24</t>
  </si>
  <si>
    <t>P32</t>
  </si>
  <si>
    <t>P1</t>
  </si>
  <si>
    <t>P9</t>
  </si>
  <si>
    <t>P17</t>
  </si>
  <si>
    <t>P25</t>
  </si>
  <si>
    <t>P33</t>
  </si>
  <si>
    <t>P2</t>
  </si>
  <si>
    <t>P10</t>
  </si>
  <si>
    <t>P18</t>
  </si>
  <si>
    <t>P26</t>
  </si>
  <si>
    <t>P34</t>
  </si>
  <si>
    <t>P3</t>
  </si>
  <si>
    <t>P11</t>
  </si>
  <si>
    <t>P19</t>
  </si>
  <si>
    <t>P27</t>
  </si>
  <si>
    <t>P4</t>
  </si>
  <si>
    <t>P12</t>
  </si>
  <si>
    <t>P20</t>
  </si>
  <si>
    <t>P28</t>
  </si>
  <si>
    <t>Signal (OD/RLU)</t>
  </si>
  <si>
    <t>Recovered Conc.</t>
  </si>
  <si>
    <t>Calibration Curve (signal)</t>
  </si>
  <si>
    <t>Avg. Sig</t>
  </si>
  <si>
    <t>Std</t>
  </si>
  <si>
    <t>Process Conrols</t>
  </si>
  <si>
    <t xml:space="preserve">Expected </t>
  </si>
  <si>
    <t>Negatives (signal)</t>
  </si>
  <si>
    <t>Value</t>
  </si>
  <si>
    <t>%REC</t>
  </si>
  <si>
    <t>Average</t>
  </si>
  <si>
    <t>Recovered</t>
  </si>
  <si>
    <t>Avg</t>
  </si>
  <si>
    <t>STD</t>
  </si>
  <si>
    <t>Calibration Curve Recovered Conc.</t>
  </si>
  <si>
    <t>[standard] units</t>
  </si>
  <si>
    <t xml:space="preserve">avg. Rec. </t>
  </si>
  <si>
    <t>% Rec.</t>
  </si>
  <si>
    <t>Control</t>
  </si>
  <si>
    <t>Expected</t>
  </si>
  <si>
    <t>Diluion Factor=</t>
  </si>
  <si>
    <t>BS Sample ID</t>
  </si>
  <si>
    <t>Sponsor Sample ID</t>
  </si>
  <si>
    <t>Blood draw</t>
  </si>
  <si>
    <t>Rep 1</t>
  </si>
  <si>
    <t>Rep 2</t>
  </si>
  <si>
    <t>R1 Corr</t>
  </si>
  <si>
    <t>R2 Corr.</t>
  </si>
  <si>
    <t>Sample Descrip (smoker, COPD etc)</t>
  </si>
  <si>
    <t># Samples</t>
  </si>
  <si>
    <t>Values</t>
  </si>
  <si>
    <t>Median</t>
  </si>
  <si>
    <t># Sample</t>
  </si>
  <si>
    <t xml:space="preserve">% </t>
  </si>
  <si>
    <t>CV 0-10</t>
  </si>
  <si>
    <t>CV 10-20</t>
  </si>
  <si>
    <t>CV above 20</t>
  </si>
  <si>
    <t>Missing</t>
  </si>
  <si>
    <t>Biomarker</t>
  </si>
  <si>
    <t>Plate 1 Pass/fail</t>
  </si>
  <si>
    <t>LOW</t>
  </si>
  <si>
    <t>Avg all</t>
  </si>
  <si>
    <t>HIGH</t>
  </si>
  <si>
    <t>MISC</t>
  </si>
  <si>
    <t xml:space="preserve"> Recovered</t>
  </si>
  <si>
    <t>Plate  Data</t>
  </si>
  <si>
    <t>Dilution Corrected</t>
  </si>
  <si>
    <t>Corrected ULOQ</t>
  </si>
  <si>
    <t>Corrected  LLOQ</t>
  </si>
  <si>
    <t>Avg. OD</t>
  </si>
  <si>
    <t>Conc.</t>
  </si>
  <si>
    <t>- ULOQ is S1 or S2</t>
  </si>
  <si>
    <t>- LLOQ is &lt;= S6</t>
  </si>
  <si>
    <t>Plate Stats &amp; Controls</t>
  </si>
  <si>
    <t>Data Plot</t>
  </si>
  <si>
    <t>CV Plots</t>
  </si>
  <si>
    <t>Assay Name</t>
  </si>
  <si>
    <t>BioMarker</t>
  </si>
  <si>
    <t>Reader</t>
  </si>
  <si>
    <t>Operator</t>
  </si>
  <si>
    <t>Unit</t>
  </si>
  <si>
    <t>pg/mL</t>
  </si>
  <si>
    <t>Software Version</t>
  </si>
  <si>
    <t>Experiment File Path:</t>
  </si>
  <si>
    <t>Protocol File Path:</t>
  </si>
  <si>
    <t>Plate Number</t>
  </si>
  <si>
    <t>Time</t>
  </si>
  <si>
    <t>Reader Type:</t>
  </si>
  <si>
    <t>Reader Serial Number:</t>
  </si>
  <si>
    <t>Reading Type</t>
  </si>
  <si>
    <t>Procedure Details</t>
  </si>
  <si>
    <t>Plate Type</t>
  </si>
  <si>
    <t>Read</t>
  </si>
  <si>
    <t>Absorbance Endpoint</t>
  </si>
  <si>
    <t>Full Plate</t>
  </si>
  <si>
    <t>Read Speed: Normal</t>
  </si>
  <si>
    <t>Results</t>
  </si>
  <si>
    <t>2.03.1</t>
  </si>
  <si>
    <t>uQuant</t>
  </si>
  <si>
    <t>384 WELL PLATE</t>
  </si>
  <si>
    <t>I</t>
  </si>
  <si>
    <t>J</t>
  </si>
  <si>
    <t>K</t>
  </si>
  <si>
    <t>L</t>
  </si>
  <si>
    <t>M</t>
  </si>
  <si>
    <t>N</t>
  </si>
  <si>
    <t>O</t>
  </si>
  <si>
    <t>P</t>
  </si>
  <si>
    <t>CORRECTED</t>
  </si>
  <si>
    <t>Email address</t>
  </si>
  <si>
    <t>Sample ID</t>
  </si>
  <si>
    <t>Sponsor ID</t>
  </si>
  <si>
    <t>Draw</t>
  </si>
  <si>
    <t>Misc</t>
  </si>
  <si>
    <t>HNL</t>
  </si>
  <si>
    <t>Nothing</t>
  </si>
  <si>
    <t>Clinical Sample Lot</t>
  </si>
  <si>
    <t>Lot 49</t>
  </si>
  <si>
    <t>Rawdata file</t>
  </si>
  <si>
    <t>Elisa Kit Lot Number</t>
  </si>
  <si>
    <t>-</t>
  </si>
  <si>
    <t>Plate type</t>
  </si>
  <si>
    <t>If 384 plate</t>
  </si>
  <si>
    <t>JH</t>
  </si>
  <si>
    <t>jherrera@proterixbio.com</t>
  </si>
  <si>
    <t>Names of Sheets in PlateReader File</t>
  </si>
  <si>
    <t>Lot 100</t>
  </si>
  <si>
    <t>Lot 99</t>
  </si>
  <si>
    <t>Lot 98</t>
  </si>
  <si>
    <t>Lot 97</t>
  </si>
  <si>
    <t>Lot 96</t>
  </si>
  <si>
    <t>Lot 95</t>
  </si>
  <si>
    <t>Lot 94</t>
  </si>
  <si>
    <t>Lot 93</t>
  </si>
  <si>
    <t>Lot 92</t>
  </si>
  <si>
    <t>Lot 91</t>
  </si>
  <si>
    <t>Lot 90</t>
  </si>
  <si>
    <t>Lot 89</t>
  </si>
  <si>
    <t>Lot 88</t>
  </si>
  <si>
    <t>Lot 87</t>
  </si>
  <si>
    <t>Lot 86</t>
  </si>
  <si>
    <t>Lot 85</t>
  </si>
  <si>
    <t>Lot 84</t>
  </si>
  <si>
    <t>Lot 83</t>
  </si>
  <si>
    <t>Lot 82</t>
  </si>
  <si>
    <t>Lot 81</t>
  </si>
  <si>
    <t>Lot 80</t>
  </si>
  <si>
    <t>Lot 79</t>
  </si>
  <si>
    <t>Lot 78</t>
  </si>
  <si>
    <t>Lot 77</t>
  </si>
  <si>
    <t>Lot 76</t>
  </si>
  <si>
    <t>Lot 75</t>
  </si>
  <si>
    <t>Lot 74</t>
  </si>
  <si>
    <t>Lot 73</t>
  </si>
  <si>
    <t>Lot 72</t>
  </si>
  <si>
    <t>Lot 71</t>
  </si>
  <si>
    <t>Lot 70</t>
  </si>
  <si>
    <t>Lot 69</t>
  </si>
  <si>
    <t>Lot 68</t>
  </si>
  <si>
    <t>Lot 67</t>
  </si>
  <si>
    <t>Lot 66</t>
  </si>
  <si>
    <t>Lot 65</t>
  </si>
  <si>
    <t>Lot 64</t>
  </si>
  <si>
    <t>Lot 63</t>
  </si>
  <si>
    <t>Lot 62</t>
  </si>
  <si>
    <t>Lot 61</t>
  </si>
  <si>
    <t>Lot 60</t>
  </si>
  <si>
    <t>Lot 59</t>
  </si>
  <si>
    <t>Lot 58</t>
  </si>
  <si>
    <t>Lot 57</t>
  </si>
  <si>
    <t>Lot 56</t>
  </si>
  <si>
    <t>Lot 55</t>
  </si>
  <si>
    <t>Lot 54</t>
  </si>
  <si>
    <t>Lot 53</t>
  </si>
  <si>
    <t>Lot 52</t>
  </si>
  <si>
    <t>Lot 51</t>
  </si>
  <si>
    <t>Lot 50</t>
  </si>
  <si>
    <t>Lot 48</t>
  </si>
  <si>
    <t>Lot 47</t>
  </si>
  <si>
    <t>Lot 46</t>
  </si>
  <si>
    <t>Lot 45</t>
  </si>
  <si>
    <t>Lot 44</t>
  </si>
  <si>
    <t>Lot 43</t>
  </si>
  <si>
    <t>Lot 42</t>
  </si>
  <si>
    <t>Lot 41</t>
  </si>
  <si>
    <t>Lot 40</t>
  </si>
  <si>
    <t>Lot 39</t>
  </si>
  <si>
    <t>Lot 38</t>
  </si>
  <si>
    <t>Lot 37</t>
  </si>
  <si>
    <t>Lot 36</t>
  </si>
  <si>
    <t>YKL-40</t>
  </si>
  <si>
    <t>Lot 35</t>
  </si>
  <si>
    <t>TIMP-1</t>
  </si>
  <si>
    <t>Lot 34</t>
  </si>
  <si>
    <t>ST2</t>
  </si>
  <si>
    <t>Lot 33</t>
  </si>
  <si>
    <t>sRAGE</t>
  </si>
  <si>
    <t>Lot 32</t>
  </si>
  <si>
    <t>SAA</t>
  </si>
  <si>
    <t>Lot 31</t>
  </si>
  <si>
    <t>Resistin</t>
  </si>
  <si>
    <t>Lot 30</t>
  </si>
  <si>
    <t>RANTES</t>
  </si>
  <si>
    <t>Lot 29</t>
  </si>
  <si>
    <t>PTX3</t>
  </si>
  <si>
    <t>Lot 28</t>
  </si>
  <si>
    <t>P-Selectin</t>
  </si>
  <si>
    <t>Lot 27</t>
  </si>
  <si>
    <t>PCT</t>
  </si>
  <si>
    <t>Lot 26</t>
  </si>
  <si>
    <t>PARC</t>
  </si>
  <si>
    <t>Lot 25</t>
  </si>
  <si>
    <t>NE</t>
  </si>
  <si>
    <t>Lot 24</t>
  </si>
  <si>
    <t>MMP9</t>
  </si>
  <si>
    <t>Lot 23</t>
  </si>
  <si>
    <t>MCP-1</t>
  </si>
  <si>
    <t>Lot 22</t>
  </si>
  <si>
    <t>Leptin</t>
  </si>
  <si>
    <t>Lot 21</t>
  </si>
  <si>
    <t>IL-6</t>
  </si>
  <si>
    <t>Lot 20</t>
  </si>
  <si>
    <t>ng/mL</t>
  </si>
  <si>
    <t>IgG2</t>
  </si>
  <si>
    <t>Lot 19</t>
  </si>
  <si>
    <t>IgG1</t>
  </si>
  <si>
    <t>Lot 18</t>
  </si>
  <si>
    <t>IgG</t>
  </si>
  <si>
    <t>Lot 17</t>
  </si>
  <si>
    <t>IgE</t>
  </si>
  <si>
    <t>Lot 16</t>
  </si>
  <si>
    <t>IgA</t>
  </si>
  <si>
    <t>Lot 15</t>
  </si>
  <si>
    <t>Lot 14</t>
  </si>
  <si>
    <t>Lot 13</t>
  </si>
  <si>
    <t>Fibronectin</t>
  </si>
  <si>
    <t>Lot 12</t>
  </si>
  <si>
    <t>Fibrinogen</t>
  </si>
  <si>
    <t>Lot 11</t>
  </si>
  <si>
    <t>Eotaxin</t>
  </si>
  <si>
    <t>Lot 10</t>
  </si>
  <si>
    <t>D-Dimer</t>
  </si>
  <si>
    <t>Lot 9</t>
  </si>
  <si>
    <t>Lot 8</t>
  </si>
  <si>
    <t>CRP</t>
  </si>
  <si>
    <t>Lot 7</t>
  </si>
  <si>
    <t>CC16</t>
  </si>
  <si>
    <t>Lot 6</t>
  </si>
  <si>
    <t>Cathepsin S</t>
  </si>
  <si>
    <t>Lot 5</t>
  </si>
  <si>
    <t>C1q</t>
  </si>
  <si>
    <t>Lot 4</t>
  </si>
  <si>
    <t>shivalik@proterixbio.com</t>
  </si>
  <si>
    <t>SB</t>
  </si>
  <si>
    <t>ANP</t>
  </si>
  <si>
    <t>Lot 3</t>
  </si>
  <si>
    <t>Adiponectin</t>
  </si>
  <si>
    <t>Lot 2</t>
  </si>
  <si>
    <t>jticas@proterixbio.com</t>
  </si>
  <si>
    <t>JT</t>
  </si>
  <si>
    <t>A2M</t>
  </si>
  <si>
    <t>Lot 1</t>
  </si>
  <si>
    <t>bmahender@proterixbio.com</t>
  </si>
  <si>
    <t>BM</t>
  </si>
  <si>
    <t>A1AT</t>
  </si>
  <si>
    <t>Marker</t>
  </si>
  <si>
    <t>Plate</t>
  </si>
  <si>
    <t>Clinical sample Lot</t>
  </si>
  <si>
    <t>Email</t>
  </si>
  <si>
    <t>Dil Factor</t>
  </si>
  <si>
    <t>SH</t>
  </si>
  <si>
    <t>SL</t>
  </si>
  <si>
    <t>'Clinical Sample Log' file location</t>
  </si>
  <si>
    <t>Step 8</t>
  </si>
  <si>
    <t>Select 'Clinical Sample Lot'</t>
  </si>
  <si>
    <t>Step 7</t>
  </si>
  <si>
    <t>Target 2</t>
  </si>
  <si>
    <t>Target 1</t>
  </si>
  <si>
    <t>Step 6</t>
  </si>
  <si>
    <t>Step 5</t>
  </si>
  <si>
    <t>ELISA Kit#</t>
  </si>
  <si>
    <t>Step 4</t>
  </si>
  <si>
    <t>Plate Reader</t>
  </si>
  <si>
    <t>Step 3</t>
  </si>
  <si>
    <t>Operator Initials</t>
  </si>
  <si>
    <t>Step 2</t>
  </si>
  <si>
    <t>Step 1</t>
  </si>
  <si>
    <t>BioMarker Selection</t>
  </si>
  <si>
    <t>Target1</t>
  </si>
  <si>
    <t>Target2</t>
  </si>
  <si>
    <t>Select Plate Type</t>
  </si>
  <si>
    <t>Lot-A</t>
  </si>
  <si>
    <t>Lot-B</t>
  </si>
  <si>
    <t>1A</t>
  </si>
  <si>
    <t>1B</t>
  </si>
  <si>
    <t>2A</t>
  </si>
  <si>
    <t>2B</t>
  </si>
  <si>
    <t>2C</t>
  </si>
  <si>
    <t>2D</t>
  </si>
  <si>
    <t>2E</t>
  </si>
  <si>
    <t>2F</t>
  </si>
  <si>
    <t>2G</t>
  </si>
  <si>
    <t>2H</t>
  </si>
  <si>
    <t>3A</t>
  </si>
  <si>
    <t>3B</t>
  </si>
  <si>
    <t>3C</t>
  </si>
  <si>
    <t>3D</t>
  </si>
  <si>
    <t>3E</t>
  </si>
  <si>
    <t>3F</t>
  </si>
  <si>
    <t>3G</t>
  </si>
  <si>
    <t>3H</t>
  </si>
  <si>
    <t>4A</t>
  </si>
  <si>
    <t>4B</t>
  </si>
  <si>
    <t>4C</t>
  </si>
  <si>
    <t>4D</t>
  </si>
  <si>
    <t>4E</t>
  </si>
  <si>
    <t>4F</t>
  </si>
  <si>
    <t>4G</t>
  </si>
  <si>
    <t>4H</t>
  </si>
  <si>
    <t>5A</t>
  </si>
  <si>
    <t>5B</t>
  </si>
  <si>
    <t>5C</t>
  </si>
  <si>
    <t>5D</t>
  </si>
  <si>
    <t>5E</t>
  </si>
  <si>
    <t>5F</t>
  </si>
  <si>
    <t>5G</t>
  </si>
  <si>
    <t>5H</t>
  </si>
  <si>
    <t>GDF-15</t>
  </si>
  <si>
    <t>RESHAPED and AVERAGED</t>
  </si>
  <si>
    <t>Standards</t>
  </si>
  <si>
    <t>Weight        (between 0 and 1)</t>
  </si>
  <si>
    <t>Please fill the plate layout with the correct symbols</t>
  </si>
  <si>
    <t>Additional Information:</t>
  </si>
  <si>
    <t>Multiple Calibration Curve Analysis</t>
  </si>
  <si>
    <t>Protein Detected:</t>
  </si>
  <si>
    <t>Beginnning Run</t>
  </si>
  <si>
    <t>End Run</t>
  </si>
  <si>
    <t>Concentration Units for Standards</t>
  </si>
  <si>
    <t>Allowed Symbols</t>
  </si>
  <si>
    <t>S#</t>
  </si>
  <si>
    <t>U or U#</t>
  </si>
  <si>
    <t>Negative</t>
  </si>
  <si>
    <t>Please only use the symbols</t>
  </si>
  <si>
    <t>above to fill the table below</t>
  </si>
  <si>
    <t>Dilution F</t>
  </si>
  <si>
    <t xml:space="preserve">                         Experiment Design</t>
  </si>
  <si>
    <t>Run Label</t>
  </si>
  <si>
    <r>
      <t xml:space="preserve">Conc.       </t>
    </r>
    <r>
      <rPr>
        <sz val="10"/>
        <color indexed="8"/>
        <rFont val="Calibri"/>
        <family val="2"/>
      </rPr>
      <t>(if known)</t>
    </r>
  </si>
  <si>
    <t>Notes and Description</t>
  </si>
  <si>
    <t xml:space="preserve">Notes: </t>
  </si>
  <si>
    <t>1: You may NOT use 0 as a Concentration for a Standard</t>
  </si>
  <si>
    <t>2. You many mark up to 20 wells as "NEG". The mean value for those wells will be shown</t>
  </si>
  <si>
    <t>on the standard curve</t>
  </si>
  <si>
    <t>3: You may Leave the unknown samples as a simple "U" or you may want to</t>
  </si>
  <si>
    <t>give the same samples a number, such as "U1" in order to get</t>
  </si>
  <si>
    <t>an average value for that sample</t>
  </si>
  <si>
    <t>4: This Template can handle up to 36 runs, 16 standards, and 200 numbered unknowns</t>
  </si>
  <si>
    <t>5: Each standard can be used up to 10 times, and each numbered unknown or control can</t>
  </si>
  <si>
    <t>appear up to 20 times in each experiment</t>
  </si>
  <si>
    <t>Negative values deleted</t>
  </si>
  <si>
    <t>Run37</t>
  </si>
  <si>
    <t>Run38</t>
  </si>
  <si>
    <t>Run39</t>
  </si>
  <si>
    <t>Run40</t>
  </si>
  <si>
    <t>Run41</t>
  </si>
  <si>
    <t>Run42</t>
  </si>
  <si>
    <t>Run43</t>
  </si>
  <si>
    <t>Run44</t>
  </si>
  <si>
    <t>Run45</t>
  </si>
  <si>
    <t>Run46</t>
  </si>
  <si>
    <t>Run47</t>
  </si>
  <si>
    <t>Run48</t>
  </si>
  <si>
    <t>Plate D</t>
  </si>
  <si>
    <t>Run Order</t>
  </si>
  <si>
    <t>Note: If you would like the Concentration of unknowns in the table below or the samples in the table above to be calculated from another section's Calibration Curve, simply change the "Section" number to your desired section</t>
  </si>
  <si>
    <t>P35</t>
  </si>
  <si>
    <t>P43</t>
  </si>
  <si>
    <t>P51</t>
  </si>
  <si>
    <t>P59</t>
  </si>
  <si>
    <t>P67</t>
  </si>
  <si>
    <t>P75</t>
  </si>
  <si>
    <t>P82</t>
  </si>
  <si>
    <t>P74</t>
  </si>
  <si>
    <t>P66</t>
  </si>
  <si>
    <t>P58</t>
  </si>
  <si>
    <t>P50</t>
  </si>
  <si>
    <t>P42</t>
  </si>
  <si>
    <t>P85</t>
  </si>
  <si>
    <t>P93</t>
  </si>
  <si>
    <t>P101</t>
  </si>
  <si>
    <t>P109</t>
  </si>
  <si>
    <t>P117</t>
  </si>
  <si>
    <t>P125</t>
  </si>
  <si>
    <t>P133</t>
  </si>
  <si>
    <t>P141</t>
  </si>
  <si>
    <t>P149</t>
  </si>
  <si>
    <t>P157</t>
  </si>
  <si>
    <t>P164</t>
  </si>
  <si>
    <t>P156</t>
  </si>
  <si>
    <t>P148</t>
  </si>
  <si>
    <t>P140</t>
  </si>
  <si>
    <t>P132</t>
  </si>
  <si>
    <t>P124</t>
  </si>
  <si>
    <t>P116</t>
  </si>
  <si>
    <t>P108</t>
  </si>
  <si>
    <t>P100</t>
  </si>
  <si>
    <t>P92</t>
  </si>
  <si>
    <t>P84</t>
  </si>
  <si>
    <t>P36</t>
  </si>
  <si>
    <t>P44</t>
  </si>
  <si>
    <t>P52</t>
  </si>
  <si>
    <t>P60</t>
  </si>
  <si>
    <t>P68</t>
  </si>
  <si>
    <t>P76</t>
  </si>
  <si>
    <t>P81</t>
  </si>
  <si>
    <t>P73</t>
  </si>
  <si>
    <t>P65</t>
  </si>
  <si>
    <t>P57</t>
  </si>
  <si>
    <t>P49</t>
  </si>
  <si>
    <t>P41</t>
  </si>
  <si>
    <t>P86</t>
  </si>
  <si>
    <t>P94</t>
  </si>
  <si>
    <t>P102</t>
  </si>
  <si>
    <t>P110</t>
  </si>
  <si>
    <t>P118</t>
  </si>
  <si>
    <t>P126</t>
  </si>
  <si>
    <t>P134</t>
  </si>
  <si>
    <t>P142</t>
  </si>
  <si>
    <t>P150</t>
  </si>
  <si>
    <t>P158</t>
  </si>
  <si>
    <t>P163</t>
  </si>
  <si>
    <t>P155</t>
  </si>
  <si>
    <t>P147</t>
  </si>
  <si>
    <t>P139</t>
  </si>
  <si>
    <t>P131</t>
  </si>
  <si>
    <t>P123</t>
  </si>
  <si>
    <t>P115</t>
  </si>
  <si>
    <t>P107</t>
  </si>
  <si>
    <t>P99</t>
  </si>
  <si>
    <t>P91</t>
  </si>
  <si>
    <t>P83</t>
  </si>
  <si>
    <t>P37</t>
  </si>
  <si>
    <t>P45</t>
  </si>
  <si>
    <t>P53</t>
  </si>
  <si>
    <t>P61</t>
  </si>
  <si>
    <t>P69</t>
  </si>
  <si>
    <t>P77</t>
  </si>
  <si>
    <t>P80</t>
  </si>
  <si>
    <t>P72</t>
  </si>
  <si>
    <t>P64</t>
  </si>
  <si>
    <t>P56</t>
  </si>
  <si>
    <t>P48</t>
  </si>
  <si>
    <t>P40</t>
  </si>
  <si>
    <t>P87</t>
  </si>
  <si>
    <t>P95</t>
  </si>
  <si>
    <t>P103</t>
  </si>
  <si>
    <t>P111</t>
  </si>
  <si>
    <t>P119</t>
  </si>
  <si>
    <t>P127</t>
  </si>
  <si>
    <t>P135</t>
  </si>
  <si>
    <t>P143</t>
  </si>
  <si>
    <t>P151</t>
  </si>
  <si>
    <t>P159</t>
  </si>
  <si>
    <t>P162</t>
  </si>
  <si>
    <t>P154</t>
  </si>
  <si>
    <t>P146</t>
  </si>
  <si>
    <t>P138</t>
  </si>
  <si>
    <t>P130</t>
  </si>
  <si>
    <t>P122</t>
  </si>
  <si>
    <t>P114</t>
  </si>
  <si>
    <t>P106</t>
  </si>
  <si>
    <t>P98</t>
  </si>
  <si>
    <t>P90</t>
  </si>
  <si>
    <t>P38</t>
  </si>
  <si>
    <t>P46</t>
  </si>
  <si>
    <t>P54</t>
  </si>
  <si>
    <t>P62</t>
  </si>
  <si>
    <t>P70</t>
  </si>
  <si>
    <t>P78</t>
  </si>
  <si>
    <t>P79</t>
  </si>
  <si>
    <t>P71</t>
  </si>
  <si>
    <t>P63</t>
  </si>
  <si>
    <t>P55</t>
  </si>
  <si>
    <t>P47</t>
  </si>
  <si>
    <t>P39</t>
  </si>
  <si>
    <t>P88</t>
  </si>
  <si>
    <t>P96</t>
  </si>
  <si>
    <t>P104</t>
  </si>
  <si>
    <t>P112</t>
  </si>
  <si>
    <t>P120</t>
  </si>
  <si>
    <t>P128</t>
  </si>
  <si>
    <t>P136</t>
  </si>
  <si>
    <t>P144</t>
  </si>
  <si>
    <t>P152</t>
  </si>
  <si>
    <t>P160</t>
  </si>
  <si>
    <t>P161</t>
  </si>
  <si>
    <t>P153</t>
  </si>
  <si>
    <t>P145</t>
  </si>
  <si>
    <t>P137</t>
  </si>
  <si>
    <t>P129</t>
  </si>
  <si>
    <t>P121</t>
  </si>
  <si>
    <t>P113</t>
  </si>
  <si>
    <t>P105</t>
  </si>
  <si>
    <t>P97</t>
  </si>
  <si>
    <t>P89</t>
  </si>
  <si>
    <t>Experimental Design</t>
  </si>
  <si>
    <t>N:\People\Shivalik\Projects\Clinical_Data_Analysis\Automatic_Data_Handling\Example files\Clinical sample logVer3__ShivalikEdited.xlsm</t>
  </si>
  <si>
    <t>10-001</t>
  </si>
  <si>
    <t>10-002</t>
  </si>
  <si>
    <t>10-003</t>
  </si>
  <si>
    <t>10-004</t>
  </si>
  <si>
    <t>10-005</t>
  </si>
  <si>
    <t>10-006</t>
  </si>
  <si>
    <t>10-007</t>
  </si>
  <si>
    <t>10-008</t>
  </si>
  <si>
    <t>10-009</t>
  </si>
  <si>
    <t>10-010</t>
  </si>
  <si>
    <t>10-011</t>
  </si>
  <si>
    <t>10-012</t>
  </si>
  <si>
    <t>10-013</t>
  </si>
  <si>
    <t>10-014</t>
  </si>
  <si>
    <t>10-015</t>
  </si>
  <si>
    <t>10-016</t>
  </si>
  <si>
    <t>10-017</t>
  </si>
  <si>
    <t>10-018</t>
  </si>
  <si>
    <t>10-019</t>
  </si>
  <si>
    <t>10-020</t>
  </si>
  <si>
    <t>10-021</t>
  </si>
  <si>
    <t>10-022</t>
  </si>
  <si>
    <t>10-023</t>
  </si>
  <si>
    <t>10-024</t>
  </si>
  <si>
    <t>10-025</t>
  </si>
  <si>
    <t>10-026</t>
  </si>
  <si>
    <t>10-027</t>
  </si>
  <si>
    <t>10-028</t>
  </si>
  <si>
    <t>10-029</t>
  </si>
  <si>
    <t>10-030</t>
  </si>
  <si>
    <t>10-031</t>
  </si>
  <si>
    <t>10-032</t>
  </si>
  <si>
    <t>10-033</t>
  </si>
  <si>
    <t>10-034</t>
  </si>
  <si>
    <t>07-026</t>
  </si>
  <si>
    <t>07-027</t>
  </si>
  <si>
    <t>08-002</t>
  </si>
  <si>
    <t>08-003</t>
  </si>
  <si>
    <t>08-005</t>
  </si>
  <si>
    <t>08-006</t>
  </si>
  <si>
    <t>08-007</t>
  </si>
  <si>
    <t>08-011</t>
  </si>
  <si>
    <t>08-014</t>
  </si>
  <si>
    <t>08-017</t>
  </si>
  <si>
    <t>08-020</t>
  </si>
  <si>
    <t>08-021</t>
  </si>
  <si>
    <t>08-023</t>
  </si>
  <si>
    <t>08-025</t>
  </si>
  <si>
    <t>08-027</t>
  </si>
  <si>
    <t>08-028</t>
  </si>
  <si>
    <t>08-030</t>
  </si>
  <si>
    <t>08-031</t>
  </si>
  <si>
    <t>08-033</t>
  </si>
  <si>
    <t>08-035</t>
  </si>
  <si>
    <t>08-036</t>
  </si>
  <si>
    <t>09-005</t>
  </si>
  <si>
    <t>09-006</t>
  </si>
  <si>
    <t>09-008</t>
  </si>
  <si>
    <t>09-011</t>
  </si>
  <si>
    <t>09-012</t>
  </si>
  <si>
    <t>09-013</t>
  </si>
  <si>
    <t>09-014</t>
  </si>
  <si>
    <t>09-019</t>
  </si>
  <si>
    <t>09-021</t>
  </si>
  <si>
    <t>09-023</t>
  </si>
  <si>
    <t>09-041</t>
  </si>
  <si>
    <t>09-042</t>
  </si>
  <si>
    <t>09-043</t>
  </si>
  <si>
    <t>10-035</t>
  </si>
  <si>
    <t>6A</t>
  </si>
  <si>
    <t>10-036</t>
  </si>
  <si>
    <t>6B</t>
  </si>
  <si>
    <t>10-037</t>
  </si>
  <si>
    <t>10-038</t>
  </si>
  <si>
    <t>10-039</t>
  </si>
  <si>
    <t>10-040</t>
  </si>
  <si>
    <t>10-041</t>
  </si>
  <si>
    <t>10-042</t>
  </si>
  <si>
    <t>10-043</t>
  </si>
  <si>
    <t>10-044</t>
  </si>
  <si>
    <t>10-045</t>
  </si>
  <si>
    <t>10-046</t>
  </si>
  <si>
    <t>10-047</t>
  </si>
  <si>
    <t>10-048</t>
  </si>
  <si>
    <t>10-049</t>
  </si>
  <si>
    <t>10-050</t>
  </si>
  <si>
    <t>10-051</t>
  </si>
  <si>
    <t>10-052</t>
  </si>
  <si>
    <t>10-053</t>
  </si>
  <si>
    <t>10-054</t>
  </si>
  <si>
    <t>10-055</t>
  </si>
  <si>
    <t>10-056</t>
  </si>
  <si>
    <t>10-057</t>
  </si>
  <si>
    <t>10-058</t>
  </si>
  <si>
    <t>10-059</t>
  </si>
  <si>
    <t>10-060</t>
  </si>
  <si>
    <t>10-061</t>
  </si>
  <si>
    <t>10-062</t>
  </si>
  <si>
    <t>10-063</t>
  </si>
  <si>
    <t>10-064</t>
  </si>
  <si>
    <t>10-065</t>
  </si>
  <si>
    <t>10-066</t>
  </si>
  <si>
    <t>10-067</t>
  </si>
  <si>
    <t>10-068</t>
  </si>
  <si>
    <t>10-069</t>
  </si>
  <si>
    <t>10-070</t>
  </si>
  <si>
    <t>10-071</t>
  </si>
  <si>
    <t>10-072</t>
  </si>
  <si>
    <t>10-073</t>
  </si>
  <si>
    <t>10-074</t>
  </si>
  <si>
    <t>10-075</t>
  </si>
  <si>
    <t>10-076</t>
  </si>
  <si>
    <t>10-077</t>
  </si>
  <si>
    <t>10-078</t>
  </si>
  <si>
    <t>10-079</t>
  </si>
  <si>
    <t>10-080</t>
  </si>
  <si>
    <t>10-081</t>
  </si>
  <si>
    <t>10-082</t>
  </si>
  <si>
    <t>09-044</t>
  </si>
  <si>
    <t>09-045</t>
  </si>
  <si>
    <t>09-046</t>
  </si>
  <si>
    <t>09-047</t>
  </si>
  <si>
    <t>09-048</t>
  </si>
  <si>
    <t>09-049</t>
  </si>
  <si>
    <t>09-050</t>
  </si>
  <si>
    <t>09-051</t>
  </si>
  <si>
    <t>09-052</t>
  </si>
  <si>
    <t>09-053</t>
  </si>
  <si>
    <t>09-054</t>
  </si>
  <si>
    <t>09-055</t>
  </si>
  <si>
    <t>09-056</t>
  </si>
  <si>
    <t>09-057</t>
  </si>
  <si>
    <t>09-058</t>
  </si>
  <si>
    <t>09-059</t>
  </si>
  <si>
    <t>09-060</t>
  </si>
  <si>
    <t>09-061</t>
  </si>
  <si>
    <t>09-062</t>
  </si>
  <si>
    <t>09-063</t>
  </si>
  <si>
    <t>09-064</t>
  </si>
  <si>
    <t>09-065</t>
  </si>
  <si>
    <t>09-066</t>
  </si>
  <si>
    <t>09-067</t>
  </si>
  <si>
    <t>09-068</t>
  </si>
  <si>
    <t>09-069</t>
  </si>
  <si>
    <t>09-070</t>
  </si>
  <si>
    <t>09-071</t>
  </si>
  <si>
    <t>09-072</t>
  </si>
  <si>
    <t>09-073</t>
  </si>
  <si>
    <t>09-074</t>
  </si>
  <si>
    <t>09-075</t>
  </si>
  <si>
    <t>09-076</t>
  </si>
  <si>
    <t>09-077</t>
  </si>
  <si>
    <t>09-078</t>
  </si>
  <si>
    <t>09-079</t>
  </si>
  <si>
    <t>09-080</t>
  </si>
  <si>
    <t>09-081</t>
  </si>
  <si>
    <t>09-082</t>
  </si>
  <si>
    <t>09-083</t>
  </si>
  <si>
    <t>09-084</t>
  </si>
  <si>
    <t>09-085</t>
  </si>
  <si>
    <t>09-086</t>
  </si>
  <si>
    <t>09-087</t>
  </si>
  <si>
    <t>09-088</t>
  </si>
  <si>
    <t>09-089</t>
  </si>
  <si>
    <t>09-090</t>
  </si>
  <si>
    <t>09-091</t>
  </si>
  <si>
    <t>I:\COPD\BIO-TEK Gen5 Uquant 384 - B\14Aug2018 raw data BM.xlsx</t>
  </si>
  <si>
    <t>Cystatin-C</t>
  </si>
  <si>
    <t>Wavelengths: 450, 650</t>
  </si>
  <si>
    <t>Process Control</t>
  </si>
  <si>
    <t>Spike High</t>
  </si>
  <si>
    <t>Spike Low</t>
  </si>
  <si>
    <t>Fix</t>
  </si>
  <si>
    <t>Sometimes Workbook hangs while saving</t>
  </si>
  <si>
    <t>Reference</t>
  </si>
  <si>
    <t>https://blogs.technet.microsoft.com/the_microsoft_excel_support_team_blog/2012/04/12/excel-hangs-or-becomes-unresponsive-when-saving-or-closing-a-workbook/</t>
  </si>
  <si>
    <t>Went to Excel Options &gt; Advanced &gt; 'When calculating this workbook' and unselected 'update external links' . Might also want to turn off 'Save external links values' if problem persists</t>
  </si>
  <si>
    <t>Issue</t>
  </si>
  <si>
    <t>Problem</t>
  </si>
  <si>
    <t>Sample Dilution Fac</t>
  </si>
  <si>
    <t>Sample Dil Fac</t>
  </si>
  <si>
    <t>Sample Dil</t>
  </si>
  <si>
    <t>PC1</t>
  </si>
  <si>
    <t>PC2</t>
  </si>
  <si>
    <t>PC3</t>
  </si>
  <si>
    <t>PC4</t>
  </si>
  <si>
    <t>PC5</t>
  </si>
  <si>
    <t>PC6</t>
  </si>
  <si>
    <t>PC7</t>
  </si>
  <si>
    <t>PC8</t>
  </si>
  <si>
    <t>U1 (PC)</t>
  </si>
  <si>
    <t>Pass Criteria</t>
  </si>
  <si>
    <t>Calibrant</t>
  </si>
  <si>
    <t>LLOQ/ULOQ Corr</t>
  </si>
  <si>
    <t>384well_MASTER_AnalysisWorksheet_SB_v6_48columns_v19.xlsm</t>
  </si>
  <si>
    <t>Cells not updating automatically</t>
  </si>
  <si>
    <t>Set to Auto mode</t>
  </si>
  <si>
    <t>Assay Date &amp; Time</t>
  </si>
  <si>
    <r>
      <t xml:space="preserve">BioTEK </t>
    </r>
    <r>
      <rPr>
        <sz val="11"/>
        <color theme="1"/>
        <rFont val="Calibri"/>
        <family val="2"/>
      </rPr>
      <t>µQ</t>
    </r>
    <r>
      <rPr>
        <sz val="11"/>
        <color theme="1"/>
        <rFont val="Calibri"/>
        <family val="2"/>
        <scheme val="minor"/>
      </rPr>
      <t xml:space="preserve">uant A </t>
    </r>
  </si>
  <si>
    <r>
      <t xml:space="preserve">BioTEK </t>
    </r>
    <r>
      <rPr>
        <sz val="11"/>
        <color theme="1"/>
        <rFont val="Calibri"/>
        <family val="2"/>
      </rPr>
      <t>µQ</t>
    </r>
    <r>
      <rPr>
        <sz val="11"/>
        <color theme="1"/>
        <rFont val="Calibri"/>
        <family val="2"/>
        <scheme val="minor"/>
      </rPr>
      <t>uant B</t>
    </r>
  </si>
  <si>
    <t># of sampled</t>
  </si>
  <si>
    <t>Analysis Date &amp; Time</t>
  </si>
  <si>
    <t>Analysis Workbook version</t>
  </si>
  <si>
    <t>Curve Fit Parameters</t>
  </si>
  <si>
    <t>Calibration Curve &amp; Recovered Conc.</t>
  </si>
  <si>
    <t>Process control (PC)</t>
  </si>
  <si>
    <t>OVERALL</t>
  </si>
  <si>
    <t>Assay Status</t>
  </si>
  <si>
    <t>Metric</t>
  </si>
  <si>
    <t>Pass/fail</t>
  </si>
  <si>
    <t>Reason</t>
  </si>
  <si>
    <t>- Process control has to recover to 80/120</t>
  </si>
  <si>
    <t>- &lt; 20% CV</t>
  </si>
  <si>
    <t>Fit Parameter</t>
  </si>
  <si>
    <t>BioTEK µQuant B</t>
  </si>
  <si>
    <t>U2 (SH)</t>
  </si>
  <si>
    <t>U3 (SL)</t>
  </si>
  <si>
    <t>Sample Lots -- Lot1 &amp; Lot2</t>
  </si>
  <si>
    <t>Sample Lot-A</t>
  </si>
  <si>
    <t>Sample Lot-B</t>
  </si>
  <si>
    <t>5 PL Fit Parameters</t>
  </si>
  <si>
    <t>Rawdata File</t>
  </si>
  <si>
    <t>*</t>
  </si>
  <si>
    <t>Recorded (avg)</t>
  </si>
  <si>
    <t>% Recovery (avg)</t>
  </si>
  <si>
    <t>Dil factor</t>
  </si>
  <si>
    <t>Run Controls Summary</t>
  </si>
  <si>
    <t>% CV</t>
  </si>
  <si>
    <t>232Aug2018 batch</t>
  </si>
  <si>
    <t>Ux_ %CV</t>
  </si>
  <si>
    <t>Check</t>
  </si>
  <si>
    <t>(1) Select biomarker</t>
  </si>
  <si>
    <t>(2) Sample Setup</t>
  </si>
  <si>
    <t>Dilution Fac</t>
  </si>
  <si>
    <t>Assay Analysis TEMPLATE 384well_Lot 55_20180828_BM</t>
  </si>
  <si>
    <t>20180828</t>
  </si>
  <si>
    <t>Pass/Fail Parameters</t>
  </si>
  <si>
    <t>Process Controls</t>
  </si>
  <si>
    <t>Assay Summary</t>
  </si>
  <si>
    <t>I:\COPD\BIO-TEK Gen5 Uquant 384 - B\22Aug2018 raw data set 1 BM.xlsx</t>
  </si>
  <si>
    <t>C:\Assay_Results\RESULTS_GDF-15_20180828_13.28.21</t>
  </si>
  <si>
    <t>C:\Assay_Results\RESULTS_GDF-15_20180828_13.28.21\Original data files</t>
  </si>
  <si>
    <t>C:\Assay_Results\RESULTS_GDF-15_20180828_13.28.21\RESULTS_GDF-15_20180828_13.28.21_PASS.PDF</t>
  </si>
  <si>
    <t>C:\Assay_Results\RESULTS_GDF-15_20180828_13.28.21\RESULTS_GDF-15_20180828_13.28.21_PASS.CSV</t>
  </si>
  <si>
    <t>C:\Assay_Results\RESULTS_GDF-15_20180828_13.28.21\RESULTS_GDF-15_20180828_13.28.21_PASS.XLSM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</si>
</sst>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0.000"/>
    <numFmt numFmtId="166" formatCode="0.0"/>
    <numFmt numFmtId="167" formatCode="[$-409]d\-mmm\-yyyy;@"/>
    <numFmt numFmtId="168" formatCode="0.0000"/>
  </numFmts>
  <fonts count="82" x14ac:knownFonts="1">
    <font>
      <sz val="11"/>
      <color theme="1"/>
      <name val="Calibri"/>
      <family val="2"/>
      <scheme val="minor"/>
    </font>
    <font>
      <sz val="11"/>
      <name val="Calibri"/>
      <family val="2"/>
    </font>
    <font>
      <sz val="11"/>
      <color indexed="8"/>
      <name val="Calibri"/>
      <family val="2"/>
    </font>
    <font>
      <sz val="11"/>
      <color indexed="8"/>
      <name val="Calibri"/>
      <family val="2"/>
    </font>
    <font>
      <b/>
      <sz val="11"/>
      <color indexed="8"/>
      <name val="Calibri"/>
      <family val="2"/>
    </font>
    <font>
      <sz val="8"/>
      <name val="Calibri"/>
      <family val="2"/>
    </font>
    <font>
      <sz val="7"/>
      <color indexed="8"/>
      <name val="Calibri"/>
      <family val="2"/>
    </font>
    <font>
      <sz val="14"/>
      <color indexed="8"/>
      <name val="Calibri"/>
      <family val="2"/>
    </font>
    <font>
      <b/>
      <sz val="11"/>
      <color indexed="8"/>
      <name val="Times New Roman"/>
      <family val="1"/>
    </font>
    <font>
      <sz val="11"/>
      <color indexed="8"/>
      <name val="Times New Roman"/>
      <family val="1"/>
    </font>
    <font>
      <b/>
      <sz val="12"/>
      <color indexed="8"/>
      <name val="Times New Roman"/>
      <family val="1"/>
    </font>
    <font>
      <b/>
      <sz val="14"/>
      <color indexed="8"/>
      <name val="Times New Roman"/>
      <family val="1"/>
    </font>
    <font>
      <b/>
      <sz val="13"/>
      <color indexed="8"/>
      <name val="Times New Roman"/>
      <family val="1"/>
    </font>
    <font>
      <sz val="12"/>
      <color indexed="8"/>
      <name val="Times New Roman"/>
      <family val="1"/>
    </font>
    <font>
      <b/>
      <sz val="12"/>
      <color indexed="8"/>
      <name val="Calibri"/>
      <family val="2"/>
    </font>
    <font>
      <b/>
      <sz val="10"/>
      <color indexed="8"/>
      <name val="Calibri"/>
      <family val="2"/>
    </font>
    <font>
      <b/>
      <sz val="10"/>
      <color indexed="8"/>
      <name val="Times New Roman"/>
      <family val="1"/>
    </font>
    <font>
      <sz val="9"/>
      <color indexed="8"/>
      <name val="Times New Roman"/>
      <family val="1"/>
    </font>
    <font>
      <b/>
      <sz val="16"/>
      <color indexed="8"/>
      <name val="Times New Roman"/>
      <family val="1"/>
    </font>
    <font>
      <sz val="10"/>
      <name val="Arial"/>
      <family val="2"/>
    </font>
    <font>
      <sz val="11"/>
      <color theme="1"/>
      <name val="Calibri"/>
      <family val="2"/>
      <scheme val="minor"/>
    </font>
    <font>
      <b/>
      <sz val="11"/>
      <color theme="1"/>
      <name val="Calibri"/>
      <family val="2"/>
      <scheme val="minor"/>
    </font>
    <font>
      <sz val="11"/>
      <name val="Calibri"/>
      <family val="2"/>
      <scheme val="minor"/>
    </font>
    <font>
      <sz val="10"/>
      <color theme="1"/>
      <name val="Calibri"/>
      <family val="2"/>
      <scheme val="minor"/>
    </font>
    <font>
      <b/>
      <sz val="12"/>
      <color theme="1"/>
      <name val="Calibri"/>
      <family val="2"/>
      <scheme val="minor"/>
    </font>
    <font>
      <sz val="14"/>
      <color theme="1"/>
      <name val="Calibri"/>
      <family val="2"/>
      <scheme val="minor"/>
    </font>
    <font>
      <b/>
      <sz val="10"/>
      <color theme="1"/>
      <name val="Calibri"/>
      <family val="2"/>
      <scheme val="minor"/>
    </font>
    <font>
      <sz val="12"/>
      <color theme="1"/>
      <name val="Calibri"/>
      <family val="2"/>
      <scheme val="minor"/>
    </font>
    <font>
      <sz val="9"/>
      <color theme="1"/>
      <name val="Calibri"/>
      <family val="2"/>
      <scheme val="minor"/>
    </font>
    <font>
      <b/>
      <sz val="8"/>
      <color theme="1"/>
      <name val="Calibri"/>
      <family val="2"/>
      <scheme val="minor"/>
    </font>
    <font>
      <sz val="8"/>
      <color theme="1"/>
      <name val="Calibri"/>
      <family val="2"/>
      <scheme val="minor"/>
    </font>
    <font>
      <sz val="9"/>
      <name val="Calibri"/>
      <family val="2"/>
      <scheme val="minor"/>
    </font>
    <font>
      <b/>
      <sz val="16"/>
      <color theme="1"/>
      <name val="Calibri"/>
      <family val="2"/>
      <scheme val="minor"/>
    </font>
    <font>
      <b/>
      <sz val="20"/>
      <color rgb="FF000000"/>
      <name val="Calibri"/>
      <family val="2"/>
    </font>
    <font>
      <sz val="8"/>
      <color rgb="FF000000"/>
      <name val="Tahoma"/>
      <family val="2"/>
    </font>
    <font>
      <b/>
      <sz val="18"/>
      <color theme="1"/>
      <name val="Calibri"/>
      <family val="2"/>
      <scheme val="minor"/>
    </font>
    <font>
      <sz val="11"/>
      <color theme="0"/>
      <name val="Calibri"/>
      <family val="2"/>
      <scheme val="minor"/>
    </font>
    <font>
      <b/>
      <sz val="11"/>
      <color rgb="FFFF0000"/>
      <name val="Calibri"/>
      <family val="2"/>
      <scheme val="minor"/>
    </font>
    <font>
      <b/>
      <sz val="8"/>
      <color indexed="8"/>
      <name val="Times New Roman"/>
      <family val="1"/>
    </font>
    <font>
      <sz val="8"/>
      <color indexed="8"/>
      <name val="Times New Roman"/>
      <family val="1"/>
    </font>
    <font>
      <sz val="10"/>
      <color rgb="FF000000"/>
      <name val="Arial"/>
      <family val="2"/>
    </font>
    <font>
      <b/>
      <u/>
      <sz val="10"/>
      <color rgb="FF000000"/>
      <name val="Arial"/>
      <family val="2"/>
    </font>
    <font>
      <sz val="10"/>
      <color rgb="FF27413E"/>
      <name val="Arial"/>
      <family val="2"/>
    </font>
    <font>
      <sz val="7"/>
      <color rgb="FF000000"/>
      <name val="Arial"/>
      <family val="2"/>
    </font>
    <font>
      <sz val="16"/>
      <color theme="0"/>
      <name val="Calibri"/>
      <family val="2"/>
      <scheme val="minor"/>
    </font>
    <font>
      <b/>
      <sz val="18"/>
      <color theme="0"/>
      <name val="Calibri"/>
      <family val="2"/>
      <scheme val="minor"/>
    </font>
    <font>
      <sz val="11"/>
      <color rgb="FF9C0006"/>
      <name val="Calibri"/>
      <family val="2"/>
      <scheme val="minor"/>
    </font>
    <font>
      <b/>
      <sz val="11"/>
      <color theme="0"/>
      <name val="Calibri"/>
      <family val="2"/>
      <scheme val="minor"/>
    </font>
    <font>
      <sz val="11"/>
      <color rgb="FFFF0000"/>
      <name val="Calibri"/>
      <family val="2"/>
      <scheme val="minor"/>
    </font>
    <font>
      <sz val="10"/>
      <color theme="0"/>
      <name val="Calibri"/>
      <family val="2"/>
      <scheme val="minor"/>
    </font>
    <font>
      <b/>
      <i/>
      <sz val="10"/>
      <color theme="0"/>
      <name val="Calibri"/>
      <family val="2"/>
      <scheme val="minor"/>
    </font>
    <font>
      <u/>
      <sz val="11"/>
      <color theme="10"/>
      <name val="Calibri"/>
      <family val="2"/>
      <scheme val="minor"/>
    </font>
    <font>
      <b/>
      <i/>
      <sz val="11"/>
      <color theme="0"/>
      <name val="Calibri"/>
      <family val="2"/>
      <scheme val="minor"/>
    </font>
    <font>
      <b/>
      <i/>
      <sz val="12"/>
      <color theme="0"/>
      <name val="Calibri"/>
      <family val="2"/>
      <scheme val="minor"/>
    </font>
    <font>
      <b/>
      <i/>
      <sz val="10"/>
      <color theme="1"/>
      <name val="Calibri"/>
      <family val="2"/>
      <scheme val="minor"/>
    </font>
    <font>
      <b/>
      <i/>
      <sz val="11"/>
      <color theme="1"/>
      <name val="Calibri"/>
      <family val="2"/>
      <scheme val="minor"/>
    </font>
    <font>
      <i/>
      <sz val="10"/>
      <color theme="1"/>
      <name val="Calibri"/>
      <family val="2"/>
      <scheme val="minor"/>
    </font>
    <font>
      <b/>
      <i/>
      <sz val="10"/>
      <color theme="0"/>
      <name val="Calibri"/>
      <family val="2"/>
    </font>
    <font>
      <sz val="9"/>
      <color rgb="FF000000"/>
      <name val="Calibri"/>
      <family val="2"/>
    </font>
    <font>
      <sz val="10"/>
      <name val="Calibri"/>
      <family val="2"/>
      <scheme val="minor"/>
    </font>
    <font>
      <i/>
      <sz val="10"/>
      <color theme="1" tint="0.499984740745262"/>
      <name val="Calibri"/>
      <family val="2"/>
      <scheme val="minor"/>
    </font>
    <font>
      <b/>
      <sz val="11"/>
      <color theme="8" tint="-0.249977111117893"/>
      <name val="Calibri"/>
      <family val="2"/>
      <scheme val="minor"/>
    </font>
    <font>
      <b/>
      <u/>
      <sz val="11"/>
      <color theme="1"/>
      <name val="Calibri"/>
      <family val="2"/>
      <scheme val="minor"/>
    </font>
    <font>
      <b/>
      <i/>
      <sz val="11"/>
      <color rgb="FFFFFF5D"/>
      <name val="Calibri"/>
      <family val="2"/>
      <scheme val="minor"/>
    </font>
    <font>
      <b/>
      <i/>
      <sz val="11"/>
      <color theme="9" tint="0.39997558519241921"/>
      <name val="Calibri"/>
      <family val="2"/>
      <scheme val="minor"/>
    </font>
    <font>
      <sz val="11"/>
      <color theme="6" tint="0.59999389629810485"/>
      <name val="Calibri"/>
      <family val="2"/>
      <scheme val="minor"/>
    </font>
    <font>
      <sz val="10"/>
      <color indexed="8"/>
      <name val="Calibri"/>
      <family val="2"/>
    </font>
    <font>
      <sz val="14"/>
      <color indexed="8"/>
      <name val="Times New Roman"/>
      <family val="1"/>
    </font>
    <font>
      <sz val="8"/>
      <color theme="0"/>
      <name val="Calibri"/>
      <family val="2"/>
      <scheme val="minor"/>
    </font>
    <font>
      <sz val="11"/>
      <color theme="1"/>
      <name val="Calibri"/>
      <family val="2"/>
    </font>
    <font>
      <i/>
      <sz val="11"/>
      <color theme="5"/>
      <name val="Times New Roman"/>
      <family val="1"/>
    </font>
    <font>
      <sz val="8"/>
      <name val="Calibri"/>
      <family val="2"/>
      <scheme val="minor"/>
    </font>
    <font>
      <b/>
      <i/>
      <sz val="14"/>
      <color theme="1"/>
      <name val="Calibri"/>
      <family val="2"/>
      <scheme val="minor"/>
    </font>
    <font>
      <sz val="10"/>
      <color rgb="FFFF0000"/>
      <name val="Calibri"/>
      <family val="2"/>
      <scheme val="minor"/>
    </font>
    <font>
      <b/>
      <sz val="9"/>
      <color theme="1"/>
      <name val="Calibri"/>
      <family val="2"/>
      <scheme val="minor"/>
    </font>
    <font>
      <i/>
      <sz val="8"/>
      <color rgb="FFFF0000"/>
      <name val="Calibri"/>
      <family val="2"/>
      <scheme val="minor"/>
    </font>
    <font>
      <i/>
      <sz val="11"/>
      <color theme="1"/>
      <name val="Calibri"/>
      <family val="2"/>
      <scheme val="minor"/>
    </font>
    <font>
      <b/>
      <sz val="8"/>
      <color indexed="8"/>
      <name val="Calibri"/>
      <family val="2"/>
      <scheme val="minor"/>
    </font>
    <font>
      <sz val="8"/>
      <color indexed="8"/>
      <name val="Calibri"/>
      <family val="2"/>
      <scheme val="minor"/>
    </font>
    <font>
      <sz val="12"/>
      <color theme="0"/>
      <name val="Calibri"/>
      <family val="2"/>
      <scheme val="minor"/>
    </font>
    <font>
      <sz val="11"/>
      <color rgb="FF006100"/>
      <name val="Calibri"/>
      <family val="2"/>
      <scheme val="minor"/>
    </font>
    <font>
      <sz val="8"/>
      <color rgb="FF006100"/>
      <name val="Calibri"/>
      <family val="2"/>
      <scheme val="minor"/>
    </font>
  </fonts>
  <fills count="58">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50"/>
        <bgColor indexed="64"/>
      </patternFill>
    </fill>
    <fill>
      <patternFill patternType="solid">
        <fgColor indexed="22"/>
        <bgColor indexed="64"/>
      </patternFill>
    </fill>
    <fill>
      <patternFill patternType="solid">
        <fgColor indexed="51"/>
        <bgColor indexed="64"/>
      </patternFill>
    </fill>
    <fill>
      <patternFill patternType="solid">
        <fgColor indexed="10"/>
        <bgColor indexed="64"/>
      </patternFill>
    </fill>
    <fill>
      <patternFill patternType="solid">
        <fgColor indexed="47"/>
        <bgColor indexed="64"/>
      </patternFill>
    </fill>
    <fill>
      <patternFill patternType="solid">
        <fgColor rgb="FF92D050"/>
        <bgColor indexed="64"/>
      </patternFill>
    </fill>
    <fill>
      <patternFill patternType="solid">
        <fgColor theme="8" tint="0.79998168889431442"/>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CC"/>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rgb="FFFF0000"/>
        <bgColor indexed="64"/>
      </patternFill>
    </fill>
    <fill>
      <patternFill patternType="solid">
        <fgColor rgb="FFFFFF99"/>
        <bgColor indexed="64"/>
      </patternFill>
    </fill>
    <fill>
      <patternFill patternType="solid">
        <fgColor rgb="FF99CCFF"/>
        <bgColor indexed="64"/>
      </patternFill>
    </fill>
    <fill>
      <patternFill patternType="solid">
        <fgColor rgb="FF247CBD"/>
        <bgColor indexed="64"/>
      </patternFill>
    </fill>
    <fill>
      <patternFill patternType="solid">
        <fgColor rgb="FFD8E9F9"/>
        <bgColor indexed="64"/>
      </patternFill>
    </fill>
    <fill>
      <patternFill patternType="solid">
        <fgColor rgb="FFC9E0F4"/>
        <bgColor indexed="64"/>
      </patternFill>
    </fill>
    <fill>
      <patternFill patternType="solid">
        <fgColor rgb="FFABCEEA"/>
        <bgColor indexed="64"/>
      </patternFill>
    </fill>
    <fill>
      <patternFill patternType="solid">
        <fgColor rgb="FFE8F3FF"/>
        <bgColor indexed="64"/>
      </patternFill>
    </fill>
    <fill>
      <patternFill patternType="solid">
        <fgColor rgb="FF3385C2"/>
        <bgColor indexed="64"/>
      </patternFill>
    </fill>
    <fill>
      <patternFill patternType="solid">
        <fgColor rgb="FF428EC7"/>
        <bgColor indexed="64"/>
      </patternFill>
    </fill>
    <fill>
      <patternFill patternType="solid">
        <fgColor rgb="FF8DBCE0"/>
        <bgColor indexed="64"/>
      </patternFill>
    </fill>
    <fill>
      <patternFill patternType="solid">
        <fgColor rgb="FF7EB2DB"/>
        <bgColor indexed="64"/>
      </patternFill>
    </fill>
    <fill>
      <patternFill patternType="solid">
        <fgColor rgb="FF9CC5E5"/>
        <bgColor indexed="64"/>
      </patternFill>
    </fill>
    <fill>
      <patternFill patternType="solid">
        <fgColor rgb="FF6FA9D6"/>
        <bgColor indexed="64"/>
      </patternFill>
    </fill>
    <fill>
      <patternFill patternType="solid">
        <fgColor rgb="FF60A0D1"/>
        <bgColor indexed="64"/>
      </patternFill>
    </fill>
    <fill>
      <patternFill patternType="solid">
        <fgColor rgb="FF5197CC"/>
        <bgColor indexed="64"/>
      </patternFill>
    </fill>
    <fill>
      <patternFill patternType="solid">
        <fgColor rgb="FFBAD7EF"/>
        <bgColor indexed="64"/>
      </patternFill>
    </fill>
    <fill>
      <patternFill patternType="solid">
        <fgColor rgb="FF0070C0"/>
        <bgColor indexed="64"/>
      </patternFill>
    </fill>
    <fill>
      <patternFill patternType="solid">
        <fgColor theme="0" tint="-0.34998626667073579"/>
        <bgColor indexed="64"/>
      </patternFill>
    </fill>
    <fill>
      <patternFill patternType="solid">
        <fgColor theme="3" tint="-0.249977111117893"/>
        <bgColor indexed="64"/>
      </patternFill>
    </fill>
    <fill>
      <patternFill patternType="solid">
        <fgColor theme="1"/>
        <bgColor indexed="64"/>
      </patternFill>
    </fill>
    <fill>
      <patternFill patternType="solid">
        <fgColor rgb="FFFFC7CE"/>
      </patternFill>
    </fill>
    <fill>
      <patternFill patternType="solid">
        <fgColor theme="0" tint="-0.499984740745262"/>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theme="6" tint="-0.499984740745262"/>
        <bgColor indexed="64"/>
      </patternFill>
    </fill>
    <fill>
      <patternFill patternType="solid">
        <fgColor rgb="FFFFFF5D"/>
        <bgColor indexed="64"/>
      </patternFill>
    </fill>
    <fill>
      <patternFill patternType="solid">
        <fgColor theme="9" tint="0.39997558519241921"/>
        <bgColor indexed="64"/>
      </patternFill>
    </fill>
    <fill>
      <patternFill patternType="solid">
        <fgColor rgb="FFFFFF9F"/>
        <bgColor indexed="64"/>
      </patternFill>
    </fill>
    <fill>
      <patternFill patternType="solid">
        <fgColor rgb="FFFFFF66"/>
        <bgColor indexed="64"/>
      </patternFill>
    </fill>
    <fill>
      <patternFill patternType="solid">
        <fgColor theme="9" tint="-0.249977111117893"/>
        <bgColor indexed="64"/>
      </patternFill>
    </fill>
    <fill>
      <patternFill patternType="solid">
        <fgColor rgb="FFC6EFCE"/>
      </patternFill>
    </fill>
  </fills>
  <borders count="33">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double">
        <color indexed="64"/>
      </bottom>
      <diagonal/>
    </border>
  </borders>
  <cellStyleXfs count="8">
    <xf numFmtId="0" fontId="0" fillId="0" borderId="0"/>
    <xf numFmtId="43" fontId="3" fillId="0" borderId="0" applyFont="0" applyFill="0" applyBorder="0" applyAlignment="0" applyProtection="0"/>
    <xf numFmtId="0" fontId="19" fillId="0" borderId="0"/>
    <xf numFmtId="9" fontId="3" fillId="0" borderId="0" applyFont="0" applyFill="0" applyBorder="0" applyAlignment="0" applyProtection="0"/>
    <xf numFmtId="9" fontId="2" fillId="0" borderId="0" applyFont="0" applyFill="0" applyBorder="0" applyAlignment="0" applyProtection="0"/>
    <xf numFmtId="0" fontId="46" fillId="42" borderId="0" applyNumberFormat="0" applyBorder="0" applyAlignment="0" applyProtection="0"/>
    <xf numFmtId="0" fontId="51" fillId="0" borderId="0" applyNumberFormat="0" applyFill="0" applyBorder="0" applyAlignment="0" applyProtection="0"/>
    <xf numFmtId="0" fontId="80" fillId="57" borderId="0" applyNumberFormat="0" applyBorder="0" applyAlignment="0" applyProtection="0"/>
  </cellStyleXfs>
  <cellXfs count="864">
    <xf numFmtId="0" fontId="0" fillId="0" borderId="0" xfId="0"/>
    <xf numFmtId="0" fontId="0" fillId="0" borderId="0" xfId="0" applyBorder="1"/>
    <xf numFmtId="0" fontId="9" fillId="0" borderId="0" xfId="0" applyFont="1"/>
    <xf numFmtId="0" fontId="8" fillId="0" borderId="1" xfId="0" applyFont="1" applyBorder="1"/>
    <xf numFmtId="0" fontId="8" fillId="0" borderId="2" xfId="0" applyFont="1" applyBorder="1"/>
    <xf numFmtId="0" fontId="9" fillId="0" borderId="0" xfId="0" applyFont="1" applyBorder="1"/>
    <xf numFmtId="0" fontId="8" fillId="0" borderId="2" xfId="0" applyFont="1" applyFill="1" applyBorder="1"/>
    <xf numFmtId="0" fontId="9" fillId="0" borderId="2" xfId="0" applyFont="1" applyBorder="1"/>
    <xf numFmtId="0" fontId="8" fillId="0" borderId="0" xfId="0" applyFont="1"/>
    <xf numFmtId="0" fontId="8" fillId="0" borderId="2" xfId="0" applyFont="1" applyBorder="1" applyAlignment="1">
      <alignment horizontal="center"/>
    </xf>
    <xf numFmtId="164" fontId="8" fillId="0" borderId="2" xfId="3" applyNumberFormat="1" applyFont="1" applyBorder="1"/>
    <xf numFmtId="2" fontId="8" fillId="0" borderId="2" xfId="0" applyNumberFormat="1" applyFont="1" applyBorder="1"/>
    <xf numFmtId="0" fontId="9" fillId="0" borderId="0" xfId="0" applyFont="1" applyAlignment="1">
      <alignment horizontal="center" vertical="center"/>
    </xf>
    <xf numFmtId="0" fontId="8" fillId="0" borderId="2" xfId="0" applyFont="1" applyBorder="1" applyAlignment="1">
      <alignment horizontal="center" vertical="center"/>
    </xf>
    <xf numFmtId="2" fontId="9" fillId="0" borderId="2" xfId="0" applyNumberFormat="1" applyFont="1" applyBorder="1" applyAlignment="1">
      <alignment horizontal="center"/>
    </xf>
    <xf numFmtId="1" fontId="8" fillId="0" borderId="2" xfId="0" applyNumberFormat="1" applyFont="1" applyBorder="1"/>
    <xf numFmtId="0" fontId="0" fillId="0" borderId="0" xfId="0" applyAlignment="1"/>
    <xf numFmtId="0" fontId="12" fillId="0" borderId="0" xfId="0" applyFont="1" applyAlignment="1"/>
    <xf numFmtId="0" fontId="9" fillId="0" borderId="2" xfId="0" applyFont="1" applyBorder="1" applyAlignment="1">
      <alignment horizontal="center"/>
    </xf>
    <xf numFmtId="0" fontId="8" fillId="0" borderId="2" xfId="0" applyFont="1" applyFill="1" applyBorder="1" applyAlignment="1">
      <alignment horizontal="center" vertical="center"/>
    </xf>
    <xf numFmtId="0" fontId="8" fillId="0" borderId="1" xfId="0" applyFont="1" applyFill="1" applyBorder="1"/>
    <xf numFmtId="0" fontId="0" fillId="3" borderId="2" xfId="0" applyFill="1" applyBorder="1"/>
    <xf numFmtId="0" fontId="8" fillId="0" borderId="3" xfId="0" applyFont="1" applyBorder="1"/>
    <xf numFmtId="0" fontId="8" fillId="0" borderId="4" xfId="0" applyFont="1" applyBorder="1"/>
    <xf numFmtId="0" fontId="8" fillId="0" borderId="1" xfId="0" applyFont="1" applyBorder="1" applyAlignment="1">
      <alignment horizontal="center"/>
    </xf>
    <xf numFmtId="0" fontId="0" fillId="0" borderId="0" xfId="0" applyFill="1"/>
    <xf numFmtId="0" fontId="0" fillId="0" borderId="0" xfId="0" applyFill="1" applyBorder="1"/>
    <xf numFmtId="0" fontId="0" fillId="0" borderId="2" xfId="0" applyBorder="1"/>
    <xf numFmtId="0" fontId="8" fillId="0" borderId="0" xfId="0" applyFont="1" applyBorder="1" applyAlignment="1"/>
    <xf numFmtId="0" fontId="8" fillId="0" borderId="2" xfId="0" applyFont="1" applyBorder="1" applyAlignment="1">
      <alignment horizontal="left"/>
    </xf>
    <xf numFmtId="165" fontId="9" fillId="0" borderId="0" xfId="0" applyNumberFormat="1" applyFont="1" applyBorder="1"/>
    <xf numFmtId="0" fontId="8" fillId="0" borderId="0" xfId="0" applyFont="1" applyBorder="1" applyAlignment="1">
      <alignment horizontal="center" vertical="center"/>
    </xf>
    <xf numFmtId="0" fontId="4" fillId="0" borderId="0" xfId="0" applyFont="1" applyFill="1" applyBorder="1" applyAlignment="1">
      <alignment horizontal="center" vertical="center"/>
    </xf>
    <xf numFmtId="2" fontId="8" fillId="0" borderId="0" xfId="1" applyNumberFormat="1" applyFont="1" applyFill="1" applyBorder="1" applyAlignment="1">
      <alignment horizontal="center" vertical="center"/>
    </xf>
    <xf numFmtId="0" fontId="0" fillId="9" borderId="2" xfId="0" applyFill="1" applyBorder="1"/>
    <xf numFmtId="0" fontId="8" fillId="10" borderId="2" xfId="0" applyFont="1" applyFill="1" applyBorder="1" applyAlignment="1">
      <alignment horizontal="center" vertical="center"/>
    </xf>
    <xf numFmtId="0" fontId="8" fillId="0" borderId="0" xfId="0" applyFont="1" applyFill="1" applyBorder="1" applyAlignment="1"/>
    <xf numFmtId="0" fontId="8" fillId="0" borderId="0" xfId="0" applyFont="1" applyBorder="1"/>
    <xf numFmtId="0" fontId="9" fillId="0" borderId="2" xfId="0" applyFont="1" applyFill="1" applyBorder="1"/>
    <xf numFmtId="0" fontId="9" fillId="0" borderId="2" xfId="0" applyFont="1" applyFill="1" applyBorder="1" applyAlignment="1">
      <alignment horizontal="center"/>
    </xf>
    <xf numFmtId="0" fontId="8" fillId="11" borderId="2" xfId="0" applyFont="1" applyFill="1" applyBorder="1" applyAlignment="1">
      <alignment horizontal="center" vertical="center"/>
    </xf>
    <xf numFmtId="0" fontId="9" fillId="0" borderId="0" xfId="0" applyFont="1" applyFill="1"/>
    <xf numFmtId="0" fontId="0" fillId="12" borderId="0" xfId="0" applyFill="1"/>
    <xf numFmtId="0" fontId="4" fillId="12" borderId="0" xfId="0" applyFont="1" applyFill="1"/>
    <xf numFmtId="0" fontId="9" fillId="0" borderId="2" xfId="0" applyFont="1" applyBorder="1" applyAlignment="1">
      <alignment horizontal="center" vertical="center"/>
    </xf>
    <xf numFmtId="0" fontId="0" fillId="0" borderId="2" xfId="0" applyBorder="1" applyAlignment="1">
      <alignment horizontal="center" vertical="center"/>
    </xf>
    <xf numFmtId="0" fontId="8" fillId="0" borderId="2" xfId="0" applyFont="1" applyBorder="1" applyAlignment="1"/>
    <xf numFmtId="0" fontId="8" fillId="0" borderId="2" xfId="0" applyFont="1" applyFill="1" applyBorder="1" applyAlignment="1">
      <alignment horizontal="left" vertical="center"/>
    </xf>
    <xf numFmtId="0" fontId="9" fillId="0" borderId="0" xfId="0" applyFont="1" applyFill="1" applyBorder="1"/>
    <xf numFmtId="0" fontId="10" fillId="0" borderId="0" xfId="0" applyFont="1" applyFill="1" applyBorder="1" applyAlignment="1"/>
    <xf numFmtId="0" fontId="8" fillId="0" borderId="0" xfId="0" applyFont="1" applyFill="1" applyBorder="1" applyAlignment="1">
      <alignment horizontal="center"/>
    </xf>
    <xf numFmtId="0" fontId="9" fillId="0" borderId="3" xfId="0" applyFont="1" applyBorder="1" applyAlignment="1">
      <alignment horizontal="center" vertical="center"/>
    </xf>
    <xf numFmtId="0" fontId="9" fillId="0" borderId="0" xfId="0" applyFont="1" applyAlignment="1">
      <alignment vertical="center"/>
    </xf>
    <xf numFmtId="0" fontId="9" fillId="12" borderId="2" xfId="0" applyFont="1" applyFill="1" applyBorder="1" applyAlignment="1">
      <alignment vertical="center"/>
    </xf>
    <xf numFmtId="0" fontId="9" fillId="0" borderId="2" xfId="0" applyFont="1" applyBorder="1" applyAlignment="1">
      <alignment vertical="center"/>
    </xf>
    <xf numFmtId="0" fontId="8" fillId="0" borderId="0" xfId="0" applyFont="1" applyBorder="1" applyAlignment="1">
      <alignment vertical="center"/>
    </xf>
    <xf numFmtId="0"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0" fontId="9" fillId="0" borderId="0" xfId="0" applyFont="1" applyBorder="1" applyAlignment="1">
      <alignment vertical="center"/>
    </xf>
    <xf numFmtId="2" fontId="9" fillId="0" borderId="2" xfId="0" applyNumberFormat="1" applyFont="1" applyBorder="1" applyAlignment="1">
      <alignment horizontal="center" vertical="center"/>
    </xf>
    <xf numFmtId="0" fontId="9" fillId="0" borderId="1" xfId="0" applyFont="1" applyBorder="1" applyAlignment="1">
      <alignment vertical="center"/>
    </xf>
    <xf numFmtId="165" fontId="9" fillId="0" borderId="2" xfId="0" applyNumberFormat="1" applyFont="1" applyBorder="1"/>
    <xf numFmtId="165" fontId="9" fillId="12" borderId="2" xfId="0" applyNumberFormat="1" applyFont="1" applyFill="1" applyBorder="1" applyAlignment="1">
      <alignment vertical="center"/>
    </xf>
    <xf numFmtId="0" fontId="8" fillId="0" borderId="0" xfId="0" applyFont="1" applyBorder="1" applyAlignment="1">
      <alignment horizontal="center"/>
    </xf>
    <xf numFmtId="2" fontId="9" fillId="0" borderId="0" xfId="0" applyNumberFormat="1" applyFont="1" applyBorder="1" applyAlignment="1">
      <alignment horizontal="center"/>
    </xf>
    <xf numFmtId="0" fontId="8" fillId="0" borderId="1" xfId="0" applyFont="1" applyFill="1" applyBorder="1" applyAlignment="1">
      <alignment horizontal="left" vertical="center"/>
    </xf>
    <xf numFmtId="2" fontId="9" fillId="0" borderId="2" xfId="1" applyNumberFormat="1" applyFont="1" applyFill="1" applyBorder="1" applyAlignment="1">
      <alignment horizontal="center" vertical="center"/>
    </xf>
    <xf numFmtId="0" fontId="2" fillId="0" borderId="2" xfId="0" applyFont="1" applyFill="1" applyBorder="1" applyAlignment="1">
      <alignment horizontal="center" vertical="center"/>
    </xf>
    <xf numFmtId="165" fontId="8" fillId="0" borderId="2" xfId="0" applyNumberFormat="1" applyFont="1" applyBorder="1"/>
    <xf numFmtId="2" fontId="9" fillId="0" borderId="0" xfId="1" applyNumberFormat="1" applyFont="1" applyFill="1" applyBorder="1" applyAlignment="1">
      <alignment horizontal="center" vertical="center"/>
    </xf>
    <xf numFmtId="0" fontId="10" fillId="0" borderId="0" xfId="0" applyFont="1"/>
    <xf numFmtId="0" fontId="21" fillId="0" borderId="2" xfId="0" applyFont="1" applyBorder="1" applyAlignment="1">
      <alignment horizontal="center" vertical="center"/>
    </xf>
    <xf numFmtId="0" fontId="0" fillId="0" borderId="2" xfId="0" applyBorder="1" applyAlignment="1">
      <alignment horizontal="center"/>
    </xf>
    <xf numFmtId="0" fontId="4" fillId="0" borderId="0" xfId="0" applyFont="1" applyBorder="1" applyAlignment="1"/>
    <xf numFmtId="0" fontId="0" fillId="0" borderId="0" xfId="0" applyBorder="1" applyAlignment="1"/>
    <xf numFmtId="0" fontId="9" fillId="0" borderId="0" xfId="0" applyFont="1" applyBorder="1" applyAlignment="1"/>
    <xf numFmtId="0" fontId="0" fillId="12" borderId="5" xfId="0" applyFill="1" applyBorder="1" applyAlignment="1"/>
    <xf numFmtId="0" fontId="0" fillId="12" borderId="6" xfId="0" applyFill="1" applyBorder="1" applyAlignment="1"/>
    <xf numFmtId="0" fontId="4" fillId="0" borderId="0" xfId="0" applyFont="1" applyFill="1" applyBorder="1" applyAlignment="1"/>
    <xf numFmtId="0" fontId="0" fillId="0" borderId="0" xfId="0" applyFill="1" applyBorder="1" applyAlignment="1"/>
    <xf numFmtId="1" fontId="0" fillId="12" borderId="2" xfId="0" applyNumberFormat="1" applyFill="1" applyBorder="1" applyAlignment="1"/>
    <xf numFmtId="0" fontId="21" fillId="0" borderId="0" xfId="0" applyFont="1" applyBorder="1" applyAlignment="1"/>
    <xf numFmtId="0" fontId="0" fillId="0" borderId="0" xfId="0" applyProtection="1">
      <protection locked="0"/>
    </xf>
    <xf numFmtId="0" fontId="0" fillId="0" borderId="0" xfId="0" applyAlignment="1">
      <alignment vertical="center"/>
    </xf>
    <xf numFmtId="0" fontId="0" fillId="9" borderId="2" xfId="0" applyFill="1" applyBorder="1" applyAlignment="1" applyProtection="1">
      <alignment horizontal="center" vertical="center"/>
    </xf>
    <xf numFmtId="0" fontId="0" fillId="0" borderId="0" xfId="0" applyBorder="1" applyAlignment="1" applyProtection="1">
      <protection locked="0"/>
    </xf>
    <xf numFmtId="0" fontId="4" fillId="12" borderId="0" xfId="0" applyFont="1" applyFill="1" applyAlignment="1"/>
    <xf numFmtId="0" fontId="0" fillId="12" borderId="0" xfId="0" applyFill="1" applyAlignment="1">
      <alignment horizontal="center"/>
    </xf>
    <xf numFmtId="0" fontId="0" fillId="12" borderId="0" xfId="0" applyFill="1" applyAlignment="1"/>
    <xf numFmtId="0" fontId="0" fillId="12" borderId="0" xfId="0" applyFill="1" applyAlignment="1">
      <alignment horizontal="center" vertical="center"/>
    </xf>
    <xf numFmtId="0" fontId="2" fillId="12" borderId="0" xfId="0" applyFont="1" applyFill="1" applyAlignment="1"/>
    <xf numFmtId="0" fontId="0" fillId="0" borderId="0" xfId="0" applyBorder="1" applyAlignment="1" applyProtection="1">
      <alignment vertical="center"/>
      <protection locked="0"/>
    </xf>
    <xf numFmtId="0" fontId="21" fillId="13" borderId="2" xfId="0" applyFont="1" applyFill="1" applyBorder="1" applyAlignment="1" applyProtection="1">
      <alignment horizontal="center" vertical="center"/>
    </xf>
    <xf numFmtId="0" fontId="0" fillId="0" borderId="0" xfId="0" applyBorder="1" applyProtection="1">
      <protection locked="0"/>
    </xf>
    <xf numFmtId="0" fontId="7" fillId="0" borderId="0" xfId="0" applyFont="1" applyProtection="1">
      <protection locked="0"/>
    </xf>
    <xf numFmtId="0" fontId="4" fillId="2" borderId="2" xfId="0" applyFont="1" applyFill="1" applyBorder="1" applyAlignment="1" applyProtection="1">
      <alignment horizontal="center" vertical="center"/>
      <protection locked="0"/>
    </xf>
    <xf numFmtId="0" fontId="4" fillId="2" borderId="2" xfId="0" applyFont="1" applyFill="1" applyBorder="1" applyAlignment="1" applyProtection="1">
      <alignment horizontal="center"/>
      <protection locked="0"/>
    </xf>
    <xf numFmtId="0" fontId="4" fillId="0" borderId="0" xfId="0" applyFont="1" applyFill="1" applyBorder="1" applyAlignment="1" applyProtection="1">
      <alignment horizontal="center"/>
      <protection locked="0"/>
    </xf>
    <xf numFmtId="0" fontId="2" fillId="0" borderId="0" xfId="0" applyFont="1" applyFill="1" applyBorder="1" applyAlignment="1" applyProtection="1">
      <alignment horizontal="center"/>
      <protection locked="0"/>
    </xf>
    <xf numFmtId="0" fontId="0" fillId="0" borderId="0" xfId="0" applyNumberFormat="1" applyFill="1" applyBorder="1" applyAlignment="1" applyProtection="1">
      <protection locked="0"/>
    </xf>
    <xf numFmtId="0" fontId="0" fillId="0" borderId="0" xfId="0" applyFill="1" applyProtection="1">
      <protection locked="0"/>
    </xf>
    <xf numFmtId="0" fontId="4" fillId="0" borderId="0" xfId="0" applyFont="1" applyBorder="1" applyAlignment="1" applyProtection="1">
      <alignment horizontal="center"/>
      <protection locked="0"/>
    </xf>
    <xf numFmtId="0" fontId="4" fillId="0" borderId="2" xfId="0" applyFont="1" applyBorder="1" applyProtection="1">
      <protection locked="0"/>
    </xf>
    <xf numFmtId="0" fontId="0" fillId="0" borderId="2" xfId="0" applyFill="1" applyBorder="1" applyAlignment="1" applyProtection="1">
      <alignment horizontal="center"/>
      <protection locked="0"/>
    </xf>
    <xf numFmtId="0" fontId="4" fillId="0" borderId="0" xfId="0" applyFont="1" applyBorder="1" applyAlignment="1" applyProtection="1">
      <alignment vertical="center"/>
      <protection locked="0"/>
    </xf>
    <xf numFmtId="0" fontId="15" fillId="0" borderId="5" xfId="0" applyFont="1" applyBorder="1" applyAlignment="1" applyProtection="1">
      <alignment horizontal="center" vertical="center" wrapText="1"/>
      <protection locked="0"/>
    </xf>
    <xf numFmtId="0" fontId="15" fillId="0" borderId="2" xfId="0" applyFont="1" applyBorder="1" applyAlignment="1" applyProtection="1">
      <alignment horizontal="center" vertical="center" wrapText="1"/>
      <protection locked="0"/>
    </xf>
    <xf numFmtId="0" fontId="22" fillId="12" borderId="5" xfId="0" applyFont="1" applyFill="1" applyBorder="1" applyAlignment="1" applyProtection="1">
      <protection locked="0"/>
    </xf>
    <xf numFmtId="0" fontId="22" fillId="12" borderId="6" xfId="0" applyFont="1" applyFill="1" applyBorder="1" applyAlignment="1" applyProtection="1">
      <protection locked="0"/>
    </xf>
    <xf numFmtId="0" fontId="22" fillId="12" borderId="3" xfId="0" applyFont="1" applyFill="1" applyBorder="1" applyAlignment="1" applyProtection="1">
      <protection locked="0"/>
    </xf>
    <xf numFmtId="0" fontId="21" fillId="0" borderId="0" xfId="0" applyFont="1" applyProtection="1">
      <protection locked="0"/>
    </xf>
    <xf numFmtId="0" fontId="6" fillId="0" borderId="0" xfId="0" applyFont="1" applyProtection="1">
      <protection locked="0"/>
    </xf>
    <xf numFmtId="0" fontId="17" fillId="0" borderId="0" xfId="0" applyFont="1"/>
    <xf numFmtId="2" fontId="9" fillId="0" borderId="1" xfId="0" applyNumberFormat="1" applyFont="1" applyBorder="1"/>
    <xf numFmtId="0" fontId="9" fillId="0" borderId="1" xfId="0" applyFont="1" applyBorder="1"/>
    <xf numFmtId="2" fontId="9" fillId="0" borderId="2" xfId="0" applyNumberFormat="1" applyFont="1" applyBorder="1"/>
    <xf numFmtId="164" fontId="9" fillId="0" borderId="2" xfId="3" applyNumberFormat="1" applyFont="1" applyBorder="1"/>
    <xf numFmtId="2" fontId="0" fillId="0" borderId="1" xfId="0" applyNumberFormat="1" applyFont="1" applyFill="1" applyBorder="1"/>
    <xf numFmtId="0" fontId="9" fillId="6" borderId="2" xfId="0" applyFont="1" applyFill="1" applyBorder="1" applyAlignment="1">
      <alignment horizontal="center" vertical="center"/>
    </xf>
    <xf numFmtId="0" fontId="9" fillId="7" borderId="2" xfId="0" applyFont="1" applyFill="1" applyBorder="1" applyAlignment="1">
      <alignment horizontal="center" vertical="center"/>
    </xf>
    <xf numFmtId="1" fontId="0" fillId="12" borderId="2" xfId="0" applyNumberFormat="1" applyFill="1" applyBorder="1" applyAlignment="1"/>
    <xf numFmtId="0" fontId="0" fillId="0" borderId="2" xfId="0" applyBorder="1" applyAlignment="1">
      <alignment horizontal="center" vertical="center"/>
    </xf>
    <xf numFmtId="0" fontId="0" fillId="0" borderId="0" xfId="0"/>
    <xf numFmtId="0" fontId="0" fillId="0" borderId="2" xfId="0" applyBorder="1" applyAlignment="1">
      <alignment horizontal="center" vertical="center"/>
    </xf>
    <xf numFmtId="0" fontId="0" fillId="0" borderId="2" xfId="0" applyBorder="1" applyAlignment="1">
      <alignment horizontal="center" vertical="center"/>
    </xf>
    <xf numFmtId="9" fontId="20" fillId="0" borderId="0" xfId="3" applyFont="1"/>
    <xf numFmtId="9" fontId="20" fillId="0" borderId="0" xfId="3" applyFont="1" applyBorder="1"/>
    <xf numFmtId="0" fontId="0" fillId="0" borderId="0" xfId="0" applyAlignment="1">
      <alignment horizontal="center" vertical="center" wrapText="1"/>
    </xf>
    <xf numFmtId="0" fontId="9" fillId="0" borderId="2" xfId="0" applyFont="1" applyFill="1" applyBorder="1" applyAlignment="1">
      <alignment horizontal="center" vertical="center" wrapText="1"/>
    </xf>
    <xf numFmtId="0" fontId="9" fillId="0" borderId="1" xfId="0" applyFont="1" applyFill="1" applyBorder="1"/>
    <xf numFmtId="9" fontId="20" fillId="0" borderId="2" xfId="3" applyFont="1" applyBorder="1" applyAlignment="1">
      <alignment horizontal="center" vertical="center" wrapText="1"/>
    </xf>
    <xf numFmtId="9" fontId="20" fillId="0" borderId="2" xfId="3" applyFont="1" applyBorder="1" applyAlignment="1">
      <alignment horizontal="center" vertical="center" wrapText="1"/>
    </xf>
    <xf numFmtId="2" fontId="0" fillId="0" borderId="2" xfId="0" applyNumberFormat="1" applyBorder="1" applyAlignment="1">
      <alignment horizontal="center" vertical="center"/>
    </xf>
    <xf numFmtId="9" fontId="20" fillId="0" borderId="2" xfId="3" applyFont="1" applyBorder="1" applyAlignment="1">
      <alignment horizontal="center" vertical="center"/>
    </xf>
    <xf numFmtId="165" fontId="20" fillId="0" borderId="2" xfId="3" applyNumberFormat="1" applyFont="1" applyBorder="1" applyAlignment="1">
      <alignment horizontal="center" vertical="center"/>
    </xf>
    <xf numFmtId="0" fontId="0" fillId="0" borderId="2" xfId="0" applyBorder="1" applyAlignment="1">
      <alignment horizontal="center" vertical="center" wrapText="1"/>
    </xf>
    <xf numFmtId="0" fontId="9" fillId="0" borderId="2" xfId="0" applyFont="1" applyFill="1" applyBorder="1" applyAlignment="1">
      <alignment horizontal="center" vertical="center"/>
    </xf>
    <xf numFmtId="164" fontId="0" fillId="0" borderId="2" xfId="0" applyNumberFormat="1" applyBorder="1"/>
    <xf numFmtId="9" fontId="0" fillId="0" borderId="0" xfId="0" applyNumberFormat="1"/>
    <xf numFmtId="164" fontId="20" fillId="0" borderId="2" xfId="3" applyNumberFormat="1" applyFont="1" applyBorder="1"/>
    <xf numFmtId="164" fontId="20" fillId="0" borderId="0" xfId="3" applyNumberFormat="1" applyFont="1" applyAlignment="1">
      <alignment horizontal="center" vertical="center"/>
    </xf>
    <xf numFmtId="9" fontId="20" fillId="0" borderId="2" xfId="3" applyFont="1" applyBorder="1" applyAlignment="1">
      <alignment horizontal="center" vertical="center" wrapText="1"/>
    </xf>
    <xf numFmtId="164" fontId="20" fillId="0" borderId="2" xfId="3" applyNumberFormat="1" applyFont="1" applyBorder="1" applyAlignment="1">
      <alignment horizontal="center" vertical="center"/>
    </xf>
    <xf numFmtId="0" fontId="0" fillId="0" borderId="0" xfId="0" applyBorder="1" applyAlignment="1">
      <alignment horizontal="center" vertical="center"/>
    </xf>
    <xf numFmtId="164" fontId="0" fillId="0" borderId="2" xfId="0" applyNumberFormat="1" applyBorder="1" applyAlignment="1">
      <alignment horizontal="center" vertical="center"/>
    </xf>
    <xf numFmtId="2" fontId="0" fillId="0" borderId="2" xfId="0" applyNumberFormat="1" applyBorder="1"/>
    <xf numFmtId="0" fontId="0" fillId="0" borderId="2" xfId="0" applyBorder="1" applyAlignment="1">
      <alignment horizontal="center" vertical="center"/>
    </xf>
    <xf numFmtId="9" fontId="20" fillId="0" borderId="7" xfId="3" applyFont="1" applyBorder="1"/>
    <xf numFmtId="9" fontId="20" fillId="0" borderId="8" xfId="3" applyFont="1" applyBorder="1"/>
    <xf numFmtId="9" fontId="20" fillId="0" borderId="9" xfId="3" applyFont="1" applyBorder="1"/>
    <xf numFmtId="9" fontId="20" fillId="0" borderId="10" xfId="3" applyFont="1" applyBorder="1"/>
    <xf numFmtId="9" fontId="20" fillId="0" borderId="11" xfId="3" applyFont="1" applyBorder="1"/>
    <xf numFmtId="49" fontId="21" fillId="12" borderId="2" xfId="0" applyNumberFormat="1" applyFont="1" applyFill="1" applyBorder="1" applyAlignment="1">
      <alignment horizontal="center" vertical="center"/>
    </xf>
    <xf numFmtId="0" fontId="23" fillId="0" borderId="0" xfId="0" applyFont="1" applyAlignment="1">
      <alignment horizontal="center" vertical="center"/>
    </xf>
    <xf numFmtId="0" fontId="21" fillId="0" borderId="0" xfId="0" applyFont="1" applyBorder="1" applyAlignment="1">
      <alignment horizontal="right"/>
    </xf>
    <xf numFmtId="0" fontId="21" fillId="0" borderId="0" xfId="0" applyFont="1"/>
    <xf numFmtId="0" fontId="23" fillId="17" borderId="2" xfId="0" applyFont="1" applyFill="1" applyBorder="1" applyAlignment="1">
      <alignment horizontal="center" vertical="center"/>
    </xf>
    <xf numFmtId="0" fontId="0" fillId="16" borderId="2" xfId="0" applyFill="1" applyBorder="1"/>
    <xf numFmtId="0" fontId="23" fillId="0" borderId="0" xfId="0" applyFont="1" applyFill="1" applyBorder="1" applyAlignment="1">
      <alignment horizontal="center" vertical="center"/>
    </xf>
    <xf numFmtId="0" fontId="0" fillId="0" borderId="4" xfId="0" applyBorder="1" applyAlignment="1">
      <alignment horizontal="right"/>
    </xf>
    <xf numFmtId="0" fontId="0" fillId="0" borderId="0" xfId="0" applyFont="1" applyBorder="1"/>
    <xf numFmtId="0" fontId="0" fillId="0" borderId="2" xfId="0" applyFill="1" applyBorder="1"/>
    <xf numFmtId="0" fontId="23" fillId="0" borderId="0" xfId="0" applyFont="1" applyAlignment="1">
      <alignment horizontal="left" vertical="center"/>
    </xf>
    <xf numFmtId="0" fontId="27" fillId="0" borderId="2" xfId="0" applyFont="1" applyFill="1" applyBorder="1" applyAlignment="1">
      <alignment horizontal="center"/>
    </xf>
    <xf numFmtId="0" fontId="0" fillId="0" borderId="1" xfId="0" applyBorder="1"/>
    <xf numFmtId="2" fontId="23" fillId="17" borderId="2" xfId="0" applyNumberFormat="1" applyFont="1" applyFill="1" applyBorder="1" applyAlignment="1">
      <alignment horizontal="center" vertical="center"/>
    </xf>
    <xf numFmtId="166" fontId="0" fillId="0" borderId="5" xfId="0" applyNumberFormat="1" applyBorder="1" applyAlignment="1" applyProtection="1">
      <alignment horizontal="center"/>
      <protection locked="0"/>
    </xf>
    <xf numFmtId="11" fontId="0" fillId="9" borderId="2" xfId="0" applyNumberFormat="1" applyFill="1" applyBorder="1"/>
    <xf numFmtId="2" fontId="23" fillId="0" borderId="2" xfId="0" applyNumberFormat="1" applyFont="1" applyBorder="1" applyAlignment="1">
      <alignment horizontal="center" vertical="center"/>
    </xf>
    <xf numFmtId="2" fontId="0" fillId="0" borderId="0" xfId="0" applyNumberFormat="1" applyFill="1" applyBorder="1"/>
    <xf numFmtId="2" fontId="0" fillId="16" borderId="4" xfId="0" applyNumberFormat="1" applyFill="1" applyBorder="1" applyAlignment="1" applyProtection="1">
      <alignment horizontal="center"/>
      <protection locked="0"/>
    </xf>
    <xf numFmtId="0" fontId="0" fillId="18" borderId="2" xfId="0" applyFill="1" applyBorder="1" applyAlignment="1">
      <alignment horizontal="center"/>
    </xf>
    <xf numFmtId="0" fontId="0" fillId="18" borderId="2" xfId="0" applyFill="1" applyBorder="1" applyAlignment="1">
      <alignment horizontal="right"/>
    </xf>
    <xf numFmtId="2" fontId="0" fillId="0" borderId="0" xfId="0" applyNumberFormat="1" applyFill="1" applyBorder="1" applyAlignment="1">
      <alignment horizontal="right"/>
    </xf>
    <xf numFmtId="0" fontId="0" fillId="0" borderId="0" xfId="0" applyFill="1" applyBorder="1" applyAlignment="1">
      <alignment horizontal="right"/>
    </xf>
    <xf numFmtId="0" fontId="0" fillId="0" borderId="13" xfId="0" applyBorder="1" applyAlignment="1"/>
    <xf numFmtId="0" fontId="28" fillId="0" borderId="0" xfId="0" applyFont="1"/>
    <xf numFmtId="2" fontId="27" fillId="0" borderId="2" xfId="0" applyNumberFormat="1" applyFont="1" applyFill="1" applyBorder="1" applyAlignment="1">
      <alignment horizontal="center"/>
    </xf>
    <xf numFmtId="0" fontId="0" fillId="0" borderId="0" xfId="0" applyFont="1" applyFill="1" applyBorder="1"/>
    <xf numFmtId="2" fontId="23" fillId="0" borderId="0" xfId="0" applyNumberFormat="1" applyFont="1" applyFill="1" applyBorder="1" applyAlignment="1">
      <alignment horizontal="center" vertical="center"/>
    </xf>
    <xf numFmtId="2" fontId="0" fillId="0" borderId="0" xfId="0" applyNumberFormat="1" applyFill="1" applyBorder="1" applyAlignment="1" applyProtection="1">
      <alignment horizontal="center"/>
      <protection locked="0"/>
    </xf>
    <xf numFmtId="2" fontId="0" fillId="0" borderId="0" xfId="0" applyNumberFormat="1" applyFont="1" applyFill="1" applyBorder="1"/>
    <xf numFmtId="0" fontId="23" fillId="0" borderId="0" xfId="0" applyFont="1" applyFill="1" applyBorder="1" applyAlignment="1">
      <alignment horizontal="left" vertical="center"/>
    </xf>
    <xf numFmtId="0" fontId="26" fillId="0" borderId="0" xfId="0" applyFont="1" applyFill="1" applyBorder="1" applyAlignment="1">
      <alignment horizontal="center" vertical="center"/>
    </xf>
    <xf numFmtId="0" fontId="8" fillId="0" borderId="2" xfId="0" applyFont="1" applyBorder="1" applyAlignment="1">
      <alignment vertical="center"/>
    </xf>
    <xf numFmtId="2" fontId="9" fillId="12" borderId="2" xfId="0" applyNumberFormat="1" applyFont="1" applyFill="1" applyBorder="1" applyAlignment="1">
      <alignment vertical="center"/>
    </xf>
    <xf numFmtId="0" fontId="8" fillId="0" borderId="2" xfId="0" applyFont="1" applyBorder="1" applyAlignment="1">
      <alignment horizontal="center" vertical="center"/>
    </xf>
    <xf numFmtId="0" fontId="8" fillId="0" borderId="5" xfId="0" applyFont="1" applyBorder="1"/>
    <xf numFmtId="0" fontId="8" fillId="0" borderId="15" xfId="0" applyFont="1" applyBorder="1"/>
    <xf numFmtId="0" fontId="36" fillId="0" borderId="0" xfId="0" applyFont="1" applyFill="1" applyBorder="1"/>
    <xf numFmtId="2" fontId="0" fillId="22" borderId="5" xfId="0" applyNumberFormat="1" applyFill="1" applyBorder="1" applyAlignment="1" applyProtection="1">
      <alignment horizontal="center"/>
    </xf>
    <xf numFmtId="0" fontId="27" fillId="22" borderId="2" xfId="0" applyFont="1" applyFill="1" applyBorder="1" applyAlignment="1">
      <alignment horizontal="center"/>
    </xf>
    <xf numFmtId="1" fontId="27" fillId="0" borderId="2" xfId="0" applyNumberFormat="1" applyFont="1" applyFill="1" applyBorder="1" applyAlignment="1">
      <alignment horizontal="center"/>
    </xf>
    <xf numFmtId="0" fontId="21" fillId="0" borderId="2" xfId="0" applyFont="1" applyBorder="1"/>
    <xf numFmtId="0" fontId="0" fillId="9" borderId="0" xfId="0" applyFill="1"/>
    <xf numFmtId="0" fontId="32" fillId="0" borderId="0" xfId="0" applyFont="1" applyBorder="1" applyAlignment="1"/>
    <xf numFmtId="0" fontId="35" fillId="0" borderId="0" xfId="0" applyFont="1" applyAlignment="1"/>
    <xf numFmtId="0" fontId="0" fillId="19" borderId="0" xfId="0" applyFill="1"/>
    <xf numFmtId="22" fontId="0" fillId="0" borderId="0" xfId="0" applyNumberFormat="1"/>
    <xf numFmtId="0" fontId="0" fillId="0" borderId="0" xfId="0" applyAlignment="1">
      <alignment horizontal="left"/>
    </xf>
    <xf numFmtId="0" fontId="40" fillId="0" borderId="0" xfId="0" applyFont="1" applyAlignment="1">
      <alignment horizontal="left" vertical="center" wrapText="1"/>
    </xf>
    <xf numFmtId="14" fontId="40" fillId="0" borderId="0" xfId="0" applyNumberFormat="1" applyFont="1" applyAlignment="1">
      <alignment horizontal="left" vertical="center" wrapText="1"/>
    </xf>
    <xf numFmtId="19" fontId="40" fillId="0" borderId="0" xfId="0" applyNumberFormat="1" applyFont="1" applyAlignment="1">
      <alignment horizontal="left" vertical="center" wrapText="1"/>
    </xf>
    <xf numFmtId="0" fontId="41" fillId="0" borderId="0" xfId="0" applyFont="1" applyAlignment="1">
      <alignment horizontal="left" vertical="center" wrapText="1"/>
    </xf>
    <xf numFmtId="0" fontId="0" fillId="23" borderId="16" xfId="0" applyFill="1" applyBorder="1" applyAlignment="1">
      <alignment vertical="center" wrapText="1"/>
    </xf>
    <xf numFmtId="0" fontId="42" fillId="23" borderId="16" xfId="0" applyFont="1" applyFill="1" applyBorder="1" applyAlignment="1">
      <alignment horizontal="center" vertical="center" wrapText="1"/>
    </xf>
    <xf numFmtId="0" fontId="40" fillId="24" borderId="17" xfId="0" applyFont="1" applyFill="1" applyBorder="1" applyAlignment="1">
      <alignment horizontal="center" vertical="center" wrapText="1"/>
    </xf>
    <xf numFmtId="0" fontId="40" fillId="25" borderId="17" xfId="0" applyFont="1" applyFill="1" applyBorder="1" applyAlignment="1">
      <alignment horizontal="center" vertical="center" wrapText="1"/>
    </xf>
    <xf numFmtId="0" fontId="40" fillId="26" borderId="17" xfId="0" applyFont="1" applyFill="1" applyBorder="1" applyAlignment="1">
      <alignment horizontal="center" vertical="center" wrapText="1"/>
    </xf>
    <xf numFmtId="0" fontId="40" fillId="27" borderId="17" xfId="0" applyFont="1" applyFill="1" applyBorder="1" applyAlignment="1">
      <alignment horizontal="center" vertical="center" wrapText="1"/>
    </xf>
    <xf numFmtId="0" fontId="40" fillId="28" borderId="17" xfId="0" applyFont="1" applyFill="1" applyBorder="1" applyAlignment="1">
      <alignment horizontal="center" vertical="center" wrapText="1"/>
    </xf>
    <xf numFmtId="0" fontId="40" fillId="29" borderId="17" xfId="0" applyFont="1" applyFill="1" applyBorder="1" applyAlignment="1">
      <alignment horizontal="center" vertical="center" wrapText="1"/>
    </xf>
    <xf numFmtId="0" fontId="40" fillId="30" borderId="17" xfId="0" applyFont="1" applyFill="1" applyBorder="1" applyAlignment="1">
      <alignment horizontal="center" vertical="center" wrapText="1"/>
    </xf>
    <xf numFmtId="0" fontId="43" fillId="0" borderId="0" xfId="0" applyFont="1" applyAlignment="1">
      <alignment horizontal="left" vertical="center" wrapText="1"/>
    </xf>
    <xf numFmtId="0" fontId="40" fillId="31" borderId="18" xfId="0" applyFont="1" applyFill="1" applyBorder="1" applyAlignment="1">
      <alignment horizontal="center" vertical="center" wrapText="1"/>
    </xf>
    <xf numFmtId="0" fontId="40" fillId="32" borderId="18" xfId="0" applyFont="1" applyFill="1" applyBorder="1" applyAlignment="1">
      <alignment horizontal="center" vertical="center" wrapText="1"/>
    </xf>
    <xf numFmtId="0" fontId="40" fillId="33" borderId="18" xfId="0" applyFont="1" applyFill="1" applyBorder="1" applyAlignment="1">
      <alignment horizontal="center" vertical="center" wrapText="1"/>
    </xf>
    <xf numFmtId="0" fontId="40" fillId="34" borderId="18" xfId="0" applyFont="1" applyFill="1" applyBorder="1" applyAlignment="1">
      <alignment horizontal="center" vertical="center" wrapText="1"/>
    </xf>
    <xf numFmtId="0" fontId="40" fillId="35" borderId="18" xfId="0" applyFont="1" applyFill="1" applyBorder="1" applyAlignment="1">
      <alignment horizontal="center" vertical="center" wrapText="1"/>
    </xf>
    <xf numFmtId="0" fontId="40" fillId="36" borderId="18" xfId="0" applyFont="1" applyFill="1" applyBorder="1" applyAlignment="1">
      <alignment horizontal="center" vertical="center" wrapText="1"/>
    </xf>
    <xf numFmtId="0" fontId="40" fillId="37" borderId="17" xfId="0" applyFont="1" applyFill="1" applyBorder="1" applyAlignment="1">
      <alignment horizontal="center" vertical="center" wrapText="1"/>
    </xf>
    <xf numFmtId="0" fontId="40" fillId="26" borderId="18" xfId="0" applyFont="1" applyFill="1" applyBorder="1" applyAlignment="1">
      <alignment horizontal="center" vertical="center" wrapText="1"/>
    </xf>
    <xf numFmtId="0" fontId="40" fillId="37" borderId="18" xfId="0" applyFont="1" applyFill="1" applyBorder="1" applyAlignment="1">
      <alignment horizontal="center" vertical="center" wrapText="1"/>
    </xf>
    <xf numFmtId="0" fontId="40" fillId="27" borderId="18" xfId="0" applyFont="1" applyFill="1" applyBorder="1" applyAlignment="1">
      <alignment horizontal="center" vertical="center" wrapText="1"/>
    </xf>
    <xf numFmtId="0" fontId="40" fillId="31" borderId="17" xfId="0" applyFont="1" applyFill="1" applyBorder="1" applyAlignment="1">
      <alignment horizontal="center" vertical="center" wrapText="1"/>
    </xf>
    <xf numFmtId="0" fontId="40" fillId="36" borderId="17" xfId="0" applyFont="1" applyFill="1" applyBorder="1" applyAlignment="1">
      <alignment horizontal="center" vertical="center" wrapText="1"/>
    </xf>
    <xf numFmtId="0" fontId="40" fillId="33" borderId="17" xfId="0" applyFont="1" applyFill="1" applyBorder="1" applyAlignment="1">
      <alignment horizontal="center" vertical="center" wrapText="1"/>
    </xf>
    <xf numFmtId="0" fontId="40" fillId="34" borderId="17" xfId="0" applyFont="1" applyFill="1" applyBorder="1" applyAlignment="1">
      <alignment horizontal="center" vertical="center" wrapText="1"/>
    </xf>
    <xf numFmtId="0" fontId="40" fillId="35" borderId="17" xfId="0" applyFont="1" applyFill="1" applyBorder="1" applyAlignment="1">
      <alignment horizontal="center" vertical="center" wrapText="1"/>
    </xf>
    <xf numFmtId="0" fontId="40" fillId="32" borderId="17" xfId="0" applyFont="1" applyFill="1" applyBorder="1" applyAlignment="1">
      <alignment horizontal="center" vertical="center" wrapText="1"/>
    </xf>
    <xf numFmtId="0" fontId="40" fillId="25" borderId="18" xfId="0" applyFont="1" applyFill="1" applyBorder="1" applyAlignment="1">
      <alignment horizontal="center" vertical="center" wrapText="1"/>
    </xf>
    <xf numFmtId="0" fontId="40" fillId="28" borderId="18" xfId="0" applyFont="1" applyFill="1" applyBorder="1" applyAlignment="1">
      <alignment horizontal="center" vertical="center" wrapText="1"/>
    </xf>
    <xf numFmtId="0" fontId="40" fillId="24" borderId="18" xfId="0" applyFont="1" applyFill="1" applyBorder="1" applyAlignment="1">
      <alignment horizontal="center" vertical="center" wrapText="1"/>
    </xf>
    <xf numFmtId="0" fontId="0" fillId="0" borderId="0" xfId="0" applyAlignment="1">
      <alignment wrapText="1"/>
    </xf>
    <xf numFmtId="0" fontId="0" fillId="0" borderId="0" xfId="0" applyFill="1" applyBorder="1" applyAlignment="1">
      <alignment horizontal="center" vertical="center" wrapText="1"/>
    </xf>
    <xf numFmtId="0" fontId="0" fillId="0" borderId="0" xfId="0" applyAlignment="1">
      <alignment horizontal="center" vertical="center"/>
    </xf>
    <xf numFmtId="2" fontId="0" fillId="0" borderId="15" xfId="0" applyNumberFormat="1" applyBorder="1" applyAlignment="1">
      <alignment horizontal="center" vertical="center"/>
    </xf>
    <xf numFmtId="1" fontId="0" fillId="16" borderId="5" xfId="0" applyNumberFormat="1" applyFill="1" applyBorder="1" applyAlignment="1">
      <alignment horizontal="center" vertical="center"/>
    </xf>
    <xf numFmtId="1" fontId="0" fillId="16" borderId="2" xfId="0" applyNumberFormat="1" applyFill="1" applyBorder="1" applyAlignment="1">
      <alignment horizontal="center" vertical="center"/>
    </xf>
    <xf numFmtId="2" fontId="0" fillId="0" borderId="0" xfId="0" applyNumberFormat="1" applyBorder="1" applyAlignment="1">
      <alignment horizontal="center" vertical="center"/>
    </xf>
    <xf numFmtId="0" fontId="19" fillId="0" borderId="0" xfId="0" applyFont="1"/>
    <xf numFmtId="11" fontId="0" fillId="3" borderId="2" xfId="0" applyNumberFormat="1" applyFill="1" applyBorder="1"/>
    <xf numFmtId="0" fontId="0" fillId="15" borderId="2" xfId="0" applyFill="1" applyBorder="1"/>
    <xf numFmtId="0" fontId="4" fillId="2" borderId="2" xfId="0" applyFont="1" applyFill="1" applyBorder="1" applyAlignment="1" applyProtection="1">
      <alignment horizontal="left"/>
      <protection locked="0"/>
    </xf>
    <xf numFmtId="0" fontId="22" fillId="15" borderId="2" xfId="0" applyFont="1" applyFill="1" applyBorder="1"/>
    <xf numFmtId="2" fontId="0" fillId="15" borderId="2" xfId="0" applyNumberFormat="1" applyFill="1" applyBorder="1"/>
    <xf numFmtId="0" fontId="42" fillId="23" borderId="17" xfId="0" applyFont="1" applyFill="1" applyBorder="1" applyAlignment="1">
      <alignment vertical="center" wrapText="1"/>
    </xf>
    <xf numFmtId="0" fontId="42" fillId="23" borderId="18" xfId="0" applyFont="1" applyFill="1" applyBorder="1" applyAlignment="1">
      <alignment vertical="center" wrapText="1"/>
    </xf>
    <xf numFmtId="0" fontId="30" fillId="0" borderId="2" xfId="0" applyNumberFormat="1" applyFont="1" applyFill="1" applyBorder="1" applyAlignment="1">
      <alignment horizontal="center"/>
    </xf>
    <xf numFmtId="0" fontId="30" fillId="0" borderId="2" xfId="0" applyFont="1" applyFill="1" applyBorder="1" applyAlignment="1">
      <alignment horizontal="center"/>
    </xf>
    <xf numFmtId="2" fontId="30" fillId="0" borderId="2" xfId="0" applyNumberFormat="1" applyFont="1" applyFill="1" applyBorder="1" applyAlignment="1">
      <alignment horizontal="center"/>
    </xf>
    <xf numFmtId="1" fontId="30" fillId="0" borderId="2" xfId="0" applyNumberFormat="1" applyFont="1" applyFill="1" applyBorder="1" applyAlignment="1">
      <alignment horizontal="center"/>
    </xf>
    <xf numFmtId="2" fontId="30" fillId="0" borderId="2" xfId="0" applyNumberFormat="1" applyFont="1" applyBorder="1"/>
    <xf numFmtId="0" fontId="0" fillId="0" borderId="0" xfId="0" applyAlignment="1">
      <alignment horizontal="center"/>
    </xf>
    <xf numFmtId="0" fontId="0" fillId="13" borderId="2" xfId="0" applyFill="1" applyBorder="1"/>
    <xf numFmtId="0" fontId="0" fillId="13" borderId="2" xfId="0" applyFill="1" applyBorder="1" applyAlignment="1">
      <alignment horizontal="center"/>
    </xf>
    <xf numFmtId="0" fontId="49" fillId="43" borderId="2" xfId="0" applyFont="1" applyFill="1" applyBorder="1" applyAlignment="1">
      <alignment horizontal="center" vertical="center"/>
    </xf>
    <xf numFmtId="0" fontId="50" fillId="44" borderId="2" xfId="0" applyFont="1" applyFill="1" applyBorder="1" applyAlignment="1">
      <alignment horizontal="center" vertical="center" wrapText="1"/>
    </xf>
    <xf numFmtId="0" fontId="50" fillId="44" borderId="3" xfId="0" applyFont="1" applyFill="1" applyBorder="1" applyAlignment="1">
      <alignment horizontal="center" vertical="center" wrapText="1"/>
    </xf>
    <xf numFmtId="0" fontId="0" fillId="12" borderId="2" xfId="0" applyFill="1" applyBorder="1"/>
    <xf numFmtId="2" fontId="0" fillId="12" borderId="2" xfId="0" applyNumberFormat="1" applyFill="1" applyBorder="1"/>
    <xf numFmtId="0" fontId="0" fillId="12" borderId="2" xfId="0" applyFill="1" applyBorder="1" applyAlignment="1">
      <alignment horizontal="left"/>
    </xf>
    <xf numFmtId="0" fontId="0" fillId="12" borderId="2" xfId="0" applyFill="1" applyBorder="1" applyAlignment="1">
      <alignment horizontal="center"/>
    </xf>
    <xf numFmtId="2" fontId="0" fillId="13" borderId="2" xfId="0" applyNumberFormat="1" applyFill="1" applyBorder="1"/>
    <xf numFmtId="0" fontId="0" fillId="13" borderId="2" xfId="0" applyFill="1" applyBorder="1" applyAlignment="1">
      <alignment horizontal="left"/>
    </xf>
    <xf numFmtId="0" fontId="51" fillId="13" borderId="2" xfId="6" applyFill="1" applyBorder="1"/>
    <xf numFmtId="0" fontId="0" fillId="13" borderId="2" xfId="0" applyFill="1" applyBorder="1" applyAlignment="1">
      <alignment horizontal="center" vertical="center"/>
    </xf>
    <xf numFmtId="0" fontId="52" fillId="44" borderId="0" xfId="0" applyFont="1" applyFill="1"/>
    <xf numFmtId="0" fontId="53" fillId="44" borderId="2" xfId="0" applyFont="1" applyFill="1" applyBorder="1" applyAlignment="1">
      <alignment horizontal="center"/>
    </xf>
    <xf numFmtId="0" fontId="53" fillId="44" borderId="2" xfId="0" applyFont="1" applyFill="1" applyBorder="1" applyAlignment="1">
      <alignment horizontal="left"/>
    </xf>
    <xf numFmtId="0" fontId="53" fillId="44" borderId="2" xfId="0" applyFont="1" applyFill="1" applyBorder="1" applyAlignment="1">
      <alignment horizontal="center" vertical="center"/>
    </xf>
    <xf numFmtId="0" fontId="52" fillId="44" borderId="2" xfId="0" applyFont="1" applyFill="1" applyBorder="1"/>
    <xf numFmtId="0" fontId="52" fillId="44" borderId="2" xfId="0" applyFont="1" applyFill="1" applyBorder="1" applyAlignment="1">
      <alignment horizontal="center"/>
    </xf>
    <xf numFmtId="2" fontId="22" fillId="0" borderId="0" xfId="0" applyNumberFormat="1" applyFont="1" applyFill="1" applyAlignment="1"/>
    <xf numFmtId="0" fontId="22" fillId="0" borderId="0" xfId="0" applyFont="1" applyFill="1" applyAlignment="1"/>
    <xf numFmtId="0" fontId="0" fillId="43" borderId="0" xfId="0" applyFill="1" applyAlignment="1">
      <alignment horizontal="center"/>
    </xf>
    <xf numFmtId="0" fontId="22" fillId="0" borderId="0" xfId="0" applyFont="1" applyFill="1" applyBorder="1" applyAlignment="1"/>
    <xf numFmtId="0" fontId="55" fillId="0" borderId="0" xfId="0" applyFont="1" applyAlignment="1"/>
    <xf numFmtId="0" fontId="52" fillId="44" borderId="0" xfId="0" applyFont="1" applyFill="1" applyAlignment="1"/>
    <xf numFmtId="0" fontId="0" fillId="0" borderId="0" xfId="0" applyFill="1" applyAlignment="1"/>
    <xf numFmtId="0" fontId="0" fillId="0" borderId="0" xfId="0" applyFill="1" applyAlignment="1">
      <alignment horizontal="center"/>
    </xf>
    <xf numFmtId="0" fontId="49" fillId="44" borderId="0" xfId="0" applyFont="1" applyFill="1" applyAlignment="1">
      <alignment horizontal="center" vertical="center"/>
    </xf>
    <xf numFmtId="0" fontId="0" fillId="39" borderId="0" xfId="0" applyFill="1"/>
    <xf numFmtId="0" fontId="56" fillId="39" borderId="0" xfId="0" applyFont="1" applyFill="1" applyAlignment="1">
      <alignment vertical="center"/>
    </xf>
    <xf numFmtId="0" fontId="57" fillId="43" borderId="7" xfId="0" applyFont="1" applyFill="1" applyBorder="1" applyAlignment="1" applyProtection="1">
      <protection locked="0"/>
    </xf>
    <xf numFmtId="0" fontId="50" fillId="43" borderId="7" xfId="0" applyFont="1" applyFill="1" applyBorder="1"/>
    <xf numFmtId="0" fontId="57" fillId="43" borderId="9" xfId="0" applyFont="1" applyFill="1" applyBorder="1" applyAlignment="1" applyProtection="1">
      <protection locked="0"/>
    </xf>
    <xf numFmtId="0" fontId="52" fillId="45" borderId="0" xfId="0" applyFont="1" applyFill="1" applyBorder="1" applyAlignment="1"/>
    <xf numFmtId="0" fontId="22" fillId="45" borderId="0" xfId="0" applyFont="1" applyFill="1" applyBorder="1" applyAlignment="1">
      <alignment wrapText="1"/>
    </xf>
    <xf numFmtId="0" fontId="22" fillId="45" borderId="0" xfId="0" applyFont="1" applyFill="1" applyBorder="1" applyAlignment="1">
      <alignment horizontal="left" wrapText="1"/>
    </xf>
    <xf numFmtId="2" fontId="22" fillId="45" borderId="0" xfId="0" applyNumberFormat="1" applyFont="1" applyFill="1" applyBorder="1" applyAlignment="1">
      <alignment horizontal="left" wrapText="1"/>
    </xf>
    <xf numFmtId="0" fontId="0" fillId="45" borderId="0" xfId="0" applyFill="1" applyBorder="1" applyAlignment="1">
      <alignment horizontal="left" wrapText="1"/>
    </xf>
    <xf numFmtId="1" fontId="22" fillId="45" borderId="0" xfId="0" applyNumberFormat="1" applyFont="1" applyFill="1" applyBorder="1" applyAlignment="1">
      <alignment horizontal="left" wrapText="1"/>
    </xf>
    <xf numFmtId="1" fontId="0" fillId="45" borderId="0" xfId="0" applyNumberFormat="1" applyFill="1" applyBorder="1" applyAlignment="1">
      <alignment horizontal="left" wrapText="1"/>
    </xf>
    <xf numFmtId="0" fontId="22" fillId="46" borderId="2" xfId="0" applyFont="1" applyFill="1" applyBorder="1" applyAlignment="1">
      <alignment horizontal="left" wrapText="1"/>
    </xf>
    <xf numFmtId="1" fontId="22" fillId="46" borderId="2" xfId="0" applyNumberFormat="1" applyFont="1" applyFill="1" applyBorder="1" applyAlignment="1">
      <alignment horizontal="left" wrapText="1"/>
    </xf>
    <xf numFmtId="2" fontId="22" fillId="46" borderId="2" xfId="0" applyNumberFormat="1" applyFont="1" applyFill="1" applyBorder="1" applyAlignment="1">
      <alignment horizontal="left" wrapText="1"/>
    </xf>
    <xf numFmtId="0" fontId="0" fillId="47" borderId="0" xfId="0" applyFill="1"/>
    <xf numFmtId="0" fontId="0" fillId="46" borderId="0" xfId="0" applyFill="1"/>
    <xf numFmtId="0" fontId="0" fillId="46" borderId="0" xfId="0" applyFill="1" applyAlignment="1"/>
    <xf numFmtId="0" fontId="48" fillId="13" borderId="4" xfId="0" applyFont="1" applyFill="1" applyBorder="1" applyAlignment="1">
      <alignment vertical="top"/>
    </xf>
    <xf numFmtId="0" fontId="48" fillId="13" borderId="15" xfId="0" applyFont="1" applyFill="1" applyBorder="1" applyAlignment="1">
      <alignment vertical="top"/>
    </xf>
    <xf numFmtId="0" fontId="48" fillId="13" borderId="1" xfId="0" applyFont="1" applyFill="1" applyBorder="1" applyAlignment="1">
      <alignment vertical="top"/>
    </xf>
    <xf numFmtId="0" fontId="53" fillId="40" borderId="2" xfId="0" applyFont="1" applyFill="1" applyBorder="1" applyAlignment="1">
      <alignment horizontal="center" vertical="center"/>
    </xf>
    <xf numFmtId="0" fontId="53" fillId="40" borderId="2" xfId="0" applyFont="1" applyFill="1" applyBorder="1" applyAlignment="1">
      <alignment horizontal="left"/>
    </xf>
    <xf numFmtId="0" fontId="53" fillId="40" borderId="2" xfId="0" applyFont="1" applyFill="1" applyBorder="1" applyAlignment="1">
      <alignment horizontal="center"/>
    </xf>
    <xf numFmtId="0" fontId="0" fillId="49" borderId="2" xfId="0" applyFill="1" applyBorder="1" applyAlignment="1">
      <alignment horizontal="center" vertical="center"/>
    </xf>
    <xf numFmtId="0" fontId="0" fillId="49" borderId="2" xfId="0" applyFill="1" applyBorder="1"/>
    <xf numFmtId="0" fontId="22" fillId="12" borderId="2" xfId="5" applyFont="1" applyFill="1" applyBorder="1" applyAlignment="1">
      <alignment horizontal="right"/>
    </xf>
    <xf numFmtId="0" fontId="22" fillId="12" borderId="2" xfId="5" applyFont="1" applyFill="1" applyBorder="1" applyAlignment="1" applyProtection="1">
      <alignment horizontal="right"/>
      <protection locked="0"/>
    </xf>
    <xf numFmtId="2" fontId="22" fillId="12" borderId="2" xfId="5" applyNumberFormat="1" applyFont="1" applyFill="1" applyBorder="1" applyAlignment="1" applyProtection="1">
      <alignment horizontal="right"/>
      <protection locked="0"/>
    </xf>
    <xf numFmtId="0" fontId="22" fillId="50" borderId="2" xfId="0" applyFont="1" applyFill="1" applyBorder="1" applyAlignment="1">
      <alignment horizontal="left" wrapText="1"/>
    </xf>
    <xf numFmtId="1" fontId="22" fillId="50" borderId="2" xfId="0" applyNumberFormat="1" applyFont="1" applyFill="1" applyBorder="1" applyAlignment="1">
      <alignment horizontal="left" wrapText="1"/>
    </xf>
    <xf numFmtId="2" fontId="22" fillId="50" borderId="2" xfId="0" applyNumberFormat="1" applyFont="1" applyFill="1" applyBorder="1" applyAlignment="1">
      <alignment horizontal="left" wrapText="1"/>
    </xf>
    <xf numFmtId="0" fontId="0" fillId="48" borderId="2" xfId="0" applyFill="1" applyBorder="1" applyAlignment="1">
      <alignment horizontal="center"/>
    </xf>
    <xf numFmtId="0" fontId="0" fillId="48" borderId="2" xfId="0" applyFill="1" applyBorder="1"/>
    <xf numFmtId="0" fontId="0" fillId="13" borderId="3" xfId="0" applyFill="1" applyBorder="1" applyAlignment="1">
      <alignment horizontal="center" vertical="center"/>
    </xf>
    <xf numFmtId="0" fontId="53" fillId="51" borderId="2" xfId="0" applyFont="1" applyFill="1" applyBorder="1" applyAlignment="1">
      <alignment horizontal="center" vertical="center"/>
    </xf>
    <xf numFmtId="0" fontId="53" fillId="51" borderId="2" xfId="0" applyFont="1" applyFill="1" applyBorder="1" applyAlignment="1">
      <alignment horizontal="left"/>
    </xf>
    <xf numFmtId="0" fontId="53" fillId="51" borderId="2" xfId="0" applyFont="1" applyFill="1" applyBorder="1" applyAlignment="1">
      <alignment horizontal="center"/>
    </xf>
    <xf numFmtId="0" fontId="0" fillId="48" borderId="0" xfId="0" applyFill="1" applyAlignment="1">
      <alignment horizontal="center"/>
    </xf>
    <xf numFmtId="0" fontId="0" fillId="48" borderId="0" xfId="0" applyFill="1"/>
    <xf numFmtId="0" fontId="0" fillId="48" borderId="0" xfId="0" applyFill="1" applyAlignment="1"/>
    <xf numFmtId="0" fontId="0" fillId="48" borderId="0" xfId="0" applyFill="1" applyBorder="1" applyAlignment="1">
      <alignment horizontal="left"/>
    </xf>
    <xf numFmtId="0" fontId="60" fillId="48" borderId="0" xfId="0" applyFont="1" applyFill="1" applyBorder="1" applyAlignment="1">
      <alignment horizontal="left"/>
    </xf>
    <xf numFmtId="0" fontId="0" fillId="48" borderId="0" xfId="0" applyFill="1" applyAlignment="1">
      <alignment horizontal="left"/>
    </xf>
    <xf numFmtId="0" fontId="23" fillId="48" borderId="0" xfId="0" applyFont="1" applyFill="1" applyBorder="1" applyAlignment="1">
      <alignment vertical="center"/>
    </xf>
    <xf numFmtId="0" fontId="36" fillId="48" borderId="0" xfId="0" applyFont="1" applyFill="1"/>
    <xf numFmtId="0" fontId="49" fillId="48" borderId="0" xfId="0" applyFont="1" applyFill="1" applyAlignment="1">
      <alignment vertical="top"/>
    </xf>
    <xf numFmtId="0" fontId="56" fillId="48" borderId="0" xfId="0" applyFont="1" applyFill="1" applyAlignment="1">
      <alignment vertical="top"/>
    </xf>
    <xf numFmtId="0" fontId="56" fillId="48" borderId="0" xfId="0" applyFont="1" applyFill="1" applyBorder="1" applyAlignment="1">
      <alignment vertical="top"/>
    </xf>
    <xf numFmtId="0" fontId="0" fillId="48" borderId="0" xfId="0" applyFill="1" applyBorder="1"/>
    <xf numFmtId="0" fontId="0" fillId="48" borderId="0" xfId="0" applyFill="1" applyBorder="1" applyAlignment="1"/>
    <xf numFmtId="0" fontId="52" fillId="48" borderId="0" xfId="0" applyFont="1" applyFill="1" applyBorder="1" applyAlignment="1">
      <alignment vertical="center"/>
    </xf>
    <xf numFmtId="0" fontId="50" fillId="48" borderId="0" xfId="0" applyFont="1" applyFill="1" applyBorder="1" applyAlignment="1"/>
    <xf numFmtId="0" fontId="55" fillId="48" borderId="0" xfId="0" applyFont="1" applyFill="1" applyBorder="1" applyAlignment="1">
      <alignment horizontal="right"/>
    </xf>
    <xf numFmtId="0" fontId="57" fillId="48" borderId="0" xfId="0" applyFont="1" applyFill="1" applyBorder="1" applyAlignment="1" applyProtection="1">
      <protection locked="0"/>
    </xf>
    <xf numFmtId="0" fontId="50" fillId="48" borderId="0" xfId="0" applyFont="1" applyFill="1" applyBorder="1"/>
    <xf numFmtId="0" fontId="23" fillId="52" borderId="3" xfId="0" applyFont="1" applyFill="1" applyBorder="1" applyAlignment="1" applyProtection="1">
      <alignment horizontal="center"/>
      <protection locked="0"/>
    </xf>
    <xf numFmtId="0" fontId="23" fillId="52" borderId="2" xfId="0" applyFont="1" applyFill="1" applyBorder="1" applyAlignment="1" applyProtection="1">
      <alignment horizontal="center"/>
      <protection locked="0"/>
    </xf>
    <xf numFmtId="0" fontId="23" fillId="53" borderId="3" xfId="0" applyFont="1" applyFill="1" applyBorder="1" applyAlignment="1" applyProtection="1">
      <alignment horizontal="center"/>
      <protection locked="0"/>
    </xf>
    <xf numFmtId="0" fontId="23" fillId="53" borderId="2" xfId="0" applyFont="1" applyFill="1" applyBorder="1" applyAlignment="1" applyProtection="1">
      <alignment horizontal="center"/>
      <protection locked="0"/>
    </xf>
    <xf numFmtId="0" fontId="0" fillId="45" borderId="2" xfId="0" applyFont="1" applyFill="1" applyBorder="1" applyAlignment="1"/>
    <xf numFmtId="2" fontId="65" fillId="48" borderId="0" xfId="0" applyNumberFormat="1" applyFont="1" applyFill="1" applyBorder="1" applyAlignment="1">
      <alignment horizontal="right"/>
    </xf>
    <xf numFmtId="2" fontId="0" fillId="0" borderId="5" xfId="0" applyNumberFormat="1" applyBorder="1" applyAlignment="1" applyProtection="1">
      <alignment horizontal="center"/>
      <protection locked="0"/>
    </xf>
    <xf numFmtId="0" fontId="0" fillId="0" borderId="5" xfId="0" applyBorder="1" applyAlignment="1" applyProtection="1">
      <alignment horizontal="center"/>
      <protection locked="0"/>
    </xf>
    <xf numFmtId="0" fontId="0" fillId="0" borderId="2" xfId="0" applyBorder="1" applyProtection="1">
      <protection locked="0"/>
    </xf>
    <xf numFmtId="165" fontId="0" fillId="53" borderId="2" xfId="0" applyNumberFormat="1" applyFill="1" applyBorder="1" applyAlignment="1">
      <alignment horizontal="center" vertical="center"/>
    </xf>
    <xf numFmtId="0" fontId="0" fillId="20" borderId="2" xfId="0" applyFill="1" applyBorder="1" applyAlignment="1">
      <alignment horizontal="center"/>
    </xf>
    <xf numFmtId="0" fontId="0" fillId="38" borderId="2" xfId="0" applyFill="1" applyBorder="1" applyAlignment="1">
      <alignment horizontal="center"/>
    </xf>
    <xf numFmtId="0" fontId="0" fillId="38" borderId="2" xfId="0" applyFill="1" applyBorder="1" applyAlignment="1" applyProtection="1">
      <alignment horizontal="center"/>
      <protection locked="0"/>
    </xf>
    <xf numFmtId="0" fontId="0" fillId="19" borderId="2" xfId="0" applyFill="1" applyBorder="1" applyAlignment="1">
      <alignment horizontal="center"/>
    </xf>
    <xf numFmtId="165" fontId="0" fillId="54" borderId="2" xfId="0" applyNumberFormat="1" applyFill="1" applyBorder="1" applyAlignment="1">
      <alignment horizontal="center" vertical="center"/>
    </xf>
    <xf numFmtId="0" fontId="0" fillId="0" borderId="0" xfId="0" applyFill="1" applyBorder="1" applyAlignment="1">
      <alignment horizontal="center" vertical="center"/>
    </xf>
    <xf numFmtId="165" fontId="0" fillId="0" borderId="0" xfId="0" applyNumberFormat="1" applyFill="1" applyBorder="1" applyAlignment="1">
      <alignment horizontal="center" vertical="center"/>
    </xf>
    <xf numFmtId="165" fontId="0" fillId="53" borderId="2" xfId="0" applyNumberFormat="1" applyFont="1" applyFill="1" applyBorder="1" applyAlignment="1">
      <alignment horizontal="center" vertical="center"/>
    </xf>
    <xf numFmtId="0" fontId="45" fillId="0" borderId="0" xfId="0" applyFont="1" applyFill="1" applyBorder="1" applyAlignment="1"/>
    <xf numFmtId="0" fontId="44" fillId="0" borderId="0" xfId="0" applyFont="1" applyFill="1" applyBorder="1" applyAlignment="1">
      <alignment vertical="center"/>
    </xf>
    <xf numFmtId="0" fontId="0" fillId="0" borderId="0" xfId="0" applyFill="1" applyAlignment="1">
      <alignment horizontal="center" vertical="center"/>
    </xf>
    <xf numFmtId="0" fontId="0" fillId="0" borderId="0" xfId="0" applyFill="1" applyBorder="1" applyAlignment="1">
      <alignment horizontal="center"/>
    </xf>
    <xf numFmtId="0" fontId="1" fillId="0" borderId="0" xfId="0" applyNumberFormat="1" applyFont="1" applyFill="1" applyBorder="1" applyAlignment="1" applyProtection="1">
      <alignment horizontal="center"/>
      <protection locked="0"/>
    </xf>
    <xf numFmtId="1" fontId="0" fillId="0" borderId="0" xfId="0" applyNumberFormat="1" applyAlignment="1">
      <alignment horizontal="center"/>
    </xf>
    <xf numFmtId="1" fontId="0" fillId="0" borderId="0" xfId="0" applyNumberFormat="1" applyFill="1" applyBorder="1" applyAlignment="1">
      <alignment horizontal="center"/>
    </xf>
    <xf numFmtId="1" fontId="0" fillId="0" borderId="0" xfId="0" applyNumberFormat="1" applyFill="1" applyBorder="1" applyAlignment="1">
      <alignment horizontal="center" vertical="center"/>
    </xf>
    <xf numFmtId="165" fontId="0" fillId="0" borderId="2" xfId="0" applyNumberFormat="1" applyBorder="1" applyAlignment="1">
      <alignment horizontal="center"/>
    </xf>
    <xf numFmtId="165" fontId="0" fillId="53" borderId="2" xfId="0" applyNumberFormat="1" applyFill="1" applyBorder="1" applyAlignment="1">
      <alignment horizontal="center"/>
    </xf>
    <xf numFmtId="165" fontId="19" fillId="0" borderId="2" xfId="2" applyNumberFormat="1" applyFont="1" applyFill="1" applyBorder="1" applyAlignment="1">
      <alignment horizontal="center"/>
    </xf>
    <xf numFmtId="165" fontId="19" fillId="0" borderId="2" xfId="2" applyNumberFormat="1" applyFill="1" applyBorder="1" applyAlignment="1">
      <alignment horizontal="center"/>
    </xf>
    <xf numFmtId="0" fontId="8" fillId="0" borderId="2" xfId="0" applyFont="1" applyBorder="1" applyAlignment="1">
      <alignment horizontal="center"/>
    </xf>
    <xf numFmtId="0" fontId="8" fillId="0" borderId="2" xfId="0" applyFont="1" applyBorder="1" applyAlignment="1">
      <alignment horizontal="center" vertical="center"/>
    </xf>
    <xf numFmtId="165" fontId="8" fillId="0" borderId="2" xfId="0" applyNumberFormat="1" applyFont="1" applyBorder="1" applyAlignment="1">
      <alignment horizontal="center" wrapText="1"/>
    </xf>
    <xf numFmtId="0" fontId="9" fillId="0" borderId="2" xfId="0" applyFont="1" applyBorder="1" applyAlignment="1">
      <alignment horizontal="center" vertical="center"/>
    </xf>
    <xf numFmtId="0" fontId="8" fillId="0" borderId="2" xfId="0" applyFont="1" applyBorder="1" applyAlignment="1">
      <alignment horizontal="center" vertical="center"/>
    </xf>
    <xf numFmtId="0" fontId="0" fillId="0" borderId="2" xfId="0" applyFill="1" applyBorder="1" applyAlignment="1">
      <alignment horizontal="center"/>
    </xf>
    <xf numFmtId="0" fontId="11" fillId="0" borderId="2" xfId="0" applyFont="1" applyBorder="1" applyAlignment="1">
      <alignment horizontal="center" vertical="center"/>
    </xf>
    <xf numFmtId="0" fontId="8" fillId="0" borderId="2" xfId="0" applyFont="1" applyBorder="1" applyAlignment="1">
      <alignment horizontal="center" vertical="center"/>
    </xf>
    <xf numFmtId="9" fontId="9" fillId="0" borderId="2" xfId="4" applyFont="1" applyBorder="1" applyAlignment="1">
      <alignment horizontal="center" vertical="center"/>
    </xf>
    <xf numFmtId="1" fontId="9" fillId="0" borderId="0" xfId="0" applyNumberFormat="1" applyFont="1" applyAlignment="1">
      <alignment horizontal="center" vertical="center"/>
    </xf>
    <xf numFmtId="1" fontId="67" fillId="0" borderId="0" xfId="0" applyNumberFormat="1" applyFont="1" applyAlignment="1">
      <alignment horizontal="center" vertical="center"/>
    </xf>
    <xf numFmtId="0" fontId="36" fillId="20" borderId="2" xfId="0" applyFont="1" applyFill="1" applyBorder="1" applyAlignment="1">
      <alignment horizontal="center"/>
    </xf>
    <xf numFmtId="0" fontId="36" fillId="38" borderId="2" xfId="0" applyFont="1" applyFill="1" applyBorder="1" applyAlignment="1">
      <alignment horizontal="center"/>
    </xf>
    <xf numFmtId="0" fontId="36" fillId="38" borderId="2" xfId="0" applyFont="1" applyFill="1" applyBorder="1" applyAlignment="1" applyProtection="1">
      <alignment horizontal="center"/>
      <protection locked="0"/>
    </xf>
    <xf numFmtId="0" fontId="26" fillId="0" borderId="27" xfId="0" applyFont="1" applyBorder="1" applyAlignment="1">
      <alignment horizontal="center" vertical="center"/>
    </xf>
    <xf numFmtId="0" fontId="26" fillId="0" borderId="2" xfId="0" applyFont="1" applyBorder="1" applyAlignment="1">
      <alignment horizontal="center" vertical="center"/>
    </xf>
    <xf numFmtId="0" fontId="0" fillId="0" borderId="0" xfId="0" applyFill="1" applyBorder="1" applyAlignment="1">
      <alignment horizontal="center"/>
    </xf>
    <xf numFmtId="0" fontId="28" fillId="0" borderId="0" xfId="0" applyFont="1" applyAlignment="1">
      <alignment vertical="center"/>
    </xf>
    <xf numFmtId="0" fontId="28" fillId="12" borderId="0" xfId="0" applyFont="1" applyFill="1" applyAlignment="1">
      <alignment vertical="center"/>
    </xf>
    <xf numFmtId="0" fontId="28" fillId="12" borderId="0" xfId="0" applyFont="1" applyFill="1" applyAlignment="1">
      <alignment horizontal="center" vertical="center"/>
    </xf>
    <xf numFmtId="0" fontId="28" fillId="12" borderId="0" xfId="0" applyFont="1" applyFill="1"/>
    <xf numFmtId="0" fontId="0" fillId="12" borderId="0" xfId="0" applyFill="1" applyAlignment="1">
      <alignment vertical="center"/>
    </xf>
    <xf numFmtId="0" fontId="68" fillId="38" borderId="20" xfId="0" applyFont="1" applyFill="1" applyBorder="1" applyAlignment="1">
      <alignment horizontal="center" vertical="center"/>
    </xf>
    <xf numFmtId="0" fontId="68" fillId="38" borderId="20" xfId="0" applyFont="1" applyFill="1" applyBorder="1" applyAlignment="1" applyProtection="1">
      <alignment horizontal="center" vertical="center"/>
      <protection locked="0"/>
    </xf>
    <xf numFmtId="0" fontId="68" fillId="38" borderId="28" xfId="0" applyFont="1" applyFill="1" applyBorder="1" applyAlignment="1">
      <alignment horizontal="center" vertical="center"/>
    </xf>
    <xf numFmtId="0" fontId="30" fillId="0" borderId="21" xfId="0" applyFont="1" applyFill="1" applyBorder="1" applyAlignment="1">
      <alignment horizontal="center" vertical="center"/>
    </xf>
    <xf numFmtId="0" fontId="30" fillId="0" borderId="22" xfId="0" applyFont="1" applyFill="1" applyBorder="1" applyAlignment="1">
      <alignment horizontal="center" vertical="center"/>
    </xf>
    <xf numFmtId="0" fontId="68" fillId="20" borderId="2" xfId="0" applyFont="1" applyFill="1" applyBorder="1" applyAlignment="1">
      <alignment horizontal="center" vertical="center"/>
    </xf>
    <xf numFmtId="0" fontId="68" fillId="38" borderId="2" xfId="0" applyFont="1" applyFill="1" applyBorder="1" applyAlignment="1">
      <alignment horizontal="center" vertical="center"/>
    </xf>
    <xf numFmtId="0" fontId="68" fillId="38" borderId="2" xfId="0" applyFont="1" applyFill="1" applyBorder="1" applyAlignment="1" applyProtection="1">
      <alignment horizontal="center" vertical="center"/>
      <protection locked="0"/>
    </xf>
    <xf numFmtId="0" fontId="68" fillId="38" borderId="3" xfId="0" applyFont="1" applyFill="1" applyBorder="1" applyAlignment="1">
      <alignment horizontal="center" vertical="center"/>
    </xf>
    <xf numFmtId="0" fontId="30" fillId="0" borderId="23" xfId="0" applyFont="1" applyFill="1" applyBorder="1" applyAlignment="1">
      <alignment horizontal="center" vertical="center"/>
    </xf>
    <xf numFmtId="0" fontId="30" fillId="18" borderId="2" xfId="0" applyFont="1" applyFill="1" applyBorder="1" applyAlignment="1">
      <alignment horizontal="center" vertical="center"/>
    </xf>
    <xf numFmtId="0" fontId="30" fillId="19" borderId="2" xfId="0" applyFont="1" applyFill="1" applyBorder="1" applyAlignment="1">
      <alignment horizontal="center" vertical="center"/>
    </xf>
    <xf numFmtId="0" fontId="30" fillId="0" borderId="24" xfId="0" applyFont="1" applyFill="1" applyBorder="1" applyAlignment="1">
      <alignment horizontal="center" vertical="center"/>
    </xf>
    <xf numFmtId="0" fontId="68" fillId="38" borderId="25" xfId="0" applyFont="1" applyFill="1" applyBorder="1" applyAlignment="1">
      <alignment horizontal="center" vertical="center"/>
    </xf>
    <xf numFmtId="0" fontId="68" fillId="38" borderId="25" xfId="0" applyFont="1" applyFill="1" applyBorder="1" applyAlignment="1" applyProtection="1">
      <alignment horizontal="center" vertical="center"/>
      <protection locked="0"/>
    </xf>
    <xf numFmtId="0" fontId="68" fillId="38" borderId="14" xfId="0" applyFont="1" applyFill="1" applyBorder="1" applyAlignment="1">
      <alignment horizontal="center" vertical="center"/>
    </xf>
    <xf numFmtId="0" fontId="68" fillId="38" borderId="4" xfId="0" applyFont="1" applyFill="1" applyBorder="1" applyAlignment="1">
      <alignment horizontal="center" vertical="center"/>
    </xf>
    <xf numFmtId="0" fontId="68" fillId="38" borderId="4" xfId="0" applyFont="1" applyFill="1" applyBorder="1" applyAlignment="1" applyProtection="1">
      <alignment horizontal="center" vertical="center"/>
      <protection locked="0"/>
    </xf>
    <xf numFmtId="0" fontId="68" fillId="20" borderId="4" xfId="0" applyFont="1" applyFill="1" applyBorder="1" applyAlignment="1">
      <alignment horizontal="center" vertical="center"/>
    </xf>
    <xf numFmtId="0" fontId="30" fillId="0" borderId="29" xfId="0" applyFont="1" applyFill="1" applyBorder="1" applyAlignment="1">
      <alignment horizontal="center" vertical="center"/>
    </xf>
    <xf numFmtId="0" fontId="30" fillId="0" borderId="30" xfId="0" applyFont="1" applyFill="1" applyBorder="1" applyAlignment="1">
      <alignment horizontal="center" vertical="center"/>
    </xf>
    <xf numFmtId="0" fontId="68" fillId="20" borderId="1" xfId="0" applyFont="1" applyFill="1" applyBorder="1" applyAlignment="1">
      <alignment horizontal="center" vertical="center"/>
    </xf>
    <xf numFmtId="0" fontId="68" fillId="38" borderId="1" xfId="0" applyFont="1" applyFill="1" applyBorder="1" applyAlignment="1">
      <alignment horizontal="center" vertical="center"/>
    </xf>
    <xf numFmtId="0" fontId="68" fillId="38" borderId="1" xfId="0" applyFont="1" applyFill="1" applyBorder="1" applyAlignment="1" applyProtection="1">
      <alignment horizontal="center" vertical="center"/>
      <protection locked="0"/>
    </xf>
    <xf numFmtId="0" fontId="68" fillId="38" borderId="9" xfId="0" applyFont="1" applyFill="1" applyBorder="1" applyAlignment="1">
      <alignment horizontal="center" vertical="center"/>
    </xf>
    <xf numFmtId="0" fontId="68" fillId="38" borderId="5" xfId="0" applyFont="1" applyFill="1" applyBorder="1" applyAlignment="1">
      <alignment horizontal="center" vertical="center"/>
    </xf>
    <xf numFmtId="0" fontId="68" fillId="38" borderId="31" xfId="0" applyFont="1" applyFill="1" applyBorder="1" applyAlignment="1">
      <alignment horizontal="center" vertical="center"/>
    </xf>
    <xf numFmtId="0" fontId="21" fillId="0" borderId="0" xfId="0" applyFont="1" applyFill="1" applyBorder="1" applyAlignment="1">
      <alignment horizontal="right"/>
    </xf>
    <xf numFmtId="0" fontId="21" fillId="0" borderId="0" xfId="0" applyFont="1" applyFill="1"/>
    <xf numFmtId="0" fontId="8" fillId="0" borderId="2" xfId="0" applyFont="1" applyBorder="1" applyAlignment="1">
      <alignment horizontal="center" vertical="center"/>
    </xf>
    <xf numFmtId="22" fontId="8" fillId="0" borderId="2" xfId="0" applyNumberFormat="1" applyFont="1" applyBorder="1" applyAlignment="1">
      <alignment horizontal="center" vertical="center"/>
    </xf>
    <xf numFmtId="22" fontId="2" fillId="0" borderId="2" xfId="0" applyNumberFormat="1" applyFont="1" applyFill="1" applyBorder="1" applyAlignment="1">
      <alignment horizontal="center" vertical="center"/>
    </xf>
    <xf numFmtId="22" fontId="4" fillId="0" borderId="0" xfId="0" applyNumberFormat="1" applyFont="1" applyFill="1" applyBorder="1" applyAlignment="1">
      <alignment horizontal="center" vertical="center"/>
    </xf>
    <xf numFmtId="2" fontId="9" fillId="10" borderId="2" xfId="1" applyNumberFormat="1" applyFont="1" applyFill="1" applyBorder="1" applyAlignment="1">
      <alignment horizontal="center" vertical="center"/>
    </xf>
    <xf numFmtId="0" fontId="8" fillId="0" borderId="2" xfId="0" applyFont="1" applyBorder="1" applyAlignment="1" applyProtection="1">
      <alignment vertical="center"/>
      <protection locked="0"/>
    </xf>
    <xf numFmtId="0" fontId="48" fillId="13" borderId="2" xfId="0" applyFont="1" applyFill="1" applyBorder="1" applyAlignment="1">
      <alignment horizontal="center" vertical="top"/>
    </xf>
    <xf numFmtId="0" fontId="26" fillId="0" borderId="0" xfId="0" applyFont="1" applyFill="1" applyBorder="1" applyAlignment="1">
      <alignment horizontal="center" vertical="center"/>
    </xf>
    <xf numFmtId="0" fontId="0" fillId="0" borderId="0" xfId="0" applyFill="1" applyBorder="1" applyAlignment="1">
      <alignment horizontal="center"/>
    </xf>
    <xf numFmtId="0" fontId="0" fillId="0" borderId="0" xfId="0" applyAlignment="1">
      <alignment vertical="center" wrapText="1"/>
    </xf>
    <xf numFmtId="0" fontId="55" fillId="13" borderId="0" xfId="0" applyFont="1" applyFill="1" applyAlignment="1">
      <alignment horizontal="center"/>
    </xf>
    <xf numFmtId="0" fontId="55" fillId="13" borderId="0" xfId="0" applyFont="1" applyFill="1"/>
    <xf numFmtId="0" fontId="0" fillId="0" borderId="0" xfId="0" applyFill="1" applyAlignment="1">
      <alignment horizontal="left" vertical="center" wrapText="1"/>
    </xf>
    <xf numFmtId="0" fontId="62" fillId="12" borderId="0" xfId="0" applyFont="1" applyFill="1"/>
    <xf numFmtId="0" fontId="71" fillId="50" borderId="19" xfId="0" applyFont="1" applyFill="1" applyBorder="1" applyAlignment="1">
      <alignment horizontal="center" vertical="center"/>
    </xf>
    <xf numFmtId="0" fontId="71" fillId="50" borderId="20" xfId="0" applyFont="1" applyFill="1" applyBorder="1" applyAlignment="1">
      <alignment horizontal="center" vertical="center"/>
    </xf>
    <xf numFmtId="0" fontId="71" fillId="50" borderId="20" xfId="0" applyFont="1" applyFill="1" applyBorder="1" applyAlignment="1" applyProtection="1">
      <alignment horizontal="center" vertical="center"/>
      <protection locked="0"/>
    </xf>
    <xf numFmtId="0" fontId="71" fillId="50" borderId="21" xfId="0" applyFont="1" applyFill="1" applyBorder="1" applyAlignment="1">
      <alignment horizontal="center" vertical="center"/>
    </xf>
    <xf numFmtId="0" fontId="71" fillId="50" borderId="22" xfId="0" applyFont="1" applyFill="1" applyBorder="1" applyAlignment="1">
      <alignment horizontal="center" vertical="center"/>
    </xf>
    <xf numFmtId="0" fontId="71" fillId="50" borderId="2" xfId="0" applyFont="1" applyFill="1" applyBorder="1" applyAlignment="1">
      <alignment horizontal="center" vertical="center"/>
    </xf>
    <xf numFmtId="0" fontId="71" fillId="50" borderId="2" xfId="0" applyFont="1" applyFill="1" applyBorder="1" applyAlignment="1" applyProtection="1">
      <alignment horizontal="center" vertical="center"/>
      <protection locked="0"/>
    </xf>
    <xf numFmtId="0" fontId="71" fillId="50" borderId="23" xfId="0" applyFont="1" applyFill="1" applyBorder="1" applyAlignment="1">
      <alignment horizontal="center" vertical="center"/>
    </xf>
    <xf numFmtId="0" fontId="71" fillId="50" borderId="24" xfId="0" applyFont="1" applyFill="1" applyBorder="1" applyAlignment="1">
      <alignment horizontal="center" vertical="center"/>
    </xf>
    <xf numFmtId="0" fontId="71" fillId="50" borderId="25" xfId="0" applyFont="1" applyFill="1" applyBorder="1" applyAlignment="1">
      <alignment horizontal="center" vertical="center"/>
    </xf>
    <xf numFmtId="0" fontId="71" fillId="50" borderId="25" xfId="0" applyFont="1" applyFill="1" applyBorder="1" applyAlignment="1" applyProtection="1">
      <alignment horizontal="center" vertical="center"/>
      <protection locked="0"/>
    </xf>
    <xf numFmtId="0" fontId="71" fillId="50" borderId="26" xfId="0" applyFont="1" applyFill="1" applyBorder="1" applyAlignment="1">
      <alignment horizontal="center" vertical="center"/>
    </xf>
    <xf numFmtId="0" fontId="30" fillId="50" borderId="21" xfId="0" applyFont="1" applyFill="1" applyBorder="1" applyAlignment="1">
      <alignment horizontal="center" vertical="center"/>
    </xf>
    <xf numFmtId="0" fontId="30" fillId="50" borderId="23" xfId="0" applyFont="1" applyFill="1" applyBorder="1" applyAlignment="1">
      <alignment horizontal="center" vertical="center"/>
    </xf>
    <xf numFmtId="0" fontId="30" fillId="50" borderId="26" xfId="0" applyFont="1" applyFill="1" applyBorder="1" applyAlignment="1">
      <alignment horizontal="center" vertical="center"/>
    </xf>
    <xf numFmtId="0" fontId="49" fillId="44" borderId="2" xfId="0" applyFont="1" applyFill="1" applyBorder="1" applyAlignment="1">
      <alignment horizontal="center" vertical="center"/>
    </xf>
    <xf numFmtId="0" fontId="59" fillId="53" borderId="2" xfId="0" applyFont="1" applyFill="1" applyBorder="1" applyAlignment="1">
      <alignment horizontal="center" vertical="center"/>
    </xf>
    <xf numFmtId="0" fontId="23" fillId="16" borderId="3" xfId="0" applyFont="1" applyFill="1" applyBorder="1" applyAlignment="1" applyProtection="1">
      <alignment horizontal="center"/>
      <protection locked="0"/>
    </xf>
    <xf numFmtId="0" fontId="23" fillId="16" borderId="6" xfId="0" applyFont="1" applyFill="1" applyBorder="1" applyAlignment="1" applyProtection="1">
      <alignment horizontal="center"/>
      <protection locked="0"/>
    </xf>
    <xf numFmtId="0" fontId="59" fillId="53" borderId="5" xfId="0" applyFont="1" applyFill="1" applyBorder="1" applyAlignment="1">
      <alignment horizontal="center" vertical="center"/>
    </xf>
    <xf numFmtId="0" fontId="23" fillId="0" borderId="0" xfId="0" applyFont="1" applyFill="1" applyBorder="1" applyAlignment="1" applyProtection="1">
      <alignment horizontal="center"/>
      <protection locked="0"/>
    </xf>
    <xf numFmtId="0" fontId="47" fillId="0" borderId="0" xfId="0" applyFont="1" applyFill="1" applyBorder="1" applyAlignment="1"/>
    <xf numFmtId="0" fontId="50" fillId="0" borderId="0" xfId="0" applyFont="1" applyFill="1" applyBorder="1" applyAlignment="1">
      <alignment horizontal="center" vertical="center" wrapText="1"/>
    </xf>
    <xf numFmtId="0" fontId="50" fillId="44" borderId="11" xfId="0" applyFont="1" applyFill="1" applyBorder="1" applyAlignment="1">
      <alignment horizontal="center" vertical="center" wrapText="1"/>
    </xf>
    <xf numFmtId="0" fontId="50" fillId="44" borderId="1" xfId="0" applyFont="1" applyFill="1" applyBorder="1" applyAlignment="1">
      <alignment horizontal="center" vertical="center" wrapText="1"/>
    </xf>
    <xf numFmtId="0" fontId="50" fillId="44" borderId="9" xfId="0" applyFont="1" applyFill="1" applyBorder="1" applyAlignment="1">
      <alignment horizontal="center" vertical="center" wrapText="1"/>
    </xf>
    <xf numFmtId="165" fontId="0" fillId="53" borderId="5" xfId="0" applyNumberFormat="1" applyFont="1" applyFill="1" applyBorder="1" applyAlignment="1">
      <alignment horizontal="center" vertical="center"/>
    </xf>
    <xf numFmtId="165" fontId="0" fillId="53" borderId="19" xfId="0" applyNumberFormat="1" applyFill="1" applyBorder="1" applyAlignment="1">
      <alignment horizontal="center"/>
    </xf>
    <xf numFmtId="165" fontId="0" fillId="53" borderId="20" xfId="0" applyNumberFormat="1" applyFill="1" applyBorder="1" applyAlignment="1">
      <alignment horizontal="center"/>
    </xf>
    <xf numFmtId="165" fontId="0" fillId="53" borderId="21" xfId="0" applyNumberFormat="1" applyFill="1" applyBorder="1" applyAlignment="1">
      <alignment horizontal="center"/>
    </xf>
    <xf numFmtId="165" fontId="0" fillId="53" borderId="22" xfId="0" applyNumberFormat="1" applyFill="1" applyBorder="1" applyAlignment="1">
      <alignment horizontal="center"/>
    </xf>
    <xf numFmtId="165" fontId="0" fillId="53" borderId="23" xfId="0" applyNumberFormat="1" applyFill="1" applyBorder="1" applyAlignment="1">
      <alignment horizontal="center"/>
    </xf>
    <xf numFmtId="165" fontId="0" fillId="53" borderId="24" xfId="0" applyNumberFormat="1" applyFill="1" applyBorder="1" applyAlignment="1">
      <alignment horizontal="center"/>
    </xf>
    <xf numFmtId="165" fontId="0" fillId="53" borderId="25" xfId="0" applyNumberFormat="1" applyFill="1" applyBorder="1" applyAlignment="1">
      <alignment horizontal="center"/>
    </xf>
    <xf numFmtId="165" fontId="0" fillId="53" borderId="26" xfId="0" applyNumberFormat="1" applyFill="1" applyBorder="1" applyAlignment="1">
      <alignment horizontal="center"/>
    </xf>
    <xf numFmtId="165" fontId="0" fillId="22" borderId="2" xfId="0" applyNumberFormat="1" applyFont="1" applyFill="1" applyBorder="1" applyAlignment="1">
      <alignment horizontal="center" vertical="center"/>
    </xf>
    <xf numFmtId="168" fontId="0" fillId="22" borderId="2" xfId="0" applyNumberFormat="1" applyFill="1" applyBorder="1" applyAlignment="1">
      <alignment horizontal="center" vertical="center"/>
    </xf>
    <xf numFmtId="168" fontId="0" fillId="22" borderId="5" xfId="0" applyNumberFormat="1" applyFill="1" applyBorder="1" applyAlignment="1">
      <alignment horizontal="center" vertical="center"/>
    </xf>
    <xf numFmtId="165" fontId="0" fillId="22" borderId="19" xfId="0" applyNumberFormat="1" applyFill="1" applyBorder="1" applyAlignment="1">
      <alignment horizontal="center"/>
    </xf>
    <xf numFmtId="165" fontId="0" fillId="22" borderId="20" xfId="0" applyNumberFormat="1" applyFill="1" applyBorder="1" applyAlignment="1">
      <alignment horizontal="center"/>
    </xf>
    <xf numFmtId="165" fontId="0" fillId="22" borderId="21" xfId="0" applyNumberFormat="1" applyFill="1" applyBorder="1" applyAlignment="1">
      <alignment horizontal="center"/>
    </xf>
    <xf numFmtId="165" fontId="0" fillId="22" borderId="22" xfId="0" applyNumberFormat="1" applyFill="1" applyBorder="1" applyAlignment="1">
      <alignment horizontal="center"/>
    </xf>
    <xf numFmtId="165" fontId="0" fillId="22" borderId="2" xfId="0" applyNumberFormat="1" applyFill="1" applyBorder="1" applyAlignment="1">
      <alignment horizontal="center"/>
    </xf>
    <xf numFmtId="165" fontId="0" fillId="22" borderId="23" xfId="0" applyNumberFormat="1" applyFill="1" applyBorder="1" applyAlignment="1">
      <alignment horizontal="center"/>
    </xf>
    <xf numFmtId="165" fontId="0" fillId="22" borderId="24" xfId="0" applyNumberFormat="1" applyFill="1" applyBorder="1" applyAlignment="1">
      <alignment horizontal="center"/>
    </xf>
    <xf numFmtId="165" fontId="0" fillId="22" borderId="25" xfId="0" applyNumberFormat="1" applyFill="1" applyBorder="1" applyAlignment="1">
      <alignment horizontal="center"/>
    </xf>
    <xf numFmtId="165" fontId="0" fillId="22" borderId="26" xfId="0" applyNumberFormat="1" applyFill="1" applyBorder="1" applyAlignment="1">
      <alignment horizontal="center"/>
    </xf>
    <xf numFmtId="0" fontId="0" fillId="15" borderId="2" xfId="0" applyFill="1" applyBorder="1" applyAlignment="1">
      <alignment horizontal="center"/>
    </xf>
    <xf numFmtId="0" fontId="21" fillId="0" borderId="2" xfId="0" applyFont="1" applyBorder="1" applyAlignment="1">
      <alignment horizontal="left"/>
    </xf>
    <xf numFmtId="0" fontId="21" fillId="15" borderId="2" xfId="0" applyFont="1" applyFill="1" applyBorder="1" applyAlignment="1">
      <alignment horizontal="left"/>
    </xf>
    <xf numFmtId="0" fontId="21" fillId="0" borderId="2" xfId="0" applyFont="1" applyFill="1" applyBorder="1" applyAlignment="1">
      <alignment horizontal="left"/>
    </xf>
    <xf numFmtId="0" fontId="0" fillId="15" borderId="2" xfId="0" applyFill="1" applyBorder="1" applyAlignment="1">
      <alignment horizontal="left"/>
    </xf>
    <xf numFmtId="2" fontId="0" fillId="15" borderId="2" xfId="0" applyNumberFormat="1" applyFill="1" applyBorder="1" applyAlignment="1">
      <alignment horizontal="center"/>
    </xf>
    <xf numFmtId="0" fontId="27" fillId="12" borderId="2" xfId="0" applyFont="1" applyFill="1" applyBorder="1" applyAlignment="1">
      <alignment horizontal="center" vertical="center" wrapText="1"/>
    </xf>
    <xf numFmtId="0" fontId="27" fillId="0" borderId="2" xfId="0" applyFont="1" applyBorder="1" applyAlignment="1">
      <alignment vertical="center"/>
    </xf>
    <xf numFmtId="0" fontId="27" fillId="17" borderId="2" xfId="0" applyFont="1" applyFill="1" applyBorder="1" applyAlignment="1">
      <alignment horizontal="center" vertical="center" wrapText="1"/>
    </xf>
    <xf numFmtId="0" fontId="23" fillId="39" borderId="2" xfId="0" applyFont="1" applyFill="1" applyBorder="1" applyAlignment="1">
      <alignment horizontal="center" vertical="center"/>
    </xf>
    <xf numFmtId="0" fontId="23" fillId="39" borderId="5" xfId="0" applyFont="1" applyFill="1" applyBorder="1" applyAlignment="1">
      <alignment horizontal="center" vertical="center"/>
    </xf>
    <xf numFmtId="0" fontId="22" fillId="0" borderId="0" xfId="0" applyFont="1" applyFill="1" applyBorder="1" applyAlignment="1">
      <alignment horizontal="center"/>
    </xf>
    <xf numFmtId="0" fontId="22" fillId="0" borderId="0" xfId="0" applyFont="1" applyFill="1" applyAlignment="1">
      <alignment horizontal="center"/>
    </xf>
    <xf numFmtId="2" fontId="22" fillId="0" borderId="0" xfId="0" applyNumberFormat="1" applyFont="1" applyFill="1" applyAlignment="1">
      <alignment horizontal="center"/>
    </xf>
    <xf numFmtId="11" fontId="0" fillId="0" borderId="0" xfId="0" applyNumberFormat="1" applyAlignment="1">
      <alignment horizontal="center"/>
    </xf>
    <xf numFmtId="11" fontId="0" fillId="0" borderId="0" xfId="0" applyNumberFormat="1"/>
    <xf numFmtId="11" fontId="48" fillId="13" borderId="2" xfId="0" applyNumberFormat="1" applyFont="1" applyFill="1" applyBorder="1" applyAlignment="1">
      <alignment horizontal="center" vertical="top"/>
    </xf>
    <xf numFmtId="0" fontId="54" fillId="15" borderId="2" xfId="0" applyFont="1" applyFill="1" applyBorder="1" applyAlignment="1">
      <alignment vertical="center"/>
    </xf>
    <xf numFmtId="0" fontId="54" fillId="15" borderId="2" xfId="0" applyFont="1" applyFill="1" applyBorder="1"/>
    <xf numFmtId="0" fontId="54" fillId="15" borderId="2" xfId="0" applyFont="1" applyFill="1" applyBorder="1" applyAlignment="1">
      <alignment horizontal="left"/>
    </xf>
    <xf numFmtId="0" fontId="0" fillId="46" borderId="2" xfId="0" applyFill="1" applyBorder="1" applyAlignment="1">
      <alignment horizontal="left"/>
    </xf>
    <xf numFmtId="0" fontId="0" fillId="50" borderId="2" xfId="0" applyFill="1" applyBorder="1" applyAlignment="1">
      <alignment horizontal="left"/>
    </xf>
    <xf numFmtId="0" fontId="0" fillId="15" borderId="4" xfId="0" applyFill="1" applyBorder="1" applyAlignment="1">
      <alignment horizontal="left"/>
    </xf>
    <xf numFmtId="0" fontId="36" fillId="21" borderId="2" xfId="0" applyFont="1" applyFill="1" applyBorder="1" applyAlignment="1">
      <alignment horizontal="center" wrapText="1"/>
    </xf>
    <xf numFmtId="0" fontId="0" fillId="16" borderId="1" xfId="0" applyFill="1" applyBorder="1" applyAlignment="1">
      <alignment horizontal="center"/>
    </xf>
    <xf numFmtId="2" fontId="0" fillId="0" borderId="0" xfId="0" applyNumberFormat="1" applyBorder="1"/>
    <xf numFmtId="2" fontId="23" fillId="17" borderId="5" xfId="0" applyNumberFormat="1" applyFont="1" applyFill="1" applyBorder="1" applyAlignment="1">
      <alignment horizontal="center" vertical="center"/>
    </xf>
    <xf numFmtId="2" fontId="23" fillId="17" borderId="1" xfId="0" applyNumberFormat="1" applyFont="1" applyFill="1" applyBorder="1" applyAlignment="1">
      <alignment horizontal="center" vertical="center"/>
    </xf>
    <xf numFmtId="0" fontId="22" fillId="22" borderId="2" xfId="0" applyFont="1" applyFill="1" applyBorder="1" applyAlignment="1">
      <alignment horizontal="center"/>
    </xf>
    <xf numFmtId="2" fontId="22" fillId="16" borderId="2" xfId="0" applyNumberFormat="1" applyFont="1" applyFill="1" applyBorder="1" applyAlignment="1">
      <alignment horizontal="center"/>
    </xf>
    <xf numFmtId="2" fontId="22" fillId="21" borderId="2" xfId="0" applyNumberFormat="1" applyFont="1" applyFill="1" applyBorder="1" applyAlignment="1">
      <alignment horizontal="center"/>
    </xf>
    <xf numFmtId="0" fontId="0" fillId="50" borderId="0" xfId="0" applyFill="1" applyBorder="1"/>
    <xf numFmtId="2" fontId="0" fillId="50" borderId="0" xfId="0" applyNumberFormat="1" applyFill="1" applyBorder="1"/>
    <xf numFmtId="0" fontId="23" fillId="50" borderId="0" xfId="0" quotePrefix="1" applyFont="1" applyFill="1" applyBorder="1" applyAlignment="1">
      <alignment horizontal="left" vertical="center"/>
    </xf>
    <xf numFmtId="0" fontId="54" fillId="50" borderId="0" xfId="0" applyFont="1" applyFill="1" applyBorder="1" applyAlignment="1">
      <alignment horizontal="left" vertical="center"/>
    </xf>
    <xf numFmtId="0" fontId="0" fillId="0" borderId="0" xfId="0" applyFill="1" applyBorder="1" applyAlignment="1">
      <alignment horizontal="center"/>
    </xf>
    <xf numFmtId="0" fontId="0" fillId="0" borderId="0" xfId="0" applyFill="1" applyBorder="1" applyAlignment="1">
      <alignment horizontal="left"/>
    </xf>
    <xf numFmtId="2" fontId="0" fillId="0" borderId="0" xfId="0" applyNumberFormat="1" applyFill="1" applyBorder="1" applyAlignment="1">
      <alignment horizontal="right" vertical="center"/>
    </xf>
    <xf numFmtId="2" fontId="0" fillId="48" borderId="2" xfId="0" applyNumberFormat="1" applyFill="1" applyBorder="1"/>
    <xf numFmtId="1" fontId="0" fillId="0" borderId="2" xfId="0" applyNumberFormat="1" applyBorder="1"/>
    <xf numFmtId="0" fontId="27" fillId="0" borderId="2" xfId="0" applyFont="1" applyFill="1" applyBorder="1" applyAlignment="1">
      <alignment horizontal="center" vertical="center"/>
    </xf>
    <xf numFmtId="0" fontId="0" fillId="16" borderId="2" xfId="0" applyFill="1" applyBorder="1" applyAlignment="1">
      <alignment horizontal="center" vertical="center"/>
    </xf>
    <xf numFmtId="0" fontId="23" fillId="0" borderId="0" xfId="0" applyFont="1" applyFill="1" applyBorder="1" applyAlignment="1">
      <alignment horizontal="center" vertical="center"/>
    </xf>
    <xf numFmtId="2" fontId="23" fillId="0" borderId="0" xfId="0" applyNumberFormat="1" applyFont="1" applyFill="1" applyBorder="1" applyAlignment="1">
      <alignment horizontal="center" vertical="center"/>
    </xf>
    <xf numFmtId="22" fontId="0" fillId="0" borderId="0" xfId="0" applyNumberFormat="1" applyAlignment="1">
      <alignment horizontal="left"/>
    </xf>
    <xf numFmtId="2" fontId="0" fillId="55" borderId="2" xfId="0" applyNumberFormat="1" applyFill="1" applyBorder="1"/>
    <xf numFmtId="2" fontId="0" fillId="0" borderId="2" xfId="0" applyNumberFormat="1" applyBorder="1" applyAlignment="1">
      <alignment horizontal="left"/>
    </xf>
    <xf numFmtId="0" fontId="21" fillId="0" borderId="0" xfId="0" applyFont="1" applyAlignment="1"/>
    <xf numFmtId="0" fontId="73" fillId="12" borderId="2" xfId="0" applyFont="1" applyFill="1" applyBorder="1" applyAlignment="1">
      <alignment horizontal="center" vertical="center" wrapText="1"/>
    </xf>
    <xf numFmtId="0" fontId="21" fillId="0" borderId="0" xfId="0" applyFont="1" applyBorder="1"/>
    <xf numFmtId="0" fontId="21" fillId="0" borderId="32" xfId="0" applyFont="1" applyFill="1" applyBorder="1"/>
    <xf numFmtId="0" fontId="0" fillId="0" borderId="32" xfId="0" applyBorder="1"/>
    <xf numFmtId="0" fontId="0" fillId="12" borderId="0" xfId="0" applyFill="1" applyBorder="1"/>
    <xf numFmtId="0" fontId="0" fillId="54" borderId="0" xfId="0" applyFill="1"/>
    <xf numFmtId="0" fontId="0" fillId="54" borderId="0" xfId="0" applyFill="1" applyBorder="1"/>
    <xf numFmtId="0" fontId="29" fillId="12" borderId="0" xfId="0" applyFont="1" applyFill="1" applyBorder="1" applyAlignment="1">
      <alignment horizontal="left"/>
    </xf>
    <xf numFmtId="0" fontId="30" fillId="12" borderId="0" xfId="0" applyFont="1" applyFill="1" applyBorder="1" applyAlignment="1">
      <alignment horizontal="left"/>
    </xf>
    <xf numFmtId="0" fontId="21" fillId="55" borderId="2" xfId="0" applyFont="1" applyFill="1" applyBorder="1" applyAlignment="1">
      <alignment horizontal="center"/>
    </xf>
    <xf numFmtId="0" fontId="29" fillId="13" borderId="2" xfId="0" applyFont="1" applyFill="1" applyBorder="1" applyAlignment="1"/>
    <xf numFmtId="0" fontId="30" fillId="13" borderId="2" xfId="0" applyFont="1" applyFill="1" applyBorder="1"/>
    <xf numFmtId="2" fontId="30" fillId="0" borderId="2" xfId="0" applyNumberFormat="1" applyFont="1" applyFill="1" applyBorder="1" applyAlignment="1">
      <alignment horizontal="left"/>
    </xf>
    <xf numFmtId="0" fontId="29" fillId="13" borderId="2" xfId="0" applyFont="1" applyFill="1" applyBorder="1" applyAlignment="1">
      <alignment horizontal="center" vertical="center"/>
    </xf>
    <xf numFmtId="0" fontId="30" fillId="0" borderId="2" xfId="0" applyFont="1" applyFill="1" applyBorder="1"/>
    <xf numFmtId="2" fontId="30" fillId="0" borderId="2" xfId="0" applyNumberFormat="1" applyFont="1" applyFill="1" applyBorder="1"/>
    <xf numFmtId="0" fontId="30" fillId="13" borderId="2" xfId="0" applyFont="1" applyFill="1" applyBorder="1" applyAlignment="1">
      <alignment horizontal="center"/>
    </xf>
    <xf numFmtId="0" fontId="30" fillId="13" borderId="2" xfId="0" applyFont="1" applyFill="1" applyBorder="1" applyAlignment="1">
      <alignment horizontal="left"/>
    </xf>
    <xf numFmtId="0" fontId="30" fillId="0" borderId="2" xfId="0" applyFont="1" applyBorder="1" applyAlignment="1">
      <alignment horizontal="right"/>
    </xf>
    <xf numFmtId="2" fontId="30" fillId="0" borderId="2" xfId="0" applyNumberFormat="1" applyFont="1" applyBorder="1" applyAlignment="1">
      <alignment horizontal="right"/>
    </xf>
    <xf numFmtId="0" fontId="26" fillId="15" borderId="2" xfId="0" applyFont="1" applyFill="1" applyBorder="1" applyAlignment="1">
      <alignment horizontal="center" vertical="center"/>
    </xf>
    <xf numFmtId="0" fontId="30" fillId="15" borderId="2" xfId="0" applyFont="1" applyFill="1" applyBorder="1" applyAlignment="1">
      <alignment horizontal="right"/>
    </xf>
    <xf numFmtId="0" fontId="30" fillId="15" borderId="2" xfId="0" applyFont="1" applyFill="1" applyBorder="1"/>
    <xf numFmtId="0" fontId="30" fillId="15" borderId="2" xfId="0" applyFont="1" applyFill="1" applyBorder="1" applyAlignment="1">
      <alignment horizontal="right" vertical="center"/>
    </xf>
    <xf numFmtId="0" fontId="72" fillId="12" borderId="0" xfId="0" applyFont="1" applyFill="1" applyBorder="1" applyAlignment="1">
      <alignment vertical="center"/>
    </xf>
    <xf numFmtId="0" fontId="32" fillId="12" borderId="0" xfId="0" applyFont="1" applyFill="1" applyBorder="1" applyAlignment="1"/>
    <xf numFmtId="0" fontId="30" fillId="12" borderId="0" xfId="0" applyFont="1" applyFill="1"/>
    <xf numFmtId="0" fontId="72" fillId="12" borderId="0" xfId="0" applyFont="1" applyFill="1"/>
    <xf numFmtId="2" fontId="30" fillId="12" borderId="0" xfId="0" applyNumberFormat="1" applyFont="1" applyFill="1" applyBorder="1"/>
    <xf numFmtId="0" fontId="72" fillId="12" borderId="0" xfId="0" applyFont="1" applyFill="1" applyAlignment="1"/>
    <xf numFmtId="0" fontId="32" fillId="12" borderId="0" xfId="0" applyFont="1" applyFill="1" applyAlignment="1"/>
    <xf numFmtId="0" fontId="38" fillId="12" borderId="0" xfId="0" applyFont="1" applyFill="1" applyBorder="1" applyAlignment="1">
      <alignment vertical="center"/>
    </xf>
    <xf numFmtId="0" fontId="38" fillId="12" borderId="0" xfId="0" applyFont="1" applyFill="1" applyBorder="1" applyAlignment="1">
      <alignment horizontal="center" vertical="center"/>
    </xf>
    <xf numFmtId="165" fontId="39" fillId="12" borderId="0" xfId="0" applyNumberFormat="1" applyFont="1" applyFill="1" applyBorder="1" applyAlignment="1">
      <alignment horizontal="center" vertical="center"/>
    </xf>
    <xf numFmtId="0" fontId="28" fillId="12" borderId="0" xfId="0" applyFont="1" applyFill="1" applyBorder="1"/>
    <xf numFmtId="22" fontId="0" fillId="12" borderId="0" xfId="0" applyNumberFormat="1" applyFill="1"/>
    <xf numFmtId="0" fontId="72" fillId="12" borderId="0" xfId="0" applyFont="1" applyFill="1" applyBorder="1" applyAlignment="1"/>
    <xf numFmtId="0" fontId="28" fillId="12" borderId="0" xfId="0" applyFont="1" applyFill="1" applyBorder="1" applyAlignment="1">
      <alignment horizontal="center"/>
    </xf>
    <xf numFmtId="2" fontId="28" fillId="12" borderId="0" xfId="0" applyNumberFormat="1" applyFont="1" applyFill="1" applyBorder="1"/>
    <xf numFmtId="0" fontId="28" fillId="12" borderId="0" xfId="0" applyFont="1" applyFill="1" applyBorder="1" applyAlignment="1">
      <alignment horizontal="right"/>
    </xf>
    <xf numFmtId="0" fontId="23" fillId="12" borderId="0" xfId="0" applyFont="1" applyFill="1" applyBorder="1" applyAlignment="1">
      <alignment horizontal="center" vertical="center"/>
    </xf>
    <xf numFmtId="2" fontId="23" fillId="12" borderId="0" xfId="0" applyNumberFormat="1" applyFont="1" applyFill="1" applyBorder="1" applyAlignment="1">
      <alignment horizontal="center" vertical="center"/>
    </xf>
    <xf numFmtId="0" fontId="30" fillId="12" borderId="0" xfId="0" applyNumberFormat="1" applyFont="1" applyFill="1" applyBorder="1" applyAlignment="1">
      <alignment horizontal="center"/>
    </xf>
    <xf numFmtId="0" fontId="30" fillId="12" borderId="0" xfId="0" applyFont="1" applyFill="1" applyBorder="1" applyAlignment="1">
      <alignment horizontal="center"/>
    </xf>
    <xf numFmtId="2" fontId="30" fillId="12" borderId="0" xfId="0" applyNumberFormat="1" applyFont="1" applyFill="1" applyBorder="1" applyAlignment="1">
      <alignment horizontal="center"/>
    </xf>
    <xf numFmtId="1" fontId="30" fillId="12" borderId="0" xfId="0" applyNumberFormat="1" applyFont="1" applyFill="1" applyBorder="1" applyAlignment="1">
      <alignment horizontal="center"/>
    </xf>
    <xf numFmtId="0" fontId="0" fillId="0" borderId="2" xfId="0" applyBorder="1" applyAlignment="1">
      <alignment horizontal="left"/>
    </xf>
    <xf numFmtId="0" fontId="23" fillId="0" borderId="0" xfId="0" applyFont="1" applyFill="1" applyBorder="1" applyAlignment="1">
      <alignment horizontal="center" vertical="center"/>
    </xf>
    <xf numFmtId="2" fontId="23" fillId="0" borderId="0" xfId="0" applyNumberFormat="1" applyFont="1" applyFill="1" applyBorder="1" applyAlignment="1">
      <alignment horizontal="center" vertical="center"/>
    </xf>
    <xf numFmtId="11" fontId="0" fillId="15" borderId="2" xfId="0" applyNumberFormat="1" applyFill="1" applyBorder="1"/>
    <xf numFmtId="0" fontId="52" fillId="44" borderId="2" xfId="0" applyFont="1" applyFill="1" applyBorder="1" applyAlignment="1">
      <alignment horizontal="left"/>
    </xf>
    <xf numFmtId="2" fontId="0" fillId="13" borderId="2" xfId="0" applyNumberFormat="1" applyFill="1" applyBorder="1" applyAlignment="1">
      <alignment horizontal="left"/>
    </xf>
    <xf numFmtId="0" fontId="76" fillId="0" borderId="0" xfId="0" applyFont="1" applyFill="1" applyBorder="1"/>
    <xf numFmtId="0" fontId="21" fillId="15" borderId="2" xfId="0" applyFont="1" applyFill="1" applyBorder="1"/>
    <xf numFmtId="0" fontId="21" fillId="0" borderId="0" xfId="0" applyFont="1" applyFill="1" applyBorder="1"/>
    <xf numFmtId="0" fontId="21" fillId="0" borderId="0" xfId="0" applyFont="1" applyFill="1" applyBorder="1" applyAlignment="1">
      <alignment vertical="center"/>
    </xf>
    <xf numFmtId="0" fontId="21" fillId="0" borderId="2" xfId="0" applyFont="1" applyBorder="1" applyAlignment="1">
      <alignment horizontal="left"/>
    </xf>
    <xf numFmtId="0" fontId="0" fillId="15" borderId="2" xfId="0" applyNumberFormat="1" applyFill="1" applyBorder="1" applyAlignment="1">
      <alignment horizontal="left"/>
    </xf>
    <xf numFmtId="0" fontId="21" fillId="0" borderId="2" xfId="0" applyFont="1" applyFill="1" applyBorder="1"/>
    <xf numFmtId="167" fontId="30" fillId="15" borderId="2" xfId="0" applyNumberFormat="1" applyFont="1" applyFill="1" applyBorder="1" applyAlignment="1">
      <alignment horizontal="left"/>
    </xf>
    <xf numFmtId="22" fontId="30" fillId="15" borderId="2" xfId="0" applyNumberFormat="1" applyFont="1" applyFill="1" applyBorder="1" applyAlignment="1">
      <alignment horizontal="left" vertical="center"/>
    </xf>
    <xf numFmtId="168" fontId="30" fillId="0" borderId="2" xfId="0" applyNumberFormat="1" applyFont="1" applyFill="1" applyBorder="1" applyAlignment="1">
      <alignment horizontal="right" vertical="center"/>
    </xf>
    <xf numFmtId="1" fontId="71" fillId="0" borderId="2" xfId="0" applyNumberFormat="1" applyFont="1" applyFill="1" applyBorder="1" applyAlignment="1">
      <alignment horizontal="right" vertical="center"/>
    </xf>
    <xf numFmtId="0" fontId="30" fillId="15" borderId="2" xfId="0" applyFont="1" applyFill="1" applyBorder="1" applyAlignment="1">
      <alignment horizontal="center" vertical="center"/>
    </xf>
    <xf numFmtId="0" fontId="77" fillId="15" borderId="2" xfId="0" applyFont="1" applyFill="1" applyBorder="1" applyAlignment="1">
      <alignment horizontal="center" vertical="center"/>
    </xf>
    <xf numFmtId="165" fontId="78" fillId="0" borderId="2" xfId="0" applyNumberFormat="1" applyFont="1" applyFill="1" applyBorder="1" applyAlignment="1">
      <alignment horizontal="center" vertical="center"/>
    </xf>
    <xf numFmtId="2" fontId="30" fillId="0" borderId="2" xfId="0" applyNumberFormat="1" applyFont="1" applyBorder="1" applyAlignment="1">
      <alignment horizontal="center" vertical="center"/>
    </xf>
    <xf numFmtId="0" fontId="30" fillId="15" borderId="2" xfId="0" applyFont="1" applyFill="1" applyBorder="1" applyAlignment="1">
      <alignment horizontal="center" vertical="center" wrapText="1"/>
    </xf>
    <xf numFmtId="2" fontId="30" fillId="12" borderId="2" xfId="0" applyNumberFormat="1" applyFont="1" applyFill="1" applyBorder="1" applyAlignment="1">
      <alignment horizontal="left"/>
    </xf>
    <xf numFmtId="9" fontId="0" fillId="13" borderId="2" xfId="3" applyFont="1" applyFill="1" applyBorder="1"/>
    <xf numFmtId="9" fontId="30" fillId="12" borderId="2" xfId="3" applyFont="1" applyFill="1" applyBorder="1" applyAlignment="1">
      <alignment horizontal="center"/>
    </xf>
    <xf numFmtId="9" fontId="23" fillId="0" borderId="2" xfId="3" applyFont="1" applyBorder="1" applyAlignment="1">
      <alignment horizontal="center" vertical="center"/>
    </xf>
    <xf numFmtId="0" fontId="29" fillId="15" borderId="2" xfId="0" applyFont="1" applyFill="1" applyBorder="1"/>
    <xf numFmtId="0" fontId="29" fillId="12" borderId="0" xfId="0" applyFont="1" applyFill="1" applyBorder="1" applyAlignment="1">
      <alignment vertical="center"/>
    </xf>
    <xf numFmtId="0" fontId="9" fillId="0" borderId="2" xfId="0" applyFont="1" applyBorder="1" applyAlignment="1">
      <alignment horizontal="center" vertical="center"/>
    </xf>
    <xf numFmtId="2" fontId="9" fillId="0" borderId="2" xfId="0" applyNumberFormat="1" applyFont="1" applyBorder="1" applyAlignment="1">
      <alignment horizontal="center" vertical="center"/>
    </xf>
    <xf numFmtId="9" fontId="0" fillId="13" borderId="2" xfId="3" applyNumberFormat="1" applyFont="1" applyFill="1" applyBorder="1"/>
    <xf numFmtId="0" fontId="21" fillId="0" borderId="0" xfId="0" applyFont="1" applyFill="1" applyBorder="1" applyAlignment="1"/>
    <xf numFmtId="0" fontId="0" fillId="0" borderId="2" xfId="0" applyBorder="1" applyAlignment="1">
      <alignment horizontal="left"/>
    </xf>
    <xf numFmtId="0" fontId="0" fillId="0" borderId="0" xfId="0" applyBorder="1" applyAlignment="1">
      <alignment horizontal="left"/>
    </xf>
    <xf numFmtId="0" fontId="27" fillId="0" borderId="2" xfId="0" applyFont="1" applyBorder="1" applyAlignment="1">
      <alignment horizontal="left" vertical="center" wrapText="1"/>
    </xf>
    <xf numFmtId="0" fontId="0" fillId="0" borderId="14" xfId="0" applyBorder="1" applyAlignment="1">
      <alignment horizontal="left"/>
    </xf>
    <xf numFmtId="0" fontId="0" fillId="46" borderId="2" xfId="0" applyFill="1" applyBorder="1" applyAlignment="1">
      <alignment horizontal="center"/>
    </xf>
    <xf numFmtId="9" fontId="0" fillId="46" borderId="2" xfId="0" applyNumberFormat="1" applyFill="1" applyBorder="1" applyAlignment="1">
      <alignment horizontal="center"/>
    </xf>
    <xf numFmtId="1" fontId="0" fillId="0" borderId="2" xfId="3" applyNumberFormat="1" applyFont="1" applyBorder="1" applyAlignment="1">
      <alignment horizontal="center"/>
    </xf>
    <xf numFmtId="0" fontId="79" fillId="56" borderId="2" xfId="0" applyFont="1" applyFill="1" applyBorder="1" applyAlignment="1">
      <alignment horizontal="center" vertical="center"/>
    </xf>
    <xf numFmtId="0" fontId="36" fillId="56" borderId="2" xfId="0" applyFont="1" applyFill="1" applyBorder="1" applyAlignment="1">
      <alignment horizontal="center" vertical="center"/>
    </xf>
    <xf numFmtId="0" fontId="50" fillId="43" borderId="2" xfId="0" applyFont="1" applyFill="1" applyBorder="1" applyAlignment="1">
      <alignment vertical="center"/>
    </xf>
    <xf numFmtId="0" fontId="0" fillId="0" borderId="2" xfId="0" applyBorder="1" applyAlignment="1">
      <alignment horizontal="right" vertical="center"/>
    </xf>
    <xf numFmtId="0" fontId="29" fillId="15" borderId="2" xfId="0" applyFont="1" applyFill="1" applyBorder="1" applyAlignment="1">
      <alignment horizontal="center" vertical="center"/>
    </xf>
    <xf numFmtId="1" fontId="81" fillId="57" borderId="2" xfId="7" applyNumberFormat="1" applyFont="1" applyBorder="1" applyAlignment="1">
      <alignment horizontal="center" vertical="center"/>
    </xf>
    <xf numFmtId="1" fontId="81" fillId="0" borderId="2" xfId="7" applyNumberFormat="1" applyFont="1" applyFill="1" applyBorder="1" applyAlignment="1">
      <alignment horizontal="center" vertical="center"/>
    </xf>
    <xf numFmtId="0" fontId="29" fillId="15" borderId="2" xfId="0" applyFont="1" applyFill="1" applyBorder="1" applyAlignment="1">
      <alignment horizontal="center" vertical="center" wrapText="1"/>
    </xf>
    <xf numFmtId="0" fontId="30" fillId="12" borderId="2" xfId="0" applyFont="1" applyFill="1" applyBorder="1" applyAlignment="1">
      <alignment vertical="center"/>
    </xf>
    <xf numFmtId="166" fontId="30" fillId="0" borderId="2" xfId="0" applyNumberFormat="1" applyFont="1" applyFill="1" applyBorder="1" applyAlignment="1">
      <alignment horizontal="right"/>
    </xf>
    <xf numFmtId="0" fontId="30" fillId="0" borderId="2" xfId="0" applyFont="1" applyBorder="1" applyAlignment="1">
      <alignment horizontal="left"/>
    </xf>
    <xf numFmtId="0" fontId="21" fillId="12" borderId="5" xfId="0" applyFont="1" applyFill="1" applyBorder="1" applyAlignment="1">
      <alignment horizontal="center"/>
    </xf>
    <xf numFmtId="0" fontId="21" fillId="12" borderId="6" xfId="0" applyFont="1" applyFill="1" applyBorder="1" applyAlignment="1">
      <alignment horizontal="center"/>
    </xf>
    <xf numFmtId="0" fontId="21" fillId="12" borderId="3" xfId="0" applyFont="1" applyFill="1" applyBorder="1" applyAlignment="1">
      <alignment horizontal="center"/>
    </xf>
    <xf numFmtId="0" fontId="23" fillId="12" borderId="5" xfId="0" applyFont="1" applyFill="1" applyBorder="1" applyAlignment="1">
      <alignment horizontal="left" vertical="center"/>
    </xf>
    <xf numFmtId="0" fontId="23" fillId="12" borderId="6" xfId="0" applyFont="1" applyFill="1" applyBorder="1" applyAlignment="1">
      <alignment horizontal="left" vertical="center"/>
    </xf>
    <xf numFmtId="0" fontId="23" fillId="12" borderId="3" xfId="0" applyFont="1" applyFill="1" applyBorder="1" applyAlignment="1">
      <alignment horizontal="left" vertical="center"/>
    </xf>
    <xf numFmtId="0" fontId="56" fillId="39" borderId="0" xfId="0" quotePrefix="1" applyFont="1" applyFill="1" applyAlignment="1">
      <alignment vertical="center"/>
    </xf>
    <xf numFmtId="0" fontId="56" fillId="39" borderId="8" xfId="0" quotePrefix="1" applyFont="1" applyFill="1" applyBorder="1" applyAlignment="1">
      <alignment vertical="center"/>
    </xf>
    <xf numFmtId="0" fontId="63" fillId="41" borderId="0" xfId="0" applyFont="1" applyFill="1" applyAlignment="1">
      <alignment horizontal="center"/>
    </xf>
    <xf numFmtId="0" fontId="28" fillId="0" borderId="2" xfId="0" applyFont="1" applyFill="1" applyBorder="1" applyAlignment="1">
      <alignment horizontal="left"/>
    </xf>
    <xf numFmtId="0" fontId="31" fillId="12" borderId="5" xfId="0" applyFont="1" applyFill="1" applyBorder="1" applyAlignment="1">
      <alignment horizontal="left" vertical="center"/>
    </xf>
    <xf numFmtId="0" fontId="31" fillId="12" borderId="6" xfId="0" applyFont="1" applyFill="1" applyBorder="1" applyAlignment="1">
      <alignment horizontal="left" vertical="center"/>
    </xf>
    <xf numFmtId="0" fontId="31" fillId="12" borderId="3" xfId="0" applyFont="1" applyFill="1" applyBorder="1" applyAlignment="1">
      <alignment horizontal="left" vertical="center"/>
    </xf>
    <xf numFmtId="0" fontId="23" fillId="48" borderId="0" xfId="0" applyFont="1" applyFill="1" applyBorder="1" applyAlignment="1">
      <alignment horizontal="left" vertical="center"/>
    </xf>
    <xf numFmtId="0" fontId="64" fillId="41" borderId="0" xfId="0" applyFont="1" applyFill="1" applyAlignment="1">
      <alignment horizontal="center"/>
    </xf>
    <xf numFmtId="0" fontId="52" fillId="44" borderId="12" xfId="0" applyFont="1" applyFill="1" applyBorder="1" applyAlignment="1">
      <alignment horizontal="center"/>
    </xf>
    <xf numFmtId="0" fontId="52" fillId="44" borderId="14" xfId="0" applyFont="1" applyFill="1" applyBorder="1" applyAlignment="1">
      <alignment horizontal="center"/>
    </xf>
    <xf numFmtId="0" fontId="52" fillId="44" borderId="2" xfId="0" applyFont="1" applyFill="1" applyBorder="1" applyAlignment="1">
      <alignment horizontal="center"/>
    </xf>
    <xf numFmtId="0" fontId="48" fillId="13" borderId="4" xfId="0" applyFont="1" applyFill="1" applyBorder="1" applyAlignment="1">
      <alignment horizontal="center" vertical="top"/>
    </xf>
    <xf numFmtId="0" fontId="48" fillId="13" borderId="15" xfId="0" applyFont="1" applyFill="1" applyBorder="1" applyAlignment="1">
      <alignment horizontal="center" vertical="top"/>
    </xf>
    <xf numFmtId="0" fontId="48" fillId="13" borderId="1" xfId="0" applyFont="1" applyFill="1" applyBorder="1" applyAlignment="1">
      <alignment horizontal="center" vertical="top"/>
    </xf>
    <xf numFmtId="0" fontId="47" fillId="0" borderId="0" xfId="0" applyFont="1" applyFill="1" applyBorder="1" applyAlignment="1">
      <alignment horizontal="center"/>
    </xf>
    <xf numFmtId="0" fontId="48" fillId="49" borderId="2" xfId="0" applyFont="1" applyFill="1" applyBorder="1" applyAlignment="1">
      <alignment horizontal="center" vertical="top"/>
    </xf>
    <xf numFmtId="0" fontId="48" fillId="48" borderId="2" xfId="0" applyFont="1" applyFill="1" applyBorder="1" applyAlignment="1">
      <alignment horizontal="center" vertical="top"/>
    </xf>
    <xf numFmtId="0" fontId="48" fillId="13" borderId="2" xfId="0" applyFont="1" applyFill="1" applyBorder="1" applyAlignment="1">
      <alignment horizontal="center" vertical="top"/>
    </xf>
    <xf numFmtId="0" fontId="61" fillId="48" borderId="4" xfId="0" applyFont="1" applyFill="1" applyBorder="1" applyAlignment="1">
      <alignment horizontal="center" vertical="top"/>
    </xf>
    <xf numFmtId="0" fontId="61" fillId="48" borderId="15" xfId="0" applyFont="1" applyFill="1" applyBorder="1" applyAlignment="1">
      <alignment horizontal="center" vertical="top"/>
    </xf>
    <xf numFmtId="0" fontId="61" fillId="48" borderId="1" xfId="0" applyFont="1" applyFill="1" applyBorder="1" applyAlignment="1">
      <alignment horizontal="center" vertical="top"/>
    </xf>
    <xf numFmtId="0" fontId="4" fillId="3" borderId="2" xfId="0" applyFont="1" applyFill="1" applyBorder="1" applyAlignment="1" applyProtection="1">
      <alignment horizontal="center"/>
      <protection locked="0"/>
    </xf>
    <xf numFmtId="0" fontId="4" fillId="0" borderId="5" xfId="0" applyFont="1" applyBorder="1" applyAlignment="1" applyProtection="1">
      <alignment horizontal="center" vertical="top" wrapText="1"/>
      <protection locked="0"/>
    </xf>
    <xf numFmtId="0" fontId="4" fillId="0" borderId="3" xfId="0" applyFont="1" applyBorder="1" applyAlignment="1" applyProtection="1">
      <alignment horizontal="center" vertical="top" wrapText="1"/>
      <protection locked="0"/>
    </xf>
    <xf numFmtId="2" fontId="2" fillId="0" borderId="5" xfId="0" applyNumberFormat="1" applyFont="1" applyFill="1" applyBorder="1" applyAlignment="1" applyProtection="1">
      <alignment horizontal="center"/>
      <protection locked="0"/>
    </xf>
    <xf numFmtId="2" fontId="2" fillId="0" borderId="3" xfId="0" applyNumberFormat="1" applyFont="1" applyFill="1" applyBorder="1" applyAlignment="1" applyProtection="1">
      <alignment horizontal="center"/>
      <protection locked="0"/>
    </xf>
    <xf numFmtId="2" fontId="2" fillId="0" borderId="2" xfId="0" applyNumberFormat="1" applyFont="1" applyFill="1" applyBorder="1" applyAlignment="1" applyProtection="1">
      <alignment horizontal="center" vertical="center"/>
      <protection locked="0"/>
    </xf>
    <xf numFmtId="0" fontId="4" fillId="0" borderId="2" xfId="0" applyFont="1" applyBorder="1" applyAlignment="1" applyProtection="1">
      <alignment horizontal="center"/>
      <protection locked="0"/>
    </xf>
    <xf numFmtId="0" fontId="2" fillId="22" borderId="2" xfId="0" applyFont="1" applyFill="1" applyBorder="1" applyAlignment="1" applyProtection="1">
      <alignment horizontal="center" vertical="center"/>
      <protection locked="0"/>
    </xf>
    <xf numFmtId="0" fontId="4" fillId="0" borderId="2" xfId="0" applyFont="1" applyBorder="1" applyAlignment="1" applyProtection="1">
      <alignment horizontal="center" vertical="center"/>
      <protection locked="0"/>
    </xf>
    <xf numFmtId="0" fontId="0" fillId="2" borderId="2" xfId="0" applyFill="1" applyBorder="1" applyAlignment="1" applyProtection="1">
      <alignment horizontal="center" vertical="center"/>
      <protection locked="0"/>
    </xf>
    <xf numFmtId="0" fontId="0" fillId="0" borderId="2" xfId="0" applyNumberFormat="1" applyFill="1" applyBorder="1" applyAlignment="1" applyProtection="1">
      <alignment horizontal="center"/>
      <protection locked="0"/>
    </xf>
    <xf numFmtId="0" fontId="0" fillId="3" borderId="2" xfId="0" applyFill="1" applyBorder="1" applyAlignment="1" applyProtection="1">
      <alignment horizontal="center" vertical="center"/>
      <protection locked="0"/>
    </xf>
    <xf numFmtId="0" fontId="14" fillId="8" borderId="2" xfId="0" applyFont="1" applyFill="1" applyBorder="1" applyAlignment="1" applyProtection="1">
      <alignment horizontal="center" vertical="center"/>
      <protection locked="0"/>
    </xf>
    <xf numFmtId="0" fontId="24" fillId="12" borderId="12" xfId="0" applyFont="1" applyFill="1" applyBorder="1" applyAlignment="1" applyProtection="1">
      <alignment horizontal="center"/>
      <protection locked="0"/>
    </xf>
    <xf numFmtId="0" fontId="24" fillId="12" borderId="13" xfId="0" applyFont="1" applyFill="1" applyBorder="1" applyAlignment="1" applyProtection="1">
      <alignment horizontal="center"/>
      <protection locked="0"/>
    </xf>
    <xf numFmtId="0" fontId="24" fillId="12" borderId="14" xfId="0" applyFont="1" applyFill="1" applyBorder="1" applyAlignment="1" applyProtection="1">
      <alignment horizontal="center"/>
      <protection locked="0"/>
    </xf>
    <xf numFmtId="0" fontId="24" fillId="12" borderId="9" xfId="0" applyFont="1" applyFill="1" applyBorder="1" applyAlignment="1" applyProtection="1">
      <alignment horizontal="center"/>
      <protection locked="0"/>
    </xf>
    <xf numFmtId="0" fontId="24" fillId="12" borderId="10" xfId="0" applyFont="1" applyFill="1" applyBorder="1" applyAlignment="1" applyProtection="1">
      <alignment horizontal="center"/>
      <protection locked="0"/>
    </xf>
    <xf numFmtId="0" fontId="24" fillId="12" borderId="11" xfId="0" applyFont="1" applyFill="1" applyBorder="1" applyAlignment="1" applyProtection="1">
      <alignment horizontal="center"/>
      <protection locked="0"/>
    </xf>
    <xf numFmtId="0" fontId="4" fillId="0" borderId="2" xfId="0" applyFont="1" applyBorder="1" applyAlignment="1" applyProtection="1">
      <alignment horizontal="center" vertical="center" wrapText="1"/>
      <protection locked="0"/>
    </xf>
    <xf numFmtId="0" fontId="4" fillId="0" borderId="5" xfId="0"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0" fontId="4" fillId="3" borderId="2" xfId="0" applyFont="1" applyFill="1" applyBorder="1" applyAlignment="1" applyProtection="1">
      <alignment horizontal="center" vertical="center"/>
      <protection locked="0"/>
    </xf>
    <xf numFmtId="0" fontId="4" fillId="0" borderId="5" xfId="0" applyFont="1" applyBorder="1" applyAlignment="1" applyProtection="1">
      <alignment horizontal="center"/>
      <protection locked="0"/>
    </xf>
    <xf numFmtId="0" fontId="4" fillId="0" borderId="6" xfId="0" applyFont="1" applyBorder="1" applyAlignment="1" applyProtection="1">
      <alignment horizontal="center"/>
      <protection locked="0"/>
    </xf>
    <xf numFmtId="0" fontId="4" fillId="0" borderId="3" xfId="0" applyFont="1" applyBorder="1" applyAlignment="1" applyProtection="1">
      <alignment horizontal="center"/>
      <protection locked="0"/>
    </xf>
    <xf numFmtId="0" fontId="0" fillId="0" borderId="2" xfId="0" applyBorder="1" applyAlignment="1" applyProtection="1">
      <alignment horizontal="center" vertical="center"/>
      <protection locked="0"/>
    </xf>
    <xf numFmtId="0" fontId="21" fillId="0" borderId="2" xfId="0" applyFont="1" applyBorder="1" applyAlignment="1" applyProtection="1">
      <alignment horizontal="center" vertical="center"/>
      <protection locked="0"/>
    </xf>
    <xf numFmtId="0" fontId="21" fillId="14" borderId="2" xfId="0" applyFont="1" applyFill="1" applyBorder="1" applyAlignment="1" applyProtection="1">
      <alignment horizontal="center" vertical="center"/>
      <protection locked="0"/>
    </xf>
    <xf numFmtId="0" fontId="2" fillId="4" borderId="2" xfId="0" applyFont="1" applyFill="1" applyBorder="1" applyAlignment="1" applyProtection="1">
      <alignment horizontal="center"/>
      <protection locked="0"/>
    </xf>
    <xf numFmtId="0" fontId="21" fillId="15" borderId="5" xfId="0" applyFont="1" applyFill="1" applyBorder="1" applyAlignment="1" applyProtection="1">
      <alignment horizontal="center" vertical="center"/>
      <protection locked="0"/>
    </xf>
    <xf numFmtId="0" fontId="21" fillId="15" borderId="6" xfId="0" applyFont="1" applyFill="1" applyBorder="1" applyAlignment="1" applyProtection="1">
      <alignment horizontal="center" vertical="center"/>
      <protection locked="0"/>
    </xf>
    <xf numFmtId="0" fontId="21" fillId="15" borderId="3" xfId="0" applyFont="1" applyFill="1" applyBorder="1" applyAlignment="1" applyProtection="1">
      <alignment horizontal="center" vertical="center"/>
      <protection locked="0"/>
    </xf>
    <xf numFmtId="0" fontId="4" fillId="0" borderId="5" xfId="0" applyFont="1" applyBorder="1" applyAlignment="1" applyProtection="1">
      <alignment horizontal="left" vertical="center"/>
      <protection locked="0"/>
    </xf>
    <xf numFmtId="0" fontId="4" fillId="0" borderId="6" xfId="0" applyFont="1" applyBorder="1" applyAlignment="1" applyProtection="1">
      <alignment horizontal="left" vertical="center"/>
      <protection locked="0"/>
    </xf>
    <xf numFmtId="0" fontId="4" fillId="0" borderId="3" xfId="0" applyFont="1" applyBorder="1" applyAlignment="1" applyProtection="1">
      <alignment horizontal="left" vertical="center"/>
      <protection locked="0"/>
    </xf>
    <xf numFmtId="0" fontId="0" fillId="5" borderId="2" xfId="0" applyFill="1" applyBorder="1" applyAlignment="1" applyProtection="1">
      <alignment horizontal="center" vertical="center"/>
      <protection locked="0"/>
    </xf>
    <xf numFmtId="0" fontId="21" fillId="0" borderId="2" xfId="0" applyFont="1" applyFill="1" applyBorder="1" applyAlignment="1" applyProtection="1">
      <alignment horizontal="center" vertical="center" wrapText="1"/>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0" fillId="0" borderId="3" xfId="0"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21" fillId="5" borderId="2" xfId="0" applyFont="1" applyFill="1"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21" fillId="0" borderId="5" xfId="0" applyFont="1" applyBorder="1" applyAlignment="1" applyProtection="1">
      <alignment horizontal="left" vertical="center"/>
      <protection locked="0"/>
    </xf>
    <xf numFmtId="0" fontId="21" fillId="0" borderId="6" xfId="0" applyFont="1" applyBorder="1" applyAlignment="1" applyProtection="1">
      <alignment horizontal="left" vertical="center"/>
      <protection locked="0"/>
    </xf>
    <xf numFmtId="0" fontId="21" fillId="0" borderId="3" xfId="0" applyFont="1" applyBorder="1" applyAlignment="1" applyProtection="1">
      <alignment horizontal="left" vertical="center"/>
      <protection locked="0"/>
    </xf>
    <xf numFmtId="49" fontId="0" fillId="0" borderId="5" xfId="0" applyNumberFormat="1" applyBorder="1" applyAlignment="1" applyProtection="1">
      <alignment horizontal="center" vertical="center"/>
      <protection locked="0"/>
    </xf>
    <xf numFmtId="49" fontId="0" fillId="0" borderId="6" xfId="0" applyNumberFormat="1" applyBorder="1" applyAlignment="1" applyProtection="1">
      <alignment horizontal="center" vertical="center"/>
      <protection locked="0"/>
    </xf>
    <xf numFmtId="49" fontId="0" fillId="0" borderId="3" xfId="0" applyNumberFormat="1" applyBorder="1" applyAlignment="1" applyProtection="1">
      <alignment horizontal="center" vertical="center"/>
      <protection locked="0"/>
    </xf>
    <xf numFmtId="0" fontId="4" fillId="0" borderId="2" xfId="0" applyFont="1" applyBorder="1" applyAlignment="1" applyProtection="1">
      <alignment horizontal="left" vertical="center"/>
      <protection locked="0"/>
    </xf>
    <xf numFmtId="0" fontId="2" fillId="0" borderId="2" xfId="0" applyFont="1" applyBorder="1" applyAlignment="1" applyProtection="1">
      <alignment horizontal="center" vertical="center"/>
      <protection locked="0"/>
    </xf>
    <xf numFmtId="0" fontId="0" fillId="0" borderId="5" xfId="0" applyBorder="1" applyAlignment="1" applyProtection="1">
      <alignment horizontal="center"/>
      <protection locked="0"/>
    </xf>
    <xf numFmtId="0" fontId="0" fillId="0" borderId="6" xfId="0" applyBorder="1" applyAlignment="1" applyProtection="1">
      <alignment horizontal="center"/>
      <protection locked="0"/>
    </xf>
    <xf numFmtId="0" fontId="0" fillId="0" borderId="3" xfId="0" applyBorder="1" applyAlignment="1" applyProtection="1">
      <alignment horizontal="center"/>
      <protection locked="0"/>
    </xf>
    <xf numFmtId="0" fontId="2" fillId="0" borderId="5"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0" fillId="0" borderId="2" xfId="0" applyBorder="1" applyProtection="1">
      <protection locked="0"/>
    </xf>
    <xf numFmtId="0" fontId="0" fillId="0" borderId="2" xfId="0" applyBorder="1" applyAlignment="1" applyProtection="1">
      <alignment horizontal="center"/>
      <protection locked="0"/>
    </xf>
    <xf numFmtId="0" fontId="21" fillId="13" borderId="2" xfId="0" applyFont="1" applyFill="1" applyBorder="1" applyAlignment="1" applyProtection="1">
      <alignment horizontal="center" vertical="center"/>
    </xf>
    <xf numFmtId="0" fontId="21" fillId="0" borderId="2" xfId="0" applyFont="1" applyBorder="1" applyAlignment="1" applyProtection="1">
      <alignment horizontal="center" vertical="center"/>
    </xf>
    <xf numFmtId="0" fontId="0" fillId="0" borderId="2" xfId="0" applyBorder="1" applyAlignment="1" applyProtection="1">
      <alignment horizontal="left" vertical="center"/>
    </xf>
    <xf numFmtId="0" fontId="0" fillId="0" borderId="2" xfId="0" applyBorder="1" applyAlignment="1" applyProtection="1">
      <alignment horizontal="center" vertical="center"/>
    </xf>
    <xf numFmtId="0" fontId="21" fillId="0" borderId="2" xfId="0" applyFont="1" applyBorder="1" applyAlignment="1" applyProtection="1">
      <alignment horizontal="center" vertical="center" wrapText="1"/>
    </xf>
    <xf numFmtId="0" fontId="21" fillId="0" borderId="13" xfId="0" applyFont="1" applyBorder="1" applyAlignment="1" applyProtection="1">
      <alignment horizontal="center" vertical="center" wrapText="1"/>
    </xf>
    <xf numFmtId="0" fontId="21" fillId="0" borderId="0" xfId="0" applyFont="1" applyBorder="1" applyAlignment="1" applyProtection="1">
      <alignment horizontal="center" vertical="center" wrapText="1"/>
    </xf>
    <xf numFmtId="0" fontId="21" fillId="0" borderId="10" xfId="0" applyFont="1" applyBorder="1" applyAlignment="1" applyProtection="1">
      <alignment horizontal="center" vertical="center" wrapText="1"/>
    </xf>
    <xf numFmtId="0" fontId="21" fillId="0" borderId="12" xfId="0" applyFont="1" applyBorder="1" applyAlignment="1" applyProtection="1">
      <alignment horizontal="center" vertical="center" wrapText="1"/>
    </xf>
    <xf numFmtId="0" fontId="21" fillId="0" borderId="14" xfId="0" applyFont="1" applyBorder="1" applyAlignment="1" applyProtection="1">
      <alignment horizontal="center" vertical="center" wrapText="1"/>
    </xf>
    <xf numFmtId="0" fontId="21" fillId="0" borderId="7" xfId="0" applyFont="1" applyBorder="1" applyAlignment="1" applyProtection="1">
      <alignment horizontal="center" vertical="center" wrapText="1"/>
    </xf>
    <xf numFmtId="0" fontId="21" fillId="0" borderId="8" xfId="0" applyFont="1" applyBorder="1" applyAlignment="1" applyProtection="1">
      <alignment horizontal="center" vertical="center" wrapText="1"/>
    </xf>
    <xf numFmtId="0" fontId="21" fillId="0" borderId="9" xfId="0" applyFont="1" applyBorder="1" applyAlignment="1" applyProtection="1">
      <alignment horizontal="center" vertical="center" wrapText="1"/>
    </xf>
    <xf numFmtId="0" fontId="21" fillId="0" borderId="11" xfId="0" applyFont="1" applyBorder="1" applyAlignment="1" applyProtection="1">
      <alignment horizontal="center" vertical="center" wrapText="1"/>
    </xf>
    <xf numFmtId="0" fontId="0" fillId="0" borderId="5" xfId="0" applyBorder="1" applyAlignment="1" applyProtection="1">
      <alignment horizontal="center" vertical="center"/>
    </xf>
    <xf numFmtId="0" fontId="0" fillId="0" borderId="6" xfId="0" applyBorder="1" applyAlignment="1" applyProtection="1">
      <alignment horizontal="center" vertical="center"/>
    </xf>
    <xf numFmtId="0" fontId="0" fillId="0" borderId="3" xfId="0" applyBorder="1" applyAlignment="1" applyProtection="1">
      <alignment horizontal="center" vertical="center"/>
    </xf>
    <xf numFmtId="0" fontId="21" fillId="15" borderId="2" xfId="0" applyFont="1" applyFill="1" applyBorder="1" applyAlignment="1" applyProtection="1">
      <alignment horizontal="center" vertical="center"/>
    </xf>
    <xf numFmtId="0" fontId="4" fillId="5" borderId="5" xfId="0" applyFont="1" applyFill="1" applyBorder="1" applyAlignment="1" applyProtection="1">
      <alignment horizontal="center" vertical="center" wrapText="1"/>
      <protection locked="0"/>
    </xf>
    <xf numFmtId="0" fontId="4" fillId="5" borderId="3" xfId="0" applyFont="1" applyFill="1" applyBorder="1" applyAlignment="1" applyProtection="1">
      <alignment horizontal="center" vertical="center" wrapText="1"/>
      <protection locked="0"/>
    </xf>
    <xf numFmtId="0" fontId="0" fillId="0" borderId="2" xfId="0" applyBorder="1" applyAlignment="1">
      <alignment horizontal="center"/>
    </xf>
    <xf numFmtId="0" fontId="0" fillId="0" borderId="2" xfId="0" applyBorder="1" applyAlignment="1">
      <alignment horizontal="left"/>
    </xf>
    <xf numFmtId="0" fontId="8" fillId="0" borderId="2" xfId="0" applyFont="1" applyBorder="1" applyAlignment="1">
      <alignment horizontal="center"/>
    </xf>
    <xf numFmtId="0" fontId="9" fillId="0" borderId="2" xfId="0" applyFont="1" applyBorder="1" applyAlignment="1">
      <alignment horizontal="center" vertical="center"/>
    </xf>
    <xf numFmtId="0" fontId="21" fillId="0" borderId="2" xfId="0" applyFont="1" applyBorder="1" applyAlignment="1">
      <alignment horizontal="center" vertical="center"/>
    </xf>
    <xf numFmtId="0" fontId="21" fillId="0" borderId="2" xfId="0" applyFont="1" applyBorder="1" applyAlignment="1">
      <alignment horizontal="center"/>
    </xf>
    <xf numFmtId="0" fontId="0" fillId="0" borderId="2" xfId="0" applyBorder="1" applyAlignment="1">
      <alignment horizontal="center" vertical="center"/>
    </xf>
    <xf numFmtId="0" fontId="25" fillId="0" borderId="2" xfId="0" applyFont="1" applyBorder="1" applyAlignment="1">
      <alignment horizontal="center" vertical="center"/>
    </xf>
    <xf numFmtId="0" fontId="0" fillId="0" borderId="5" xfId="0" applyBorder="1" applyAlignment="1">
      <alignment horizontal="center"/>
    </xf>
    <xf numFmtId="0" fontId="0" fillId="0" borderId="6" xfId="0" applyBorder="1" applyAlignment="1">
      <alignment horizontal="center"/>
    </xf>
    <xf numFmtId="0" fontId="0" fillId="0" borderId="3" xfId="0" applyBorder="1" applyAlignment="1">
      <alignment horizontal="center"/>
    </xf>
    <xf numFmtId="0" fontId="9" fillId="0" borderId="2" xfId="0" applyFont="1" applyBorder="1" applyAlignment="1">
      <alignment horizontal="center"/>
    </xf>
    <xf numFmtId="0" fontId="4" fillId="0" borderId="2" xfId="0" applyFont="1" applyBorder="1" applyAlignment="1">
      <alignment horizontal="center"/>
    </xf>
    <xf numFmtId="0" fontId="0" fillId="0" borderId="2" xfId="0" applyFont="1" applyBorder="1" applyAlignment="1">
      <alignment horizontal="center" vertical="center"/>
    </xf>
    <xf numFmtId="0" fontId="9" fillId="0" borderId="2" xfId="0" applyFont="1" applyBorder="1" applyAlignment="1"/>
    <xf numFmtId="0" fontId="9" fillId="0" borderId="5" xfId="0" applyFont="1" applyBorder="1" applyAlignment="1">
      <alignment horizontal="center"/>
    </xf>
    <xf numFmtId="0" fontId="9" fillId="0" borderId="3" xfId="0" applyFont="1" applyBorder="1" applyAlignment="1">
      <alignment horizontal="center"/>
    </xf>
    <xf numFmtId="0" fontId="9" fillId="0" borderId="6" xfId="0" applyFont="1" applyBorder="1" applyAlignment="1">
      <alignment horizontal="center"/>
    </xf>
    <xf numFmtId="0" fontId="4" fillId="0" borderId="5" xfId="0" applyFont="1" applyBorder="1" applyAlignment="1">
      <alignment horizontal="center"/>
    </xf>
    <xf numFmtId="0" fontId="0" fillId="0" borderId="6" xfId="0" applyBorder="1"/>
    <xf numFmtId="0" fontId="0" fillId="0" borderId="3" xfId="0" applyBorder="1"/>
    <xf numFmtId="0" fontId="8" fillId="0" borderId="5" xfId="0" applyFont="1" applyBorder="1" applyAlignment="1">
      <alignment horizontal="center" vertical="center"/>
    </xf>
    <xf numFmtId="0" fontId="8" fillId="0" borderId="6" xfId="0" applyFont="1" applyBorder="1" applyAlignment="1">
      <alignment horizontal="center" vertical="center"/>
    </xf>
    <xf numFmtId="0" fontId="8" fillId="0" borderId="3" xfId="0" applyFont="1" applyBorder="1" applyAlignment="1">
      <alignment horizontal="center" vertical="center"/>
    </xf>
    <xf numFmtId="0" fontId="8" fillId="0" borderId="2" xfId="0" applyFont="1" applyBorder="1" applyAlignment="1">
      <alignment horizontal="center" vertical="center"/>
    </xf>
    <xf numFmtId="0" fontId="10" fillId="0" borderId="2" xfId="0" applyFont="1" applyFill="1" applyBorder="1" applyAlignment="1">
      <alignment horizontal="center"/>
    </xf>
    <xf numFmtId="0" fontId="16" fillId="0" borderId="2" xfId="0" applyFont="1" applyBorder="1" applyAlignment="1">
      <alignment horizontal="center" vertical="center"/>
    </xf>
    <xf numFmtId="0" fontId="8" fillId="0" borderId="5" xfId="0" applyFont="1" applyBorder="1" applyAlignment="1">
      <alignment horizontal="center"/>
    </xf>
    <xf numFmtId="0" fontId="8" fillId="0" borderId="3" xfId="0" applyFont="1" applyBorder="1" applyAlignment="1">
      <alignment horizontal="center"/>
    </xf>
    <xf numFmtId="0" fontId="9" fillId="0" borderId="2" xfId="0" applyFont="1" applyBorder="1" applyAlignment="1">
      <alignment horizontal="left" vertical="center"/>
    </xf>
    <xf numFmtId="0" fontId="0" fillId="0" borderId="2" xfId="0" applyBorder="1" applyAlignment="1">
      <alignment horizontal="left" vertical="center"/>
    </xf>
    <xf numFmtId="0" fontId="8" fillId="0" borderId="2" xfId="0" applyFont="1" applyFill="1" applyBorder="1" applyAlignment="1">
      <alignment horizontal="center"/>
    </xf>
    <xf numFmtId="0" fontId="8" fillId="0" borderId="6" xfId="0" applyFont="1" applyBorder="1" applyAlignment="1">
      <alignment horizontal="center"/>
    </xf>
    <xf numFmtId="0" fontId="9" fillId="0" borderId="2" xfId="0" applyNumberFormat="1" applyFont="1" applyBorder="1" applyAlignment="1">
      <alignment horizontal="center" vertical="center"/>
    </xf>
    <xf numFmtId="0" fontId="0" fillId="0" borderId="2" xfId="0" applyFill="1" applyBorder="1" applyAlignment="1">
      <alignment horizontal="center"/>
    </xf>
    <xf numFmtId="2" fontId="9" fillId="0" borderId="2" xfId="0" applyNumberFormat="1" applyFont="1" applyBorder="1" applyAlignment="1">
      <alignment horizontal="center" vertical="center"/>
    </xf>
    <xf numFmtId="164" fontId="9" fillId="0" borderId="2" xfId="4" applyNumberFormat="1" applyFont="1" applyBorder="1" applyAlignment="1">
      <alignment horizontal="center" vertical="center"/>
    </xf>
    <xf numFmtId="0" fontId="11" fillId="0" borderId="2" xfId="0" applyFont="1" applyBorder="1" applyAlignment="1">
      <alignment horizontal="left" vertical="center"/>
    </xf>
    <xf numFmtId="0" fontId="11" fillId="0" borderId="2" xfId="0" applyFont="1" applyBorder="1" applyAlignment="1">
      <alignment horizontal="center" vertical="center"/>
    </xf>
    <xf numFmtId="0" fontId="8" fillId="0" borderId="2" xfId="0" applyFont="1" applyBorder="1" applyAlignment="1">
      <alignment horizontal="center" vertical="center" wrapText="1"/>
    </xf>
    <xf numFmtId="0" fontId="18" fillId="0" borderId="2" xfId="0" applyFont="1" applyBorder="1" applyAlignment="1">
      <alignment horizontal="center" vertical="center"/>
    </xf>
    <xf numFmtId="0" fontId="13" fillId="0" borderId="2" xfId="0" applyFont="1" applyBorder="1" applyAlignment="1">
      <alignment horizontal="left" vertical="center"/>
    </xf>
    <xf numFmtId="0" fontId="70" fillId="12" borderId="2" xfId="0" applyFont="1" applyFill="1" applyBorder="1" applyAlignment="1">
      <alignment vertical="center"/>
    </xf>
    <xf numFmtId="0" fontId="9" fillId="12" borderId="2" xfId="0" applyFont="1" applyFill="1" applyBorder="1" applyAlignment="1">
      <alignment vertical="center"/>
    </xf>
    <xf numFmtId="0" fontId="11" fillId="0" borderId="5" xfId="0" applyFont="1" applyBorder="1" applyAlignment="1">
      <alignment horizontal="left" vertical="center"/>
    </xf>
    <xf numFmtId="0" fontId="11" fillId="0" borderId="6" xfId="0" applyFont="1" applyBorder="1" applyAlignment="1">
      <alignment horizontal="left" vertical="center"/>
    </xf>
    <xf numFmtId="0" fontId="11" fillId="0" borderId="3" xfId="0" applyFont="1" applyBorder="1" applyAlignment="1">
      <alignment horizontal="left" vertical="center"/>
    </xf>
    <xf numFmtId="0" fontId="0" fillId="0" borderId="5" xfId="0" applyBorder="1" applyAlignment="1">
      <alignment horizontal="left"/>
    </xf>
    <xf numFmtId="0" fontId="0" fillId="0" borderId="6" xfId="0" applyBorder="1" applyAlignment="1">
      <alignment horizontal="left"/>
    </xf>
    <xf numFmtId="0" fontId="0" fillId="0" borderId="3" xfId="0" applyBorder="1" applyAlignment="1">
      <alignment horizontal="left"/>
    </xf>
    <xf numFmtId="0" fontId="21" fillId="15" borderId="5" xfId="0" applyFont="1" applyFill="1" applyBorder="1" applyAlignment="1">
      <alignment horizontal="left"/>
    </xf>
    <xf numFmtId="0" fontId="21" fillId="15" borderId="6" xfId="0" applyFont="1" applyFill="1" applyBorder="1" applyAlignment="1">
      <alignment horizontal="left"/>
    </xf>
    <xf numFmtId="0" fontId="21" fillId="15" borderId="3" xfId="0" applyFont="1" applyFill="1" applyBorder="1" applyAlignment="1">
      <alignment horizontal="left"/>
    </xf>
    <xf numFmtId="0" fontId="23" fillId="0" borderId="0" xfId="0" applyFont="1" applyFill="1" applyBorder="1" applyAlignment="1">
      <alignment horizontal="center" vertical="center"/>
    </xf>
    <xf numFmtId="2" fontId="23" fillId="0" borderId="0" xfId="0" applyNumberFormat="1" applyFont="1" applyFill="1" applyBorder="1" applyAlignment="1">
      <alignment horizontal="center" vertical="center"/>
    </xf>
    <xf numFmtId="0" fontId="21" fillId="0" borderId="0" xfId="0" applyFont="1" applyFill="1" applyBorder="1" applyAlignment="1">
      <alignment horizontal="center"/>
    </xf>
    <xf numFmtId="0" fontId="26" fillId="0" borderId="0" xfId="0" applyFont="1" applyFill="1" applyBorder="1" applyAlignment="1">
      <alignment horizontal="center" vertical="center"/>
    </xf>
    <xf numFmtId="0" fontId="0" fillId="0" borderId="0" xfId="0" applyFill="1" applyBorder="1" applyAlignment="1">
      <alignment horizontal="center"/>
    </xf>
    <xf numFmtId="0" fontId="21" fillId="0" borderId="0" xfId="0" applyFont="1" applyAlignment="1">
      <alignment horizontal="left"/>
    </xf>
    <xf numFmtId="0" fontId="21" fillId="0" borderId="10" xfId="0" applyFont="1" applyFill="1" applyBorder="1" applyAlignment="1">
      <alignment horizontal="left" vertical="center"/>
    </xf>
    <xf numFmtId="0" fontId="21" fillId="0" borderId="2" xfId="0" applyFont="1" applyFill="1" applyBorder="1" applyAlignment="1">
      <alignment horizontal="left"/>
    </xf>
    <xf numFmtId="0" fontId="21" fillId="0" borderId="4" xfId="0" applyFont="1" applyFill="1" applyBorder="1" applyAlignment="1">
      <alignment horizontal="left"/>
    </xf>
    <xf numFmtId="0" fontId="21" fillId="0" borderId="2" xfId="0" applyFont="1" applyBorder="1" applyAlignment="1">
      <alignment horizontal="left"/>
    </xf>
    <xf numFmtId="0" fontId="30" fillId="15" borderId="2" xfId="0" applyFont="1" applyFill="1" applyBorder="1" applyAlignment="1">
      <alignment horizontal="left"/>
    </xf>
    <xf numFmtId="0" fontId="0" fillId="15" borderId="2" xfId="0" applyFill="1" applyBorder="1" applyAlignment="1">
      <alignment horizontal="left" wrapText="1"/>
    </xf>
    <xf numFmtId="0" fontId="23" fillId="0" borderId="4" xfId="0" applyFont="1" applyBorder="1" applyAlignment="1">
      <alignment horizontal="center" vertical="center"/>
    </xf>
    <xf numFmtId="0" fontId="23" fillId="0" borderId="15" xfId="0" applyFont="1" applyBorder="1" applyAlignment="1">
      <alignment horizontal="center" vertical="center"/>
    </xf>
    <xf numFmtId="0" fontId="23" fillId="0" borderId="1" xfId="0" applyFont="1" applyBorder="1" applyAlignment="1">
      <alignment horizontal="center" vertical="center"/>
    </xf>
    <xf numFmtId="2" fontId="23" fillId="16" borderId="4" xfId="0" applyNumberFormat="1" applyFont="1" applyFill="1" applyBorder="1" applyAlignment="1">
      <alignment horizontal="center" vertical="center"/>
    </xf>
    <xf numFmtId="2" fontId="23" fillId="16" borderId="15" xfId="0" applyNumberFormat="1" applyFont="1" applyFill="1" applyBorder="1" applyAlignment="1">
      <alignment horizontal="center" vertical="center"/>
    </xf>
    <xf numFmtId="2" fontId="23" fillId="16" borderId="1" xfId="0" applyNumberFormat="1" applyFont="1" applyFill="1" applyBorder="1" applyAlignment="1">
      <alignment horizontal="center" vertical="center"/>
    </xf>
    <xf numFmtId="2" fontId="23" fillId="0" borderId="4" xfId="0" applyNumberFormat="1" applyFont="1" applyBorder="1" applyAlignment="1">
      <alignment horizontal="center" vertical="center"/>
    </xf>
    <xf numFmtId="2" fontId="23" fillId="0" borderId="15" xfId="0" applyNumberFormat="1" applyFont="1" applyBorder="1" applyAlignment="1">
      <alignment horizontal="center" vertical="center"/>
    </xf>
    <xf numFmtId="2" fontId="23" fillId="0" borderId="1" xfId="0" applyNumberFormat="1" applyFont="1" applyBorder="1" applyAlignment="1">
      <alignment horizontal="center" vertical="center"/>
    </xf>
    <xf numFmtId="9" fontId="23" fillId="0" borderId="4" xfId="3" applyFont="1" applyBorder="1" applyAlignment="1">
      <alignment horizontal="center" vertical="center"/>
    </xf>
    <xf numFmtId="9" fontId="23" fillId="0" borderId="15" xfId="3" applyFont="1" applyBorder="1" applyAlignment="1">
      <alignment horizontal="center" vertical="center"/>
    </xf>
    <xf numFmtId="9" fontId="23" fillId="0" borderId="1" xfId="3" applyFont="1" applyBorder="1" applyAlignment="1">
      <alignment horizontal="center" vertical="center"/>
    </xf>
    <xf numFmtId="0" fontId="0" fillId="0" borderId="0" xfId="0" applyFill="1" applyBorder="1" applyAlignment="1">
      <alignment horizontal="left"/>
    </xf>
    <xf numFmtId="0" fontId="0" fillId="16" borderId="2" xfId="0" applyFill="1" applyBorder="1" applyAlignment="1">
      <alignment horizontal="center"/>
    </xf>
    <xf numFmtId="9" fontId="30" fillId="0" borderId="4" xfId="3" applyFont="1" applyBorder="1" applyAlignment="1">
      <alignment horizontal="center" vertical="center"/>
    </xf>
    <xf numFmtId="9" fontId="30" fillId="0" borderId="15" xfId="3" applyFont="1" applyBorder="1" applyAlignment="1">
      <alignment horizontal="center" vertical="center"/>
    </xf>
    <xf numFmtId="9" fontId="30" fillId="0" borderId="1" xfId="3" applyFont="1" applyBorder="1" applyAlignment="1">
      <alignment horizontal="center" vertical="center"/>
    </xf>
    <xf numFmtId="0" fontId="78" fillId="13" borderId="2" xfId="0" applyFont="1" applyFill="1" applyBorder="1" applyAlignment="1">
      <alignment horizontal="left" vertical="center"/>
    </xf>
    <xf numFmtId="0" fontId="30" fillId="13" borderId="2" xfId="0" applyFont="1" applyFill="1" applyBorder="1" applyAlignment="1">
      <alignment horizontal="center" vertical="center"/>
    </xf>
    <xf numFmtId="2" fontId="30" fillId="22" borderId="4" xfId="0" applyNumberFormat="1" applyFont="1" applyFill="1" applyBorder="1" applyAlignment="1">
      <alignment horizontal="center" vertical="center"/>
    </xf>
    <xf numFmtId="2" fontId="30" fillId="22" borderId="15" xfId="0" applyNumberFormat="1" applyFont="1" applyFill="1" applyBorder="1" applyAlignment="1">
      <alignment horizontal="center" vertical="center"/>
    </xf>
    <xf numFmtId="2" fontId="30" fillId="22" borderId="1" xfId="0" applyNumberFormat="1" applyFont="1" applyFill="1" applyBorder="1" applyAlignment="1">
      <alignment horizontal="center" vertical="center"/>
    </xf>
    <xf numFmtId="2" fontId="30" fillId="0" borderId="4" xfId="0" applyNumberFormat="1" applyFont="1" applyFill="1" applyBorder="1" applyAlignment="1">
      <alignment horizontal="center" vertical="center"/>
    </xf>
    <xf numFmtId="2" fontId="30" fillId="0" borderId="15" xfId="0" applyNumberFormat="1" applyFont="1" applyFill="1" applyBorder="1" applyAlignment="1">
      <alignment horizontal="center" vertical="center"/>
    </xf>
    <xf numFmtId="2" fontId="30" fillId="0" borderId="1" xfId="0" applyNumberFormat="1" applyFont="1" applyFill="1" applyBorder="1" applyAlignment="1">
      <alignment horizontal="center" vertical="center"/>
    </xf>
    <xf numFmtId="0" fontId="78" fillId="13" borderId="2" xfId="0" applyNumberFormat="1" applyFont="1" applyFill="1" applyBorder="1" applyAlignment="1">
      <alignment horizontal="left" vertical="center"/>
    </xf>
    <xf numFmtId="0" fontId="30" fillId="22" borderId="15" xfId="0" applyFont="1" applyFill="1" applyBorder="1" applyAlignment="1">
      <alignment horizontal="center" vertical="center"/>
    </xf>
    <xf numFmtId="0" fontId="30" fillId="22" borderId="1" xfId="0" applyFont="1" applyFill="1" applyBorder="1" applyAlignment="1">
      <alignment horizontal="center" vertical="center"/>
    </xf>
    <xf numFmtId="0" fontId="29" fillId="13" borderId="5" xfId="0" applyFont="1" applyFill="1" applyBorder="1" applyAlignment="1">
      <alignment horizontal="left"/>
    </xf>
    <xf numFmtId="0" fontId="29" fillId="13" borderId="3" xfId="0" applyFont="1" applyFill="1" applyBorder="1" applyAlignment="1">
      <alignment horizontal="left"/>
    </xf>
    <xf numFmtId="49" fontId="30" fillId="0" borderId="5" xfId="0" applyNumberFormat="1" applyFont="1" applyFill="1" applyBorder="1" applyAlignment="1">
      <alignment horizontal="left"/>
    </xf>
    <xf numFmtId="49" fontId="30" fillId="0" borderId="6" xfId="0" applyNumberFormat="1" applyFont="1" applyFill="1" applyBorder="1" applyAlignment="1">
      <alignment horizontal="left"/>
    </xf>
    <xf numFmtId="49" fontId="30" fillId="0" borderId="3" xfId="0" applyNumberFormat="1" applyFont="1" applyFill="1" applyBorder="1" applyAlignment="1">
      <alignment horizontal="left"/>
    </xf>
    <xf numFmtId="0" fontId="30" fillId="0" borderId="5" xfId="0" applyNumberFormat="1" applyFont="1" applyFill="1" applyBorder="1" applyAlignment="1">
      <alignment horizontal="left"/>
    </xf>
    <xf numFmtId="0" fontId="30" fillId="0" borderId="6" xfId="0" applyNumberFormat="1" applyFont="1" applyFill="1" applyBorder="1" applyAlignment="1">
      <alignment horizontal="left"/>
    </xf>
    <xf numFmtId="0" fontId="30" fillId="0" borderId="3" xfId="0" applyNumberFormat="1" applyFont="1" applyFill="1" applyBorder="1" applyAlignment="1">
      <alignment horizontal="left"/>
    </xf>
    <xf numFmtId="0" fontId="30" fillId="0" borderId="5" xfId="0" applyFont="1" applyFill="1" applyBorder="1" applyAlignment="1">
      <alignment horizontal="left"/>
    </xf>
    <xf numFmtId="0" fontId="30" fillId="0" borderId="6" xfId="0" applyFont="1" applyFill="1" applyBorder="1" applyAlignment="1">
      <alignment horizontal="left"/>
    </xf>
    <xf numFmtId="0" fontId="30" fillId="0" borderId="3" xfId="0" applyFont="1" applyFill="1" applyBorder="1" applyAlignment="1">
      <alignment horizontal="left"/>
    </xf>
    <xf numFmtId="0" fontId="77" fillId="15" borderId="2" xfId="0" applyFont="1" applyFill="1" applyBorder="1" applyAlignment="1">
      <alignment horizontal="center" vertical="center"/>
    </xf>
    <xf numFmtId="0" fontId="77" fillId="15" borderId="2" xfId="0" applyFont="1" applyFill="1" applyBorder="1" applyAlignment="1">
      <alignment horizontal="left" vertical="center"/>
    </xf>
    <xf numFmtId="0" fontId="30" fillId="13" borderId="5" xfId="0" applyFont="1" applyFill="1" applyBorder="1" applyAlignment="1">
      <alignment horizontal="center"/>
    </xf>
    <xf numFmtId="0" fontId="30" fillId="13" borderId="3" xfId="0" applyFont="1" applyFill="1" applyBorder="1" applyAlignment="1">
      <alignment horizontal="center"/>
    </xf>
    <xf numFmtId="0" fontId="29" fillId="15" borderId="5" xfId="0" applyFont="1" applyFill="1" applyBorder="1" applyAlignment="1">
      <alignment horizontal="left"/>
    </xf>
    <xf numFmtId="0" fontId="29" fillId="15" borderId="6" xfId="0" applyFont="1" applyFill="1" applyBorder="1" applyAlignment="1">
      <alignment horizontal="left"/>
    </xf>
    <xf numFmtId="0" fontId="29" fillId="15" borderId="3" xfId="0" applyFont="1" applyFill="1" applyBorder="1" applyAlignment="1">
      <alignment horizontal="left"/>
    </xf>
    <xf numFmtId="0" fontId="30" fillId="0" borderId="5" xfId="0" applyFont="1" applyBorder="1" applyAlignment="1">
      <alignment horizontal="left"/>
    </xf>
    <xf numFmtId="0" fontId="30" fillId="0" borderId="6" xfId="0" applyFont="1" applyBorder="1" applyAlignment="1">
      <alignment horizontal="left"/>
    </xf>
    <xf numFmtId="0" fontId="30" fillId="0" borderId="3" xfId="0" applyFont="1" applyBorder="1" applyAlignment="1">
      <alignment horizontal="left"/>
    </xf>
    <xf numFmtId="0" fontId="78" fillId="13" borderId="2" xfId="0" applyFont="1" applyFill="1" applyBorder="1" applyAlignment="1">
      <alignment horizontal="left"/>
    </xf>
    <xf numFmtId="0" fontId="72" fillId="12" borderId="0" xfId="0" applyFont="1" applyFill="1" applyBorder="1" applyAlignment="1">
      <alignment horizontal="left" vertical="center"/>
    </xf>
    <xf numFmtId="0" fontId="74" fillId="12" borderId="2" xfId="0" applyFont="1" applyFill="1" applyBorder="1" applyAlignment="1">
      <alignment horizontal="left"/>
    </xf>
    <xf numFmtId="0" fontId="29" fillId="13" borderId="2" xfId="0" applyFont="1" applyFill="1" applyBorder="1" applyAlignment="1">
      <alignment horizontal="left"/>
    </xf>
    <xf numFmtId="22" fontId="30" fillId="0" borderId="5" xfId="0" applyNumberFormat="1" applyFont="1" applyFill="1" applyBorder="1" applyAlignment="1">
      <alignment horizontal="left"/>
    </xf>
    <xf numFmtId="22" fontId="30" fillId="0" borderId="6" xfId="0" applyNumberFormat="1" applyFont="1" applyFill="1" applyBorder="1" applyAlignment="1">
      <alignment horizontal="left"/>
    </xf>
    <xf numFmtId="22" fontId="30" fillId="0" borderId="3" xfId="0" applyNumberFormat="1" applyFont="1" applyFill="1" applyBorder="1" applyAlignment="1">
      <alignment horizontal="left"/>
    </xf>
    <xf numFmtId="0" fontId="29" fillId="15" borderId="2" xfId="0" applyFont="1" applyFill="1" applyBorder="1" applyAlignment="1">
      <alignment horizontal="center" vertical="center"/>
    </xf>
    <xf numFmtId="0" fontId="75" fillId="0" borderId="7" xfId="0" applyFont="1" applyFill="1" applyBorder="1" applyAlignment="1">
      <alignment horizontal="center" vertical="center"/>
    </xf>
    <xf numFmtId="0" fontId="75" fillId="0" borderId="0" xfId="0" applyFont="1" applyFill="1" applyBorder="1" applyAlignment="1">
      <alignment horizontal="center" vertical="center"/>
    </xf>
    <xf numFmtId="0" fontId="30" fillId="0" borderId="2" xfId="0" applyFont="1" applyFill="1" applyBorder="1" applyAlignment="1">
      <alignment horizontal="left"/>
    </xf>
    <xf numFmtId="14" fontId="30" fillId="0" borderId="5" xfId="0" applyNumberFormat="1" applyFont="1" applyFill="1" applyBorder="1" applyAlignment="1">
      <alignment horizontal="left"/>
    </xf>
    <xf numFmtId="14" fontId="30" fillId="0" borderId="6" xfId="0" applyNumberFormat="1" applyFont="1" applyFill="1" applyBorder="1" applyAlignment="1">
      <alignment horizontal="left"/>
    </xf>
    <xf numFmtId="14" fontId="30" fillId="0" borderId="3" xfId="0" applyNumberFormat="1" applyFont="1" applyFill="1" applyBorder="1" applyAlignment="1">
      <alignment horizontal="left"/>
    </xf>
    <xf numFmtId="0" fontId="37" fillId="16" borderId="2" xfId="0" applyFont="1" applyFill="1" applyBorder="1" applyAlignment="1">
      <alignment horizontal="center"/>
    </xf>
  </cellXfs>
  <cellStyles count="8">
    <cellStyle name="Bad" xfId="5" builtinId="27"/>
    <cellStyle name="Comma" xfId="1" builtinId="3"/>
    <cellStyle name="Good" xfId="7" builtinId="26"/>
    <cellStyle name="Hyperlink" xfId="6" builtinId="8"/>
    <cellStyle name="Normal" xfId="0" builtinId="0"/>
    <cellStyle name="Normal 2" xfId="2" xr:uid="{00000000-0005-0000-0000-000002000000}"/>
    <cellStyle name="Percent" xfId="3" builtinId="5"/>
    <cellStyle name="Percent 2" xfId="4" xr:uid="{00000000-0005-0000-0000-000004000000}"/>
  </cellStyles>
  <dxfs count="218">
    <dxf>
      <font>
        <color rgb="FF006100"/>
      </font>
      <fill>
        <patternFill>
          <bgColor rgb="FFC6EFCE"/>
        </patternFill>
      </fill>
    </dxf>
    <dxf>
      <font>
        <color rgb="FF9C0006"/>
      </font>
      <fill>
        <patternFill>
          <bgColor rgb="FFFFC7CE"/>
        </patternFill>
      </fill>
    </dxf>
    <dxf>
      <font>
        <color theme="6" tint="-0.499984740745262"/>
      </font>
      <fill>
        <patternFill>
          <bgColor rgb="FFCCFFCC"/>
        </patternFill>
      </fill>
    </dxf>
    <dxf>
      <font>
        <color theme="5" tint="-0.499984740745262"/>
      </font>
      <fill>
        <patternFill>
          <bgColor rgb="FFFFCCCC"/>
        </patternFill>
      </fill>
    </dxf>
    <dxf>
      <font>
        <color theme="5" tint="-0.499984740745262"/>
      </font>
      <fill>
        <patternFill>
          <bgColor rgb="FFFFCCCC"/>
        </patternFill>
      </fill>
    </dxf>
    <dxf>
      <font>
        <strike val="0"/>
        <color theme="6" tint="-0.499984740745262"/>
      </font>
      <fill>
        <patternFill>
          <bgColor rgb="FFCCFFC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border>
        <left style="thin">
          <color rgb="FF9C0006"/>
        </left>
        <right style="thin">
          <color rgb="FF9C0006"/>
        </right>
        <top style="thin">
          <color rgb="FF9C0006"/>
        </top>
        <bottom style="thin">
          <color rgb="FF9C0006"/>
        </bottom>
        <vertical/>
        <horizontal/>
      </border>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indexed="41"/>
        </patternFill>
      </fill>
    </dxf>
    <dxf>
      <fill>
        <patternFill>
          <bgColor indexed="50"/>
        </patternFill>
      </fill>
    </dxf>
    <dxf>
      <fill>
        <patternFill>
          <bgColor indexed="43"/>
        </patternFill>
      </fill>
    </dxf>
    <dxf>
      <fill>
        <patternFill>
          <bgColor indexed="51"/>
        </patternFill>
      </fill>
    </dxf>
    <dxf>
      <fill>
        <patternFill>
          <bgColor indexed="10"/>
        </patternFill>
      </fill>
    </dxf>
    <dxf>
      <fill>
        <patternFill>
          <bgColor rgb="FFFF0000"/>
        </patternFill>
      </fill>
    </dxf>
    <dxf>
      <fill>
        <patternFill>
          <bgColor rgb="FFFFC000"/>
        </patternFill>
      </fill>
    </dxf>
    <dxf>
      <fill>
        <patternFill patternType="solid">
          <fgColor indexed="64"/>
          <bgColor rgb="FFFFFF99"/>
        </patternFill>
      </fill>
    </dxf>
    <dxf>
      <fill>
        <patternFill>
          <bgColor rgb="FF99CC00"/>
        </patternFill>
      </fill>
    </dxf>
    <dxf>
      <fill>
        <patternFill>
          <bgColor rgb="FFCCFFFF"/>
        </patternFill>
      </fill>
    </dxf>
    <dxf>
      <fill>
        <patternFill>
          <bgColor indexed="51"/>
        </patternFill>
      </fill>
    </dxf>
    <dxf>
      <fill>
        <patternFill>
          <bgColor indexed="10"/>
        </patternFill>
      </fill>
    </dxf>
    <dxf>
      <fill>
        <patternFill>
          <bgColor rgb="FFFF0000"/>
        </patternFill>
      </fill>
    </dxf>
    <dxf>
      <fill>
        <patternFill>
          <bgColor rgb="FFFF0000"/>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ill>
        <patternFill>
          <bgColor indexed="41"/>
        </patternFill>
      </fill>
    </dxf>
    <dxf>
      <fill>
        <patternFill>
          <bgColor indexed="50"/>
        </patternFill>
      </fill>
    </dxf>
    <dxf>
      <fill>
        <patternFill>
          <bgColor indexed="43"/>
        </patternFill>
      </fill>
    </dxf>
    <dxf>
      <font>
        <condense val="0"/>
        <extend val="0"/>
        <color auto="1"/>
      </font>
      <fill>
        <patternFill>
          <bgColor indexed="10"/>
        </patternFill>
      </fill>
    </dxf>
    <dxf>
      <font>
        <condense val="0"/>
        <extend val="0"/>
        <color auto="1"/>
      </font>
      <fill>
        <patternFill>
          <bgColor indexed="10"/>
        </patternFill>
      </fill>
    </dxf>
    <dxf>
      <font>
        <condense val="0"/>
        <extend val="0"/>
        <color auto="1"/>
      </font>
      <fill>
        <patternFill>
          <bgColor indexed="10"/>
        </patternFill>
      </fill>
    </dxf>
    <dxf>
      <font>
        <condense val="0"/>
        <extend val="0"/>
        <color auto="1"/>
      </font>
      <fill>
        <patternFill>
          <bgColor indexed="10"/>
        </patternFill>
      </fill>
    </dxf>
    <dxf>
      <font>
        <condense val="0"/>
        <extend val="0"/>
        <color auto="1"/>
      </font>
      <fill>
        <patternFill patternType="solid">
          <bgColor indexed="10"/>
        </patternFill>
      </fill>
    </dxf>
    <dxf>
      <fill>
        <patternFill>
          <bgColor indexed="10"/>
        </patternFill>
      </fill>
    </dxf>
    <dxf>
      <font>
        <color rgb="FF9C0006"/>
      </font>
      <fill>
        <patternFill>
          <bgColor rgb="FFFFC7CE"/>
        </patternFill>
      </fill>
    </dxf>
    <dxf>
      <font>
        <strike val="0"/>
        <color theme="1" tint="0.499984740745262"/>
      </font>
      <fill>
        <patternFill>
          <bgColor theme="6" tint="0.79998168889431442"/>
        </patternFill>
      </fill>
    </dxf>
  </dxfs>
  <tableStyles count="0" defaultTableStyle="TableStyleMedium9" defaultPivotStyle="PivotStyleLight16"/>
  <colors>
    <mruColors>
      <color rgb="FFFFCCCC"/>
      <color rgb="FFCCFFCC"/>
      <color rgb="FFFFFF99"/>
      <color rgb="FFFFFF9F"/>
      <color rgb="FFFFFF5D"/>
      <color rgb="FFFFFF66"/>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00" b="1" i="0" u="none" strike="noStrike" baseline="0">
                <a:solidFill>
                  <a:srgbClr val="000000"/>
                </a:solidFill>
                <a:latin typeface="Arial"/>
                <a:ea typeface="Arial"/>
                <a:cs typeface="Arial"/>
              </a:defRPr>
            </a:pPr>
            <a:r>
              <a:rPr lang="en-US"/>
              <a:t>Bead Accumulation Values</a:t>
            </a:r>
          </a:p>
        </c:rich>
      </c:tx>
      <c:layout>
        <c:manualLayout>
          <c:xMode val="edge"/>
          <c:yMode val="edge"/>
          <c:x val="0.42680414552924251"/>
          <c:y val="3.1025918635170829E-2"/>
        </c:manualLayout>
      </c:layout>
      <c:overlay val="0"/>
      <c:spPr>
        <a:noFill/>
        <a:ln w="25400">
          <a:noFill/>
        </a:ln>
      </c:spPr>
    </c:title>
    <c:autoTitleDeleted val="0"/>
    <c:plotArea>
      <c:layout>
        <c:manualLayout>
          <c:layoutTarget val="inner"/>
          <c:xMode val="edge"/>
          <c:yMode val="edge"/>
          <c:x val="3.195285046963009E-2"/>
          <c:y val="0.10136986301369855"/>
          <c:w val="0.96792766941298403"/>
          <c:h val="0.78082191780821963"/>
        </c:manualLayout>
      </c:layout>
      <c:barChart>
        <c:barDir val="col"/>
        <c:grouping val="clustered"/>
        <c:varyColors val="0"/>
        <c:ser>
          <c:idx val="0"/>
          <c:order val="0"/>
          <c:tx>
            <c:strRef>
              <c:f>Calculations!$A$12</c:f>
              <c:strCache>
                <c:ptCount val="1"/>
                <c:pt idx="0">
                  <c:v>Bead Accumulation Values</c:v>
                </c:pt>
              </c:strCache>
            </c:strRef>
          </c:tx>
          <c:spPr>
            <a:solidFill>
              <a:srgbClr val="9999FF"/>
            </a:solidFill>
            <a:ln w="12700">
              <a:solidFill>
                <a:srgbClr val="000000"/>
              </a:solidFill>
              <a:prstDash val="solid"/>
            </a:ln>
          </c:spPr>
          <c:invertIfNegative val="0"/>
          <c:errBars>
            <c:errBarType val="both"/>
            <c:errValType val="cust"/>
            <c:noEndCap val="0"/>
            <c:plus>
              <c:numRef>
                <c:f>Calculations!$B$23:$AK$23</c:f>
              </c:numRef>
            </c:plus>
            <c:minus>
              <c:numRef>
                <c:f>Calculations!$B$23:$AK$23</c:f>
              </c:numRef>
            </c:minus>
            <c:spPr>
              <a:ln w="12700">
                <a:solidFill>
                  <a:srgbClr val="000000"/>
                </a:solidFill>
                <a:prstDash val="solid"/>
              </a:ln>
            </c:spPr>
          </c:errBars>
          <c:val>
            <c:numRef>
              <c:f>Calculations!$B$22:$AK$22</c:f>
            </c:numRef>
          </c:val>
          <c:extLst>
            <c:ext xmlns:c15="http://schemas.microsoft.com/office/drawing/2012/chart" uri="{02D57815-91ED-43cb-92C2-25804820EDAC}">
              <c15:filteredCategoryTitle>
                <c15:cat>
                  <c:multiLvlStrRef>
                    <c:extLst>
                      <c:ext uri="{02D57815-91ED-43cb-92C2-25804820EDAC}">
                        <c15:formulaRef>
                          <c15:sqref>Calculations!$B$13:$AK$13</c15:sqref>
                        </c15:formulaRef>
                      </c:ext>
                    </c:extLst>
                  </c:multiLvlStrRef>
                </c15:cat>
              </c15:filteredCategoryTitle>
            </c:ext>
            <c:ext xmlns:c16="http://schemas.microsoft.com/office/drawing/2014/chart" uri="{C3380CC4-5D6E-409C-BE32-E72D297353CC}">
              <c16:uniqueId val="{00000000-54A4-46E0-BF08-0F07B7092BBE}"/>
            </c:ext>
          </c:extLst>
        </c:ser>
        <c:dLbls>
          <c:showLegendKey val="0"/>
          <c:showVal val="0"/>
          <c:showCatName val="0"/>
          <c:showSerName val="0"/>
          <c:showPercent val="0"/>
          <c:showBubbleSize val="0"/>
        </c:dLbls>
        <c:gapWidth val="150"/>
        <c:axId val="132233088"/>
        <c:axId val="132234624"/>
      </c:barChart>
      <c:catAx>
        <c:axId val="132233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132234624"/>
        <c:crosses val="autoZero"/>
        <c:auto val="1"/>
        <c:lblAlgn val="ctr"/>
        <c:lblOffset val="100"/>
        <c:tickLblSkip val="1"/>
        <c:tickMarkSkip val="1"/>
        <c:noMultiLvlLbl val="0"/>
      </c:catAx>
      <c:valAx>
        <c:axId val="132234624"/>
        <c:scaling>
          <c:orientation val="minMax"/>
        </c:scaling>
        <c:delete val="0"/>
        <c:axPos val="l"/>
        <c:title>
          <c:tx>
            <c:rich>
              <a:bodyPr/>
              <a:lstStyle/>
              <a:p>
                <a:pPr>
                  <a:defRPr sz="1225" b="1" i="0" u="none" strike="noStrike" baseline="0">
                    <a:solidFill>
                      <a:srgbClr val="000000"/>
                    </a:solidFill>
                    <a:latin typeface="Arial"/>
                    <a:ea typeface="Arial"/>
                    <a:cs typeface="Arial"/>
                  </a:defRPr>
                </a:pPr>
                <a:r>
                  <a:rPr lang="en-US"/>
                  <a:t>ppm</a:t>
                </a:r>
              </a:p>
            </c:rich>
          </c:tx>
          <c:layout>
            <c:manualLayout>
              <c:xMode val="edge"/>
              <c:yMode val="edge"/>
              <c:x val="1.9841274781363934E-3"/>
              <c:y val="0.4109586614173244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13223308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BioScale_Internal!$J$25</c:f>
          <c:strCache>
            <c:ptCount val="1"/>
            <c:pt idx="0">
              <c:v>GDF-15 Calibration Curve</c:v>
            </c:pt>
          </c:strCache>
        </c:strRef>
      </c:tx>
      <c:layout>
        <c:manualLayout>
          <c:xMode val="edge"/>
          <c:yMode val="edge"/>
          <c:x val="0.32852391382825147"/>
          <c:y val="1.4681784776902887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3596004439511665E-2"/>
          <c:y val="0.10929853181076671"/>
          <c:w val="0.89271180170181252"/>
          <c:h val="0.77814029363785209"/>
        </c:manualLayout>
      </c:layout>
      <c:scatterChart>
        <c:scatterStyle val="lineMarker"/>
        <c:varyColors val="0"/>
        <c:ser>
          <c:idx val="0"/>
          <c:order val="0"/>
          <c:tx>
            <c:strRef>
              <c:f>Calculations!$A$42</c:f>
              <c:strCache>
                <c:ptCount val="1"/>
                <c:pt idx="0">
                  <c:v>Section 1 Standards</c:v>
                </c:pt>
              </c:strCache>
            </c:strRef>
          </c:tx>
          <c:spPr>
            <a:ln w="28575">
              <a:noFill/>
            </a:ln>
          </c:spPr>
          <c:marker>
            <c:symbol val="diamond"/>
            <c:size val="8"/>
            <c:spPr>
              <a:noFill/>
              <a:ln w="15875">
                <a:solidFill>
                  <a:schemeClr val="tx2"/>
                </a:solidFill>
                <a:prstDash val="solid"/>
              </a:ln>
            </c:spPr>
          </c:marker>
          <c:errBars>
            <c:errDir val="y"/>
            <c:errBarType val="both"/>
            <c:errValType val="cust"/>
            <c:noEndCap val="0"/>
            <c:plus>
              <c:numRef>
                <c:f>Calculations!$S$63:$S$78</c:f>
                <c:numCache>
                  <c:formatCode>General</c:formatCode>
                  <c:ptCount val="16"/>
                  <c:pt idx="0">
                    <c:v>2.9881711240601187E-2</c:v>
                  </c:pt>
                  <c:pt idx="1">
                    <c:v>3.4903438226054399E-2</c:v>
                  </c:pt>
                  <c:pt idx="2">
                    <c:v>1.626857912254992E-2</c:v>
                  </c:pt>
                  <c:pt idx="3">
                    <c:v>8.4261497731763658E-3</c:v>
                  </c:pt>
                  <c:pt idx="4">
                    <c:v>1.212091855705119E-2</c:v>
                  </c:pt>
                  <c:pt idx="5">
                    <c:v>2.3629078131263029E-3</c:v>
                  </c:pt>
                  <c:pt idx="6">
                    <c:v>2.7537852736430517E-3</c:v>
                  </c:pt>
                  <c:pt idx="7">
                    <c:v>#N/A</c:v>
                  </c:pt>
                  <c:pt idx="8">
                    <c:v>#N/A</c:v>
                  </c:pt>
                  <c:pt idx="9">
                    <c:v>#N/A</c:v>
                  </c:pt>
                  <c:pt idx="10">
                    <c:v>#N/A</c:v>
                  </c:pt>
                  <c:pt idx="11">
                    <c:v>#N/A</c:v>
                  </c:pt>
                  <c:pt idx="12">
                    <c:v>#N/A</c:v>
                  </c:pt>
                  <c:pt idx="13">
                    <c:v>#N/A</c:v>
                  </c:pt>
                  <c:pt idx="14">
                    <c:v>#N/A</c:v>
                  </c:pt>
                  <c:pt idx="15">
                    <c:v>#N/A</c:v>
                  </c:pt>
                </c:numCache>
              </c:numRef>
            </c:plus>
            <c:minus>
              <c:numRef>
                <c:f>Calculations!$S$63:$S$78</c:f>
                <c:numCache>
                  <c:formatCode>General</c:formatCode>
                  <c:ptCount val="16"/>
                  <c:pt idx="0">
                    <c:v>2.9881711240601187E-2</c:v>
                  </c:pt>
                  <c:pt idx="1">
                    <c:v>3.4903438226054399E-2</c:v>
                  </c:pt>
                  <c:pt idx="2">
                    <c:v>1.626857912254992E-2</c:v>
                  </c:pt>
                  <c:pt idx="3">
                    <c:v>8.4261497731763658E-3</c:v>
                  </c:pt>
                  <c:pt idx="4">
                    <c:v>1.212091855705119E-2</c:v>
                  </c:pt>
                  <c:pt idx="5">
                    <c:v>2.3629078131263029E-3</c:v>
                  </c:pt>
                  <c:pt idx="6">
                    <c:v>2.7537852736430517E-3</c:v>
                  </c:pt>
                  <c:pt idx="7">
                    <c:v>#N/A</c:v>
                  </c:pt>
                  <c:pt idx="8">
                    <c:v>#N/A</c:v>
                  </c:pt>
                  <c:pt idx="9">
                    <c:v>#N/A</c:v>
                  </c:pt>
                  <c:pt idx="10">
                    <c:v>#N/A</c:v>
                  </c:pt>
                  <c:pt idx="11">
                    <c:v>#N/A</c:v>
                  </c:pt>
                  <c:pt idx="12">
                    <c:v>#N/A</c:v>
                  </c:pt>
                  <c:pt idx="13">
                    <c:v>#N/A</c:v>
                  </c:pt>
                  <c:pt idx="14">
                    <c:v>#N/A</c:v>
                  </c:pt>
                  <c:pt idx="15">
                    <c:v>#N/A</c:v>
                  </c:pt>
                </c:numCache>
              </c:numRef>
            </c:minus>
            <c:spPr>
              <a:ln w="3175">
                <a:solidFill>
                  <a:srgbClr val="333399"/>
                </a:solidFill>
                <a:prstDash val="solid"/>
              </a:ln>
            </c:spPr>
          </c:errBars>
          <c:xVal>
            <c:numRef>
              <c:f>Calculations!$Q$63:$Q$78</c:f>
              <c:numCache>
                <c:formatCode>General</c:formatCode>
                <c:ptCount val="16"/>
                <c:pt idx="0">
                  <c:v>1000</c:v>
                </c:pt>
                <c:pt idx="1">
                  <c:v>333.33333333333331</c:v>
                </c:pt>
                <c:pt idx="2">
                  <c:v>111.11111111111111</c:v>
                </c:pt>
                <c:pt idx="3">
                  <c:v>37.037037037037038</c:v>
                </c:pt>
                <c:pt idx="4">
                  <c:v>12.345679012345679</c:v>
                </c:pt>
                <c:pt idx="5">
                  <c:v>4.1152263374485596</c:v>
                </c:pt>
                <c:pt idx="6">
                  <c:v>1.3717421124828533</c:v>
                </c:pt>
                <c:pt idx="7">
                  <c:v>#N/A</c:v>
                </c:pt>
                <c:pt idx="8">
                  <c:v>#N/A</c:v>
                </c:pt>
                <c:pt idx="9">
                  <c:v>#N/A</c:v>
                </c:pt>
                <c:pt idx="10">
                  <c:v>#N/A</c:v>
                </c:pt>
                <c:pt idx="11">
                  <c:v>#N/A</c:v>
                </c:pt>
                <c:pt idx="12">
                  <c:v>#N/A</c:v>
                </c:pt>
                <c:pt idx="13">
                  <c:v>#N/A</c:v>
                </c:pt>
                <c:pt idx="14">
                  <c:v>#N/A</c:v>
                </c:pt>
                <c:pt idx="15">
                  <c:v>#N/A</c:v>
                </c:pt>
              </c:numCache>
            </c:numRef>
          </c:xVal>
          <c:yVal>
            <c:numRef>
              <c:f>Calculations!$R$63:$R$78</c:f>
              <c:numCache>
                <c:formatCode>0.00</c:formatCode>
                <c:ptCount val="16"/>
                <c:pt idx="0">
                  <c:v>2.6552500000000001</c:v>
                </c:pt>
                <c:pt idx="1">
                  <c:v>1.8472500000000001</c:v>
                </c:pt>
                <c:pt idx="2">
                  <c:v>0.74299999999999999</c:v>
                </c:pt>
                <c:pt idx="3">
                  <c:v>0.27050000000000002</c:v>
                </c:pt>
                <c:pt idx="4">
                  <c:v>9.8250000000000004E-2</c:v>
                </c:pt>
                <c:pt idx="5">
                  <c:v>3.5250000000000004E-2</c:v>
                </c:pt>
                <c:pt idx="6">
                  <c:v>1.7750000000000002E-2</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0-6317-4563-B839-116D6E2E4CF3}"/>
            </c:ext>
          </c:extLst>
        </c:ser>
        <c:ser>
          <c:idx val="5"/>
          <c:order val="1"/>
          <c:tx>
            <c:strRef>
              <c:f>Calculations!$O$42</c:f>
              <c:strCache>
                <c:ptCount val="1"/>
                <c:pt idx="0">
                  <c:v>Section 2 Standards</c:v>
                </c:pt>
              </c:strCache>
            </c:strRef>
          </c:tx>
          <c:spPr>
            <a:ln w="28575">
              <a:noFill/>
            </a:ln>
          </c:spPr>
          <c:marker>
            <c:symbol val="diamond"/>
            <c:size val="7"/>
            <c:spPr>
              <a:noFill/>
              <a:ln w="15875">
                <a:solidFill>
                  <a:schemeClr val="accent2"/>
                </a:solidFill>
              </a:ln>
            </c:spPr>
          </c:marker>
          <c:errBars>
            <c:errDir val="y"/>
            <c:errBarType val="both"/>
            <c:errValType val="cust"/>
            <c:noEndCap val="0"/>
            <c:plus>
              <c:numRef>
                <c:f>Calculations!$V$63:$V$78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plus>
            <c:minus>
              <c:numRef>
                <c:f>Calculations!$V$63:$V$78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minus>
            <c:spPr>
              <a:ln w="3175">
                <a:solidFill>
                  <a:srgbClr val="993366"/>
                </a:solidFill>
                <a:prstDash val="solid"/>
              </a:ln>
            </c:spPr>
          </c:errBars>
          <c:xVal>
            <c:numRef>
              <c:f>Calculations!$T$63:$T$78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Calculations!$U$63:$U$78</c:f>
              <c:numCache>
                <c:formatCode>0.00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1-6317-4563-B839-116D6E2E4CF3}"/>
            </c:ext>
          </c:extLst>
        </c:ser>
        <c:ser>
          <c:idx val="10"/>
          <c:order val="2"/>
          <c:tx>
            <c:strRef>
              <c:f>Calculations!$AC$42</c:f>
              <c:strCache>
                <c:ptCount val="1"/>
                <c:pt idx="0">
                  <c:v>Section 3 Standards</c:v>
                </c:pt>
              </c:strCache>
            </c:strRef>
          </c:tx>
          <c:spPr>
            <a:ln w="28575">
              <a:noFill/>
            </a:ln>
          </c:spPr>
          <c:marker>
            <c:symbol val="diamond"/>
            <c:size val="7"/>
            <c:spPr>
              <a:noFill/>
              <a:ln w="15875">
                <a:solidFill>
                  <a:schemeClr val="accent3">
                    <a:lumMod val="50000"/>
                  </a:schemeClr>
                </a:solidFill>
              </a:ln>
            </c:spPr>
          </c:marker>
          <c:errBars>
            <c:errDir val="y"/>
            <c:errBarType val="both"/>
            <c:errValType val="cust"/>
            <c:noEndCap val="0"/>
            <c:plus>
              <c:numRef>
                <c:f>Calculations!$Y$63:$Y$78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plus>
            <c:minus>
              <c:numRef>
                <c:f>Calculations!$Y$63:$Y$78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minus>
            <c:spPr>
              <a:ln w="3175">
                <a:solidFill>
                  <a:srgbClr val="333300"/>
                </a:solidFill>
                <a:prstDash val="solid"/>
              </a:ln>
            </c:spPr>
          </c:errBars>
          <c:xVal>
            <c:numRef>
              <c:f>Calculations!$W$63:$W$78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Calculations!$X$63:$X$78</c:f>
              <c:numCache>
                <c:formatCode>0.00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2-6317-4563-B839-116D6E2E4CF3}"/>
            </c:ext>
          </c:extLst>
        </c:ser>
        <c:ser>
          <c:idx val="1"/>
          <c:order val="3"/>
          <c:tx>
            <c:v>5PL Standard Curve</c:v>
          </c:tx>
          <c:spPr>
            <a:ln w="12700">
              <a:solidFill>
                <a:schemeClr val="tx2"/>
              </a:solidFill>
              <a:prstDash val="solid"/>
            </a:ln>
          </c:spPr>
          <c:marker>
            <c:symbol val="none"/>
          </c:marker>
          <c:xVal>
            <c:numRef>
              <c:f>Calculations!$AB$63:$AB$88</c:f>
              <c:numCache>
                <c:formatCode>0.00</c:formatCode>
                <c:ptCount val="26"/>
                <c:pt idx="0">
                  <c:v>1.3717421124828533</c:v>
                </c:pt>
                <c:pt idx="1">
                  <c:v>1.7855892918763501</c:v>
                </c:pt>
                <c:pt idx="2">
                  <c:v>2.3242919279430807</c:v>
                </c:pt>
                <c:pt idx="3">
                  <c:v>3.0255182369650249</c:v>
                </c:pt>
                <c:pt idx="4">
                  <c:v>3.9383007324336918</c:v>
                </c:pt>
                <c:pt idx="5">
                  <c:v>5.12646477208032</c:v>
                </c:pt>
                <c:pt idx="6">
                  <c:v>6.6730914790095959</c:v>
                </c:pt>
                <c:pt idx="7">
                  <c:v>8.6863271020118908</c:v>
                </c:pt>
                <c:pt idx="8">
                  <c:v>11.306945028474971</c:v>
                </c:pt>
                <c:pt idx="9">
                  <c:v>14.718189215709312</c:v>
                </c:pt>
                <c:pt idx="10">
                  <c:v>19.158587332288402</c:v>
                </c:pt>
                <c:pt idx="11">
                  <c:v>24.938629554860793</c:v>
                </c:pt>
                <c:pt idx="12">
                  <c:v>32.462479267791004</c:v>
                </c:pt>
                <c:pt idx="13">
                  <c:v>42.256233763509385</c:v>
                </c:pt>
                <c:pt idx="14">
                  <c:v>55.004711043373611</c:v>
                </c:pt>
                <c:pt idx="15">
                  <c:v>71.599334997472738</c:v>
                </c:pt>
                <c:pt idx="16">
                  <c:v>93.200467284300132</c:v>
                </c:pt>
                <c:pt idx="17">
                  <c:v>121.31854440154372</c:v>
                </c:pt>
                <c:pt idx="18">
                  <c:v>157.9196933724885</c:v>
                </c:pt>
                <c:pt idx="19">
                  <c:v>205.56321111402551</c:v>
                </c:pt>
                <c:pt idx="20">
                  <c:v>267.58052058674372</c:v>
                </c:pt>
                <c:pt idx="21">
                  <c:v>348.30811704802949</c:v>
                </c:pt>
                <c:pt idx="22">
                  <c:v>453.39079293036576</c:v>
                </c:pt>
                <c:pt idx="23">
                  <c:v>590.17634402611338</c:v>
                </c:pt>
                <c:pt idx="24">
                  <c:v>768.22935639437378</c:v>
                </c:pt>
                <c:pt idx="25">
                  <c:v>1000</c:v>
                </c:pt>
              </c:numCache>
            </c:numRef>
          </c:xVal>
          <c:yVal>
            <c:numRef>
              <c:f>Calculations!$AC$63:$AC$88</c:f>
              <c:numCache>
                <c:formatCode>0.000</c:formatCode>
                <c:ptCount val="26"/>
                <c:pt idx="0">
                  <c:v>1.8742513597752104E-2</c:v>
                </c:pt>
                <c:pt idx="1">
                  <c:v>2.1469199736427635E-2</c:v>
                </c:pt>
                <c:pt idx="2">
                  <c:v>2.5036851759591291E-2</c:v>
                </c:pt>
                <c:pt idx="3">
                  <c:v>2.9704786352249601E-2</c:v>
                </c:pt>
                <c:pt idx="4">
                  <c:v>3.5812215855402035E-2</c:v>
                </c:pt>
                <c:pt idx="5">
                  <c:v>4.3802783803172332E-2</c:v>
                </c:pt>
                <c:pt idx="6">
                  <c:v>5.4256537502371457E-2</c:v>
                </c:pt>
                <c:pt idx="7">
                  <c:v>6.7931472929456269E-2</c:v>
                </c:pt>
                <c:pt idx="8">
                  <c:v>8.5817253850335631E-2</c:v>
                </c:pt>
                <c:pt idx="9">
                  <c:v>0.10920408651335736</c:v>
                </c:pt>
                <c:pt idx="10">
                  <c:v>0.13976972178353569</c:v>
                </c:pt>
                <c:pt idx="11">
                  <c:v>0.17968644574307185</c:v>
                </c:pt>
                <c:pt idx="12">
                  <c:v>0.23174611595802591</c:v>
                </c:pt>
                <c:pt idx="13">
                  <c:v>0.29949142114937394</c:v>
                </c:pt>
                <c:pt idx="14">
                  <c:v>0.38731885301927105</c:v>
                </c:pt>
                <c:pt idx="15">
                  <c:v>0.5004714180827472</c:v>
                </c:pt>
                <c:pt idx="16">
                  <c:v>0.64475053039574826</c:v>
                </c:pt>
                <c:pt idx="17">
                  <c:v>0.82564153522385209</c:v>
                </c:pt>
                <c:pt idx="18">
                  <c:v>1.0464322216120718</c:v>
                </c:pt>
                <c:pt idx="19">
                  <c:v>1.3050817339015153</c:v>
                </c:pt>
                <c:pt idx="20">
                  <c:v>1.590613462308939</c:v>
                </c:pt>
                <c:pt idx="21">
                  <c:v>1.8817913250475999</c:v>
                </c:pt>
                <c:pt idx="22">
                  <c:v>2.1516655143588599</c:v>
                </c:pt>
                <c:pt idx="23">
                  <c:v>2.3775208161414758</c:v>
                </c:pt>
                <c:pt idx="24">
                  <c:v>2.5492338838923123</c:v>
                </c:pt>
                <c:pt idx="25">
                  <c:v>2.6697462797913998</c:v>
                </c:pt>
              </c:numCache>
            </c:numRef>
          </c:yVal>
          <c:smooth val="0"/>
          <c:extLst>
            <c:ext xmlns:c16="http://schemas.microsoft.com/office/drawing/2014/chart" uri="{C3380CC4-5D6E-409C-BE32-E72D297353CC}">
              <c16:uniqueId val="{00000003-6317-4563-B839-116D6E2E4CF3}"/>
            </c:ext>
          </c:extLst>
        </c:ser>
        <c:ser>
          <c:idx val="2"/>
          <c:order val="4"/>
          <c:tx>
            <c:v>Background</c:v>
          </c:tx>
          <c:spPr>
            <a:ln w="19050">
              <a:solidFill>
                <a:schemeClr val="tx2"/>
              </a:solidFill>
              <a:prstDash val="sysDot"/>
            </a:ln>
          </c:spPr>
          <c:marker>
            <c:symbol val="none"/>
          </c:marker>
          <c:xVal>
            <c:numRef>
              <c:f>Calculations!$AM$62:$AN$62</c:f>
              <c:numCache>
                <c:formatCode>0.00</c:formatCode>
                <c:ptCount val="2"/>
                <c:pt idx="0">
                  <c:v>1.3717421124828533</c:v>
                </c:pt>
                <c:pt idx="1">
                  <c:v>1000</c:v>
                </c:pt>
              </c:numCache>
            </c:numRef>
          </c:xVal>
          <c:yVal>
            <c:numRef>
              <c:f>Calculations!$AM$63:$AN$63</c:f>
              <c:numCache>
                <c:formatCode>0.000</c:formatCode>
                <c:ptCount val="2"/>
                <c:pt idx="0">
                  <c:v>1.2500000000000001E-2</c:v>
                </c:pt>
                <c:pt idx="1">
                  <c:v>1.2500000000000001E-2</c:v>
                </c:pt>
              </c:numCache>
            </c:numRef>
          </c:yVal>
          <c:smooth val="0"/>
          <c:extLst>
            <c:ext xmlns:c16="http://schemas.microsoft.com/office/drawing/2014/chart" uri="{C3380CC4-5D6E-409C-BE32-E72D297353CC}">
              <c16:uniqueId val="{00000004-6317-4563-B839-116D6E2E4CF3}"/>
            </c:ext>
          </c:extLst>
        </c:ser>
        <c:ser>
          <c:idx val="3"/>
          <c:order val="5"/>
          <c:tx>
            <c:v>Background +/- 2 StDev</c:v>
          </c:tx>
          <c:spPr>
            <a:ln w="9525">
              <a:solidFill>
                <a:schemeClr val="tx2"/>
              </a:solidFill>
              <a:prstDash val="dash"/>
            </a:ln>
          </c:spPr>
          <c:marker>
            <c:symbol val="none"/>
          </c:marker>
          <c:xVal>
            <c:numRef>
              <c:f>Calculations!$AM$62:$AN$62</c:f>
              <c:numCache>
                <c:formatCode>0.00</c:formatCode>
                <c:ptCount val="2"/>
                <c:pt idx="0">
                  <c:v>1.3717421124828533</c:v>
                </c:pt>
                <c:pt idx="1">
                  <c:v>1000</c:v>
                </c:pt>
              </c:numCache>
            </c:numRef>
          </c:xVal>
          <c:yVal>
            <c:numRef>
              <c:f>Calculations!$AM$64:$AN$64</c:f>
              <c:numCache>
                <c:formatCode>0.000</c:formatCode>
                <c:ptCount val="2"/>
                <c:pt idx="0">
                  <c:v>1.0500000000000001E-2</c:v>
                </c:pt>
                <c:pt idx="1">
                  <c:v>1.0500000000000001E-2</c:v>
                </c:pt>
              </c:numCache>
            </c:numRef>
          </c:yVal>
          <c:smooth val="0"/>
          <c:extLst>
            <c:ext xmlns:c16="http://schemas.microsoft.com/office/drawing/2014/chart" uri="{C3380CC4-5D6E-409C-BE32-E72D297353CC}">
              <c16:uniqueId val="{00000005-6317-4563-B839-116D6E2E4CF3}"/>
            </c:ext>
          </c:extLst>
        </c:ser>
        <c:ser>
          <c:idx val="4"/>
          <c:order val="6"/>
          <c:tx>
            <c:v>Background 1 +</c:v>
          </c:tx>
          <c:spPr>
            <a:ln w="9525">
              <a:solidFill>
                <a:schemeClr val="tx2"/>
              </a:solidFill>
              <a:prstDash val="dash"/>
            </a:ln>
          </c:spPr>
          <c:marker>
            <c:symbol val="none"/>
          </c:marker>
          <c:xVal>
            <c:numRef>
              <c:f>Calculations!$AM$62:$AN$62</c:f>
              <c:numCache>
                <c:formatCode>0.00</c:formatCode>
                <c:ptCount val="2"/>
                <c:pt idx="0">
                  <c:v>1.3717421124828533</c:v>
                </c:pt>
                <c:pt idx="1">
                  <c:v>1000</c:v>
                </c:pt>
              </c:numCache>
            </c:numRef>
          </c:xVal>
          <c:yVal>
            <c:numRef>
              <c:f>Calculations!$AM$65:$AN$65</c:f>
              <c:numCache>
                <c:formatCode>0.000</c:formatCode>
                <c:ptCount val="2"/>
                <c:pt idx="0">
                  <c:v>1.4500000000000001E-2</c:v>
                </c:pt>
                <c:pt idx="1">
                  <c:v>1.4500000000000001E-2</c:v>
                </c:pt>
              </c:numCache>
            </c:numRef>
          </c:yVal>
          <c:smooth val="0"/>
          <c:extLst>
            <c:ext xmlns:c16="http://schemas.microsoft.com/office/drawing/2014/chart" uri="{C3380CC4-5D6E-409C-BE32-E72D297353CC}">
              <c16:uniqueId val="{00000006-6317-4563-B839-116D6E2E4CF3}"/>
            </c:ext>
          </c:extLst>
        </c:ser>
        <c:ser>
          <c:idx val="6"/>
          <c:order val="7"/>
          <c:tx>
            <c:v>5PL Curve 2</c:v>
          </c:tx>
          <c:spPr>
            <a:ln w="9525">
              <a:solidFill>
                <a:srgbClr val="C0504D"/>
              </a:solidFill>
            </a:ln>
          </c:spPr>
          <c:marker>
            <c:symbol val="none"/>
          </c:marker>
          <c:xVal>
            <c:numRef>
              <c:f>Calculations!$AD$63:$AD$88</c:f>
              <c:numCache>
                <c:formatCode>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Calculations!$AE$63:$AE$88</c:f>
              <c:numCache>
                <c:formatCode>0.000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0"/>
          <c:extLst>
            <c:ext xmlns:c16="http://schemas.microsoft.com/office/drawing/2014/chart" uri="{C3380CC4-5D6E-409C-BE32-E72D297353CC}">
              <c16:uniqueId val="{00000007-6317-4563-B839-116D6E2E4CF3}"/>
            </c:ext>
          </c:extLst>
        </c:ser>
        <c:ser>
          <c:idx val="7"/>
          <c:order val="8"/>
          <c:tx>
            <c:v>Background 2</c:v>
          </c:tx>
          <c:spPr>
            <a:ln w="19050">
              <a:solidFill>
                <a:srgbClr val="C0504D"/>
              </a:solidFill>
              <a:prstDash val="sysDot"/>
            </a:ln>
          </c:spPr>
          <c:marker>
            <c:symbol val="none"/>
          </c:marker>
          <c:xVal>
            <c:numRef>
              <c:f>Calculations!$AM$66:$AN$66</c:f>
              <c:numCache>
                <c:formatCode>0.00</c:formatCode>
                <c:ptCount val="2"/>
                <c:pt idx="0">
                  <c:v>#N/A</c:v>
                </c:pt>
                <c:pt idx="1">
                  <c:v>#N/A</c:v>
                </c:pt>
              </c:numCache>
            </c:numRef>
          </c:xVal>
          <c:yVal>
            <c:numRef>
              <c:f>Calculations!$AM$67:$AN$67</c:f>
              <c:numCache>
                <c:formatCode>0.000</c:formatCode>
                <c:ptCount val="2"/>
                <c:pt idx="0" formatCode="0.00">
                  <c:v>#N/A</c:v>
                </c:pt>
                <c:pt idx="1">
                  <c:v>#N/A</c:v>
                </c:pt>
              </c:numCache>
            </c:numRef>
          </c:yVal>
          <c:smooth val="0"/>
          <c:extLst>
            <c:ext xmlns:c16="http://schemas.microsoft.com/office/drawing/2014/chart" uri="{C3380CC4-5D6E-409C-BE32-E72D297353CC}">
              <c16:uniqueId val="{00000008-6317-4563-B839-116D6E2E4CF3}"/>
            </c:ext>
          </c:extLst>
        </c:ser>
        <c:ser>
          <c:idx val="8"/>
          <c:order val="9"/>
          <c:tx>
            <c:v>Background 2-</c:v>
          </c:tx>
          <c:spPr>
            <a:ln w="9525">
              <a:solidFill>
                <a:srgbClr val="C0504D"/>
              </a:solidFill>
              <a:prstDash val="dash"/>
            </a:ln>
          </c:spPr>
          <c:marker>
            <c:symbol val="none"/>
          </c:marker>
          <c:xVal>
            <c:numRef>
              <c:f>Calculations!$AM$66:$AN$66</c:f>
              <c:numCache>
                <c:formatCode>0.00</c:formatCode>
                <c:ptCount val="2"/>
                <c:pt idx="0">
                  <c:v>#N/A</c:v>
                </c:pt>
                <c:pt idx="1">
                  <c:v>#N/A</c:v>
                </c:pt>
              </c:numCache>
            </c:numRef>
          </c:xVal>
          <c:yVal>
            <c:numRef>
              <c:f>Calculations!$AM$68:$AN$68</c:f>
              <c:numCache>
                <c:formatCode>0.000</c:formatCode>
                <c:ptCount val="2"/>
                <c:pt idx="0">
                  <c:v>#N/A</c:v>
                </c:pt>
                <c:pt idx="1">
                  <c:v>#N/A</c:v>
                </c:pt>
              </c:numCache>
            </c:numRef>
          </c:yVal>
          <c:smooth val="0"/>
          <c:extLst>
            <c:ext xmlns:c16="http://schemas.microsoft.com/office/drawing/2014/chart" uri="{C3380CC4-5D6E-409C-BE32-E72D297353CC}">
              <c16:uniqueId val="{00000009-6317-4563-B839-116D6E2E4CF3}"/>
            </c:ext>
          </c:extLst>
        </c:ser>
        <c:ser>
          <c:idx val="9"/>
          <c:order val="10"/>
          <c:tx>
            <c:v>Background 2+</c:v>
          </c:tx>
          <c:spPr>
            <a:ln w="9525">
              <a:solidFill>
                <a:srgbClr val="C0504D"/>
              </a:solidFill>
              <a:prstDash val="dash"/>
            </a:ln>
          </c:spPr>
          <c:marker>
            <c:symbol val="none"/>
          </c:marker>
          <c:xVal>
            <c:numRef>
              <c:f>Calculations!$AM$66:$AN$66</c:f>
              <c:numCache>
                <c:formatCode>0.00</c:formatCode>
                <c:ptCount val="2"/>
                <c:pt idx="0">
                  <c:v>#N/A</c:v>
                </c:pt>
                <c:pt idx="1">
                  <c:v>#N/A</c:v>
                </c:pt>
              </c:numCache>
            </c:numRef>
          </c:xVal>
          <c:yVal>
            <c:numRef>
              <c:f>Calculations!$AM$69:$AN$69</c:f>
              <c:numCache>
                <c:formatCode>0.000</c:formatCode>
                <c:ptCount val="2"/>
                <c:pt idx="0">
                  <c:v>#N/A</c:v>
                </c:pt>
                <c:pt idx="1">
                  <c:v>#N/A</c:v>
                </c:pt>
              </c:numCache>
            </c:numRef>
          </c:yVal>
          <c:smooth val="0"/>
          <c:extLst>
            <c:ext xmlns:c16="http://schemas.microsoft.com/office/drawing/2014/chart" uri="{C3380CC4-5D6E-409C-BE32-E72D297353CC}">
              <c16:uniqueId val="{0000000A-6317-4563-B839-116D6E2E4CF3}"/>
            </c:ext>
          </c:extLst>
        </c:ser>
        <c:ser>
          <c:idx val="11"/>
          <c:order val="11"/>
          <c:tx>
            <c:v>Background 3</c:v>
          </c:tx>
          <c:spPr>
            <a:ln w="19050">
              <a:solidFill>
                <a:schemeClr val="accent3">
                  <a:lumMod val="50000"/>
                </a:schemeClr>
              </a:solidFill>
              <a:prstDash val="sysDot"/>
            </a:ln>
          </c:spPr>
          <c:marker>
            <c:symbol val="none"/>
          </c:marker>
          <c:xVal>
            <c:numRef>
              <c:f>Calculations!$AM$70:$AN$70</c:f>
              <c:numCache>
                <c:formatCode>0.00</c:formatCode>
                <c:ptCount val="2"/>
                <c:pt idx="0">
                  <c:v>#N/A</c:v>
                </c:pt>
                <c:pt idx="1">
                  <c:v>#N/A</c:v>
                </c:pt>
              </c:numCache>
            </c:numRef>
          </c:xVal>
          <c:yVal>
            <c:numRef>
              <c:f>Calculations!$AM$71:$AN$71</c:f>
              <c:numCache>
                <c:formatCode>0.000</c:formatCode>
                <c:ptCount val="2"/>
                <c:pt idx="0">
                  <c:v>#N/A</c:v>
                </c:pt>
                <c:pt idx="1">
                  <c:v>#N/A</c:v>
                </c:pt>
              </c:numCache>
            </c:numRef>
          </c:yVal>
          <c:smooth val="0"/>
          <c:extLst>
            <c:ext xmlns:c16="http://schemas.microsoft.com/office/drawing/2014/chart" uri="{C3380CC4-5D6E-409C-BE32-E72D297353CC}">
              <c16:uniqueId val="{0000000B-6317-4563-B839-116D6E2E4CF3}"/>
            </c:ext>
          </c:extLst>
        </c:ser>
        <c:ser>
          <c:idx val="12"/>
          <c:order val="12"/>
          <c:tx>
            <c:v>Background 3-</c:v>
          </c:tx>
          <c:spPr>
            <a:ln w="9525">
              <a:solidFill>
                <a:srgbClr val="9BBB59">
                  <a:lumMod val="50000"/>
                </a:srgbClr>
              </a:solidFill>
              <a:prstDash val="dash"/>
            </a:ln>
          </c:spPr>
          <c:marker>
            <c:symbol val="none"/>
          </c:marker>
          <c:xVal>
            <c:numRef>
              <c:f>Calculations!$AM$70:$AN$70</c:f>
              <c:numCache>
                <c:formatCode>0.00</c:formatCode>
                <c:ptCount val="2"/>
                <c:pt idx="0">
                  <c:v>#N/A</c:v>
                </c:pt>
                <c:pt idx="1">
                  <c:v>#N/A</c:v>
                </c:pt>
              </c:numCache>
            </c:numRef>
          </c:xVal>
          <c:yVal>
            <c:numRef>
              <c:f>Calculations!$AM$72:$AN$72</c:f>
              <c:numCache>
                <c:formatCode>0.000</c:formatCode>
                <c:ptCount val="2"/>
                <c:pt idx="0">
                  <c:v>#N/A</c:v>
                </c:pt>
                <c:pt idx="1">
                  <c:v>#N/A</c:v>
                </c:pt>
              </c:numCache>
            </c:numRef>
          </c:yVal>
          <c:smooth val="0"/>
          <c:extLst>
            <c:ext xmlns:c16="http://schemas.microsoft.com/office/drawing/2014/chart" uri="{C3380CC4-5D6E-409C-BE32-E72D297353CC}">
              <c16:uniqueId val="{0000000C-6317-4563-B839-116D6E2E4CF3}"/>
            </c:ext>
          </c:extLst>
        </c:ser>
        <c:ser>
          <c:idx val="13"/>
          <c:order val="13"/>
          <c:tx>
            <c:v>Background 3+</c:v>
          </c:tx>
          <c:spPr>
            <a:ln w="9525">
              <a:solidFill>
                <a:srgbClr val="9BBB59">
                  <a:lumMod val="50000"/>
                </a:srgbClr>
              </a:solidFill>
              <a:prstDash val="dash"/>
            </a:ln>
          </c:spPr>
          <c:marker>
            <c:symbol val="none"/>
          </c:marker>
          <c:xVal>
            <c:numRef>
              <c:f>Calculations!$AM$70:$AN$70</c:f>
              <c:numCache>
                <c:formatCode>0.00</c:formatCode>
                <c:ptCount val="2"/>
                <c:pt idx="0">
                  <c:v>#N/A</c:v>
                </c:pt>
                <c:pt idx="1">
                  <c:v>#N/A</c:v>
                </c:pt>
              </c:numCache>
            </c:numRef>
          </c:xVal>
          <c:yVal>
            <c:numRef>
              <c:f>Calculations!$AM$73:$AN$73</c:f>
              <c:numCache>
                <c:formatCode>0.000</c:formatCode>
                <c:ptCount val="2"/>
                <c:pt idx="0">
                  <c:v>#N/A</c:v>
                </c:pt>
                <c:pt idx="1">
                  <c:v>#N/A</c:v>
                </c:pt>
              </c:numCache>
            </c:numRef>
          </c:yVal>
          <c:smooth val="0"/>
          <c:extLst>
            <c:ext xmlns:c16="http://schemas.microsoft.com/office/drawing/2014/chart" uri="{C3380CC4-5D6E-409C-BE32-E72D297353CC}">
              <c16:uniqueId val="{0000000D-6317-4563-B839-116D6E2E4CF3}"/>
            </c:ext>
          </c:extLst>
        </c:ser>
        <c:ser>
          <c:idx val="14"/>
          <c:order val="14"/>
          <c:tx>
            <c:v>5PL Curve 3</c:v>
          </c:tx>
          <c:spPr>
            <a:ln w="9525">
              <a:solidFill>
                <a:srgbClr val="9BBB59">
                  <a:lumMod val="50000"/>
                </a:srgbClr>
              </a:solidFill>
            </a:ln>
          </c:spPr>
          <c:marker>
            <c:symbol val="none"/>
          </c:marker>
          <c:xVal>
            <c:numRef>
              <c:f>Calculations!$AF$63:$AF$88</c:f>
              <c:numCache>
                <c:formatCode>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Calculations!$AG$63:$AG$88</c:f>
              <c:numCache>
                <c:formatCode>0.000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0"/>
          <c:extLst>
            <c:ext xmlns:c16="http://schemas.microsoft.com/office/drawing/2014/chart" uri="{C3380CC4-5D6E-409C-BE32-E72D297353CC}">
              <c16:uniqueId val="{0000000E-6317-4563-B839-116D6E2E4CF3}"/>
            </c:ext>
          </c:extLst>
        </c:ser>
        <c:dLbls>
          <c:showLegendKey val="0"/>
          <c:showVal val="0"/>
          <c:showCatName val="0"/>
          <c:showSerName val="0"/>
          <c:showPercent val="0"/>
          <c:showBubbleSize val="0"/>
        </c:dLbls>
        <c:axId val="132322816"/>
        <c:axId val="132324736"/>
      </c:scatterChart>
      <c:valAx>
        <c:axId val="132322816"/>
        <c:scaling>
          <c:logBase val="10"/>
          <c:orientation val="minMax"/>
          <c:max val="1000"/>
          <c:min val="10"/>
        </c:scaling>
        <c:delete val="0"/>
        <c:axPos val="b"/>
        <c:title>
          <c:tx>
            <c:strRef>
              <c:f>BioScale_Internal!$J$26</c:f>
              <c:strCache>
                <c:ptCount val="1"/>
                <c:pt idx="0">
                  <c:v>[GDF-15] (pg/mL)</c:v>
                </c:pt>
              </c:strCache>
            </c:strRef>
          </c:tx>
          <c:layout>
            <c:manualLayout>
              <c:xMode val="edge"/>
              <c:yMode val="edge"/>
              <c:x val="0.43618203877566192"/>
              <c:y val="0.94290393700787722"/>
            </c:manualLayout>
          </c:layout>
          <c:overlay val="0"/>
          <c:spPr>
            <a:noFill/>
            <a:ln w="25400">
              <a:noFill/>
            </a:ln>
          </c:spPr>
          <c:txPr>
            <a:bodyPr/>
            <a:lstStyle/>
            <a:p>
              <a:pPr>
                <a:defRPr sz="1400" b="1" i="0" u="none" strike="noStrike" baseline="0">
                  <a:solidFill>
                    <a:srgbClr val="000000"/>
                  </a:solidFill>
                  <a:latin typeface="Arial"/>
                  <a:ea typeface="Arial"/>
                  <a:cs typeface="Arial"/>
                </a:defRPr>
              </a:pPr>
              <a:endParaRPr lang="en-US"/>
            </a:p>
          </c:tx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32324736"/>
        <c:crossesAt val="1.0000000000000041E-3"/>
        <c:crossBetween val="midCat"/>
      </c:valAx>
      <c:valAx>
        <c:axId val="132324736"/>
        <c:scaling>
          <c:logBase val="10"/>
          <c:orientation val="minMax"/>
          <c:max val="2.5"/>
        </c:scaling>
        <c:delete val="0"/>
        <c:axPos val="l"/>
        <c:title>
          <c:tx>
            <c:strRef>
              <c:f>BioScale_Internal!$J$27</c:f>
              <c:strCache>
                <c:ptCount val="1"/>
                <c:pt idx="0">
                  <c:v>Accumulation Rate (ppm/sec)</c:v>
                </c:pt>
              </c:strCache>
            </c:strRef>
          </c:tx>
          <c:layout>
            <c:manualLayout>
              <c:xMode val="edge"/>
              <c:yMode val="edge"/>
              <c:x val="2.7777551590952888E-3"/>
              <c:y val="0.19622425196850388"/>
            </c:manualLayout>
          </c:layout>
          <c:overlay val="0"/>
          <c:spPr>
            <a:noFill/>
            <a:ln w="25400">
              <a:noFill/>
            </a:ln>
          </c:spPr>
          <c:txPr>
            <a:bodyPr/>
            <a:lstStyle/>
            <a:p>
              <a:pPr>
                <a:defRPr sz="1400" b="1" i="0" u="none" strike="noStrike" baseline="0">
                  <a:solidFill>
                    <a:srgbClr val="000000"/>
                  </a:solidFill>
                  <a:latin typeface="Arial"/>
                  <a:ea typeface="Arial"/>
                  <a:cs typeface="Arial"/>
                </a:defRPr>
              </a:pPr>
              <a:endParaRPr lang="en-US"/>
            </a:p>
          </c:txPr>
        </c:title>
        <c:numFmt formatCode="General" sourceLinked="0"/>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32322816"/>
        <c:crossesAt val="1.0000000000000041E-3"/>
        <c:crossBetween val="midCat"/>
      </c:valAx>
      <c:spPr>
        <a:noFill/>
        <a:ln w="3175">
          <a:solidFill>
            <a:srgbClr val="000000"/>
          </a:solidFill>
          <a:prstDash val="solid"/>
        </a:ln>
      </c:spPr>
    </c:plotArea>
    <c:legend>
      <c:legendPos val="r"/>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ayout>
        <c:manualLayout>
          <c:xMode val="edge"/>
          <c:yMode val="edge"/>
          <c:x val="0.13461111111111107"/>
          <c:y val="0.1999955905511811"/>
          <c:w val="0.2013750349458644"/>
          <c:h val="0.27475401574803149"/>
        </c:manualLayout>
      </c:layout>
      <c:overlay val="0"/>
      <c:spPr>
        <a:solidFill>
          <a:srgbClr val="FFFFFF"/>
        </a:solidFill>
        <a:ln w="25400">
          <a:noFill/>
        </a:ln>
      </c:spPr>
      <c:txPr>
        <a:bodyPr/>
        <a:lstStyle/>
        <a:p>
          <a:pPr>
            <a:defRPr sz="85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solidFill>
        <a:schemeClr val="tx1"/>
      </a:solidFill>
    </a:ln>
  </c:spPr>
  <c:txPr>
    <a:bodyPr/>
    <a:lstStyle/>
    <a:p>
      <a:pPr>
        <a:defRPr sz="850" b="0" i="0" u="none" strike="noStrike" baseline="0">
          <a:solidFill>
            <a:srgbClr val="000000"/>
          </a:solidFill>
          <a:latin typeface="Arial"/>
          <a:ea typeface="Arial"/>
          <a:cs typeface="Arial"/>
        </a:defRPr>
      </a:pPr>
      <a:endParaRPr lang="en-US"/>
    </a:p>
  </c:txPr>
  <c:printSettings>
    <c:headerFooter/>
    <c:pageMargins b="0.750000000000003" l="0.70000000000000062" r="0.70000000000000062" t="0.75000000000000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Statistics!$E$59</c:f>
          <c:strCache>
            <c:ptCount val="1"/>
            <c:pt idx="0">
              <c:v>Section 1 Standard Statistics</c:v>
            </c:pt>
          </c:strCache>
        </c:strRef>
      </c:tx>
      <c:overlay val="1"/>
      <c:txPr>
        <a:bodyPr/>
        <a:lstStyle/>
        <a:p>
          <a:pPr>
            <a:defRPr/>
          </a:pPr>
          <a:endParaRPr lang="en-US"/>
        </a:p>
      </c:txPr>
    </c:title>
    <c:autoTitleDeleted val="0"/>
    <c:plotArea>
      <c:layout>
        <c:manualLayout>
          <c:layoutTarget val="inner"/>
          <c:xMode val="edge"/>
          <c:yMode val="edge"/>
          <c:x val="0.10281016472210203"/>
          <c:y val="0.18741666666666754"/>
          <c:w val="0.82778245595916489"/>
          <c:h val="0.66652427821522364"/>
        </c:manualLayout>
      </c:layout>
      <c:scatterChart>
        <c:scatterStyle val="lineMarker"/>
        <c:varyColors val="0"/>
        <c:ser>
          <c:idx val="0"/>
          <c:order val="0"/>
          <c:tx>
            <c:v>Standard Signals</c:v>
          </c:tx>
          <c:spPr>
            <a:ln w="28575">
              <a:noFill/>
            </a:ln>
          </c:spPr>
          <c:marker>
            <c:spPr>
              <a:noFill/>
              <a:ln w="19050"/>
            </c:spPr>
          </c:marker>
          <c:errBars>
            <c:errDir val="y"/>
            <c:errBarType val="both"/>
            <c:errValType val="cust"/>
            <c:noEndCap val="0"/>
            <c:plus>
              <c:numRef>
                <c:f>Statistics!$D$21:$D$36</c:f>
                <c:numCache>
                  <c:formatCode>General</c:formatCode>
                  <c:ptCount val="16"/>
                  <c:pt idx="0">
                    <c:v>2.9881711240601187E-2</c:v>
                  </c:pt>
                  <c:pt idx="1">
                    <c:v>3.4903438226054399E-2</c:v>
                  </c:pt>
                  <c:pt idx="2">
                    <c:v>1.626857912254992E-2</c:v>
                  </c:pt>
                  <c:pt idx="3">
                    <c:v>8.4261497731763658E-3</c:v>
                  </c:pt>
                  <c:pt idx="4">
                    <c:v>1.212091855705119E-2</c:v>
                  </c:pt>
                  <c:pt idx="5">
                    <c:v>2.3629078131263029E-3</c:v>
                  </c:pt>
                  <c:pt idx="6">
                    <c:v>2.7537852736430517E-3</c:v>
                  </c:pt>
                  <c:pt idx="7">
                    <c:v>#N/A</c:v>
                  </c:pt>
                  <c:pt idx="8">
                    <c:v>#N/A</c:v>
                  </c:pt>
                  <c:pt idx="9">
                    <c:v>#N/A</c:v>
                  </c:pt>
                  <c:pt idx="10">
                    <c:v>#N/A</c:v>
                  </c:pt>
                  <c:pt idx="11">
                    <c:v>#N/A</c:v>
                  </c:pt>
                  <c:pt idx="12">
                    <c:v>#N/A</c:v>
                  </c:pt>
                  <c:pt idx="13">
                    <c:v>#N/A</c:v>
                  </c:pt>
                  <c:pt idx="14">
                    <c:v>#N/A</c:v>
                  </c:pt>
                  <c:pt idx="15">
                    <c:v>#N/A</c:v>
                  </c:pt>
                </c:numCache>
              </c:numRef>
            </c:plus>
            <c:minus>
              <c:numRef>
                <c:f>Statistics!$D$21:$D$36</c:f>
                <c:numCache>
                  <c:formatCode>General</c:formatCode>
                  <c:ptCount val="16"/>
                  <c:pt idx="0">
                    <c:v>2.9881711240601187E-2</c:v>
                  </c:pt>
                  <c:pt idx="1">
                    <c:v>3.4903438226054399E-2</c:v>
                  </c:pt>
                  <c:pt idx="2">
                    <c:v>1.626857912254992E-2</c:v>
                  </c:pt>
                  <c:pt idx="3">
                    <c:v>8.4261497731763658E-3</c:v>
                  </c:pt>
                  <c:pt idx="4">
                    <c:v>1.212091855705119E-2</c:v>
                  </c:pt>
                  <c:pt idx="5">
                    <c:v>2.3629078131263029E-3</c:v>
                  </c:pt>
                  <c:pt idx="6">
                    <c:v>2.7537852736430517E-3</c:v>
                  </c:pt>
                  <c:pt idx="7">
                    <c:v>#N/A</c:v>
                  </c:pt>
                  <c:pt idx="8">
                    <c:v>#N/A</c:v>
                  </c:pt>
                  <c:pt idx="9">
                    <c:v>#N/A</c:v>
                  </c:pt>
                  <c:pt idx="10">
                    <c:v>#N/A</c:v>
                  </c:pt>
                  <c:pt idx="11">
                    <c:v>#N/A</c:v>
                  </c:pt>
                  <c:pt idx="12">
                    <c:v>#N/A</c:v>
                  </c:pt>
                  <c:pt idx="13">
                    <c:v>#N/A</c:v>
                  </c:pt>
                  <c:pt idx="14">
                    <c:v>#N/A</c:v>
                  </c:pt>
                  <c:pt idx="15">
                    <c:v>#N/A</c:v>
                  </c:pt>
                </c:numCache>
              </c:numRef>
            </c:minus>
            <c:spPr>
              <a:ln w="3175">
                <a:solidFill>
                  <a:srgbClr val="000000"/>
                </a:solidFill>
                <a:prstDash val="solid"/>
              </a:ln>
            </c:spPr>
          </c:errBars>
          <c:xVal>
            <c:numRef>
              <c:f>Statistics!$B$21:$B$36</c:f>
              <c:numCache>
                <c:formatCode>General</c:formatCode>
                <c:ptCount val="16"/>
                <c:pt idx="0">
                  <c:v>1000</c:v>
                </c:pt>
                <c:pt idx="1">
                  <c:v>333.33333333333331</c:v>
                </c:pt>
                <c:pt idx="2">
                  <c:v>111.11111111111111</c:v>
                </c:pt>
                <c:pt idx="3">
                  <c:v>37.037037037037038</c:v>
                </c:pt>
                <c:pt idx="4">
                  <c:v>12.345679012345679</c:v>
                </c:pt>
                <c:pt idx="5">
                  <c:v>4.1152263374485596</c:v>
                </c:pt>
                <c:pt idx="6">
                  <c:v>1.3717421124828533</c:v>
                </c:pt>
                <c:pt idx="7">
                  <c:v>#N/A</c:v>
                </c:pt>
                <c:pt idx="8">
                  <c:v>#N/A</c:v>
                </c:pt>
                <c:pt idx="9">
                  <c:v>#N/A</c:v>
                </c:pt>
                <c:pt idx="10">
                  <c:v>#N/A</c:v>
                </c:pt>
                <c:pt idx="11">
                  <c:v>#N/A</c:v>
                </c:pt>
                <c:pt idx="12">
                  <c:v>#N/A</c:v>
                </c:pt>
                <c:pt idx="13">
                  <c:v>#N/A</c:v>
                </c:pt>
                <c:pt idx="14">
                  <c:v>#N/A</c:v>
                </c:pt>
                <c:pt idx="15">
                  <c:v>#N/A</c:v>
                </c:pt>
              </c:numCache>
            </c:numRef>
          </c:xVal>
          <c:yVal>
            <c:numRef>
              <c:f>Statistics!$C$21:$C$36</c:f>
              <c:numCache>
                <c:formatCode>0.00</c:formatCode>
                <c:ptCount val="16"/>
                <c:pt idx="0">
                  <c:v>2.6552500000000001</c:v>
                </c:pt>
                <c:pt idx="1">
                  <c:v>1.8472500000000001</c:v>
                </c:pt>
                <c:pt idx="2">
                  <c:v>0.74299999999999999</c:v>
                </c:pt>
                <c:pt idx="3">
                  <c:v>0.27050000000000002</c:v>
                </c:pt>
                <c:pt idx="4">
                  <c:v>9.8250000000000004E-2</c:v>
                </c:pt>
                <c:pt idx="5">
                  <c:v>3.5250000000000004E-2</c:v>
                </c:pt>
                <c:pt idx="6">
                  <c:v>1.7750000000000002E-2</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0-122E-4141-981A-9037DE24652F}"/>
            </c:ext>
          </c:extLst>
        </c:ser>
        <c:ser>
          <c:idx val="1"/>
          <c:order val="1"/>
          <c:tx>
            <c:v>5PL Fit</c:v>
          </c:tx>
          <c:spPr>
            <a:ln w="9525">
              <a:solidFill>
                <a:schemeClr val="tx1"/>
              </a:solidFill>
            </a:ln>
          </c:spPr>
          <c:marker>
            <c:symbol val="none"/>
          </c:marker>
          <c:xVal>
            <c:numRef>
              <c:f>Calculations!$AB$63:$AB$88</c:f>
              <c:numCache>
                <c:formatCode>0.00</c:formatCode>
                <c:ptCount val="26"/>
                <c:pt idx="0">
                  <c:v>1.3717421124828533</c:v>
                </c:pt>
                <c:pt idx="1">
                  <c:v>1.7855892918763501</c:v>
                </c:pt>
                <c:pt idx="2">
                  <c:v>2.3242919279430807</c:v>
                </c:pt>
                <c:pt idx="3">
                  <c:v>3.0255182369650249</c:v>
                </c:pt>
                <c:pt idx="4">
                  <c:v>3.9383007324336918</c:v>
                </c:pt>
                <c:pt idx="5">
                  <c:v>5.12646477208032</c:v>
                </c:pt>
                <c:pt idx="6">
                  <c:v>6.6730914790095959</c:v>
                </c:pt>
                <c:pt idx="7">
                  <c:v>8.6863271020118908</c:v>
                </c:pt>
                <c:pt idx="8">
                  <c:v>11.306945028474971</c:v>
                </c:pt>
                <c:pt idx="9">
                  <c:v>14.718189215709312</c:v>
                </c:pt>
                <c:pt idx="10">
                  <c:v>19.158587332288402</c:v>
                </c:pt>
                <c:pt idx="11">
                  <c:v>24.938629554860793</c:v>
                </c:pt>
                <c:pt idx="12">
                  <c:v>32.462479267791004</c:v>
                </c:pt>
                <c:pt idx="13">
                  <c:v>42.256233763509385</c:v>
                </c:pt>
                <c:pt idx="14">
                  <c:v>55.004711043373611</c:v>
                </c:pt>
                <c:pt idx="15">
                  <c:v>71.599334997472738</c:v>
                </c:pt>
                <c:pt idx="16">
                  <c:v>93.200467284300132</c:v>
                </c:pt>
                <c:pt idx="17">
                  <c:v>121.31854440154372</c:v>
                </c:pt>
                <c:pt idx="18">
                  <c:v>157.9196933724885</c:v>
                </c:pt>
                <c:pt idx="19">
                  <c:v>205.56321111402551</c:v>
                </c:pt>
                <c:pt idx="20">
                  <c:v>267.58052058674372</c:v>
                </c:pt>
                <c:pt idx="21">
                  <c:v>348.30811704802949</c:v>
                </c:pt>
                <c:pt idx="22">
                  <c:v>453.39079293036576</c:v>
                </c:pt>
                <c:pt idx="23">
                  <c:v>590.17634402611338</c:v>
                </c:pt>
                <c:pt idx="24">
                  <c:v>768.22935639437378</c:v>
                </c:pt>
                <c:pt idx="25">
                  <c:v>1000</c:v>
                </c:pt>
              </c:numCache>
            </c:numRef>
          </c:xVal>
          <c:yVal>
            <c:numRef>
              <c:f>Calculations!$AC$63:$AC$88</c:f>
              <c:numCache>
                <c:formatCode>0.000</c:formatCode>
                <c:ptCount val="26"/>
                <c:pt idx="0">
                  <c:v>1.8742513597752104E-2</c:v>
                </c:pt>
                <c:pt idx="1">
                  <c:v>2.1469199736427635E-2</c:v>
                </c:pt>
                <c:pt idx="2">
                  <c:v>2.5036851759591291E-2</c:v>
                </c:pt>
                <c:pt idx="3">
                  <c:v>2.9704786352249601E-2</c:v>
                </c:pt>
                <c:pt idx="4">
                  <c:v>3.5812215855402035E-2</c:v>
                </c:pt>
                <c:pt idx="5">
                  <c:v>4.3802783803172332E-2</c:v>
                </c:pt>
                <c:pt idx="6">
                  <c:v>5.4256537502371457E-2</c:v>
                </c:pt>
                <c:pt idx="7">
                  <c:v>6.7931472929456269E-2</c:v>
                </c:pt>
                <c:pt idx="8">
                  <c:v>8.5817253850335631E-2</c:v>
                </c:pt>
                <c:pt idx="9">
                  <c:v>0.10920408651335736</c:v>
                </c:pt>
                <c:pt idx="10">
                  <c:v>0.13976972178353569</c:v>
                </c:pt>
                <c:pt idx="11">
                  <c:v>0.17968644574307185</c:v>
                </c:pt>
                <c:pt idx="12">
                  <c:v>0.23174611595802591</c:v>
                </c:pt>
                <c:pt idx="13">
                  <c:v>0.29949142114937394</c:v>
                </c:pt>
                <c:pt idx="14">
                  <c:v>0.38731885301927105</c:v>
                </c:pt>
                <c:pt idx="15">
                  <c:v>0.5004714180827472</c:v>
                </c:pt>
                <c:pt idx="16">
                  <c:v>0.64475053039574826</c:v>
                </c:pt>
                <c:pt idx="17">
                  <c:v>0.82564153522385209</c:v>
                </c:pt>
                <c:pt idx="18">
                  <c:v>1.0464322216120718</c:v>
                </c:pt>
                <c:pt idx="19">
                  <c:v>1.3050817339015153</c:v>
                </c:pt>
                <c:pt idx="20">
                  <c:v>1.590613462308939</c:v>
                </c:pt>
                <c:pt idx="21">
                  <c:v>1.8817913250475999</c:v>
                </c:pt>
                <c:pt idx="22">
                  <c:v>2.1516655143588599</c:v>
                </c:pt>
                <c:pt idx="23">
                  <c:v>2.3775208161414758</c:v>
                </c:pt>
                <c:pt idx="24">
                  <c:v>2.5492338838923123</c:v>
                </c:pt>
                <c:pt idx="25">
                  <c:v>2.6697462797913998</c:v>
                </c:pt>
              </c:numCache>
            </c:numRef>
          </c:yVal>
          <c:smooth val="0"/>
          <c:extLst>
            <c:ext xmlns:c16="http://schemas.microsoft.com/office/drawing/2014/chart" uri="{C3380CC4-5D6E-409C-BE32-E72D297353CC}">
              <c16:uniqueId val="{00000001-122E-4141-981A-9037DE24652F}"/>
            </c:ext>
          </c:extLst>
        </c:ser>
        <c:dLbls>
          <c:showLegendKey val="0"/>
          <c:showVal val="0"/>
          <c:showCatName val="0"/>
          <c:showSerName val="0"/>
          <c:showPercent val="0"/>
          <c:showBubbleSize val="0"/>
        </c:dLbls>
        <c:axId val="133585152"/>
        <c:axId val="133603712"/>
      </c:scatterChart>
      <c:scatterChart>
        <c:scatterStyle val="lineMarker"/>
        <c:varyColors val="0"/>
        <c:ser>
          <c:idx val="2"/>
          <c:order val="2"/>
          <c:tx>
            <c:v>Signal CV</c:v>
          </c:tx>
          <c:spPr>
            <a:ln w="9525">
              <a:solidFill>
                <a:srgbClr val="92D050"/>
              </a:solidFill>
            </a:ln>
          </c:spPr>
          <c:marker>
            <c:symbol val="diamond"/>
            <c:size val="7"/>
            <c:spPr>
              <a:solidFill>
                <a:srgbClr val="92D050"/>
              </a:solidFill>
              <a:ln>
                <a:solidFill>
                  <a:srgbClr val="92D050"/>
                </a:solidFill>
              </a:ln>
            </c:spPr>
          </c:marker>
          <c:xVal>
            <c:numRef>
              <c:f>Statistics!$B$21:$B$36</c:f>
              <c:numCache>
                <c:formatCode>General</c:formatCode>
                <c:ptCount val="16"/>
                <c:pt idx="0">
                  <c:v>1000</c:v>
                </c:pt>
                <c:pt idx="1">
                  <c:v>333.33333333333331</c:v>
                </c:pt>
                <c:pt idx="2">
                  <c:v>111.11111111111111</c:v>
                </c:pt>
                <c:pt idx="3">
                  <c:v>37.037037037037038</c:v>
                </c:pt>
                <c:pt idx="4">
                  <c:v>12.345679012345679</c:v>
                </c:pt>
                <c:pt idx="5">
                  <c:v>4.1152263374485596</c:v>
                </c:pt>
                <c:pt idx="6">
                  <c:v>1.3717421124828533</c:v>
                </c:pt>
                <c:pt idx="7">
                  <c:v>#N/A</c:v>
                </c:pt>
                <c:pt idx="8">
                  <c:v>#N/A</c:v>
                </c:pt>
                <c:pt idx="9">
                  <c:v>#N/A</c:v>
                </c:pt>
                <c:pt idx="10">
                  <c:v>#N/A</c:v>
                </c:pt>
                <c:pt idx="11">
                  <c:v>#N/A</c:v>
                </c:pt>
                <c:pt idx="12">
                  <c:v>#N/A</c:v>
                </c:pt>
                <c:pt idx="13">
                  <c:v>#N/A</c:v>
                </c:pt>
                <c:pt idx="14">
                  <c:v>#N/A</c:v>
                </c:pt>
                <c:pt idx="15">
                  <c:v>#N/A</c:v>
                </c:pt>
              </c:numCache>
            </c:numRef>
          </c:xVal>
          <c:yVal>
            <c:numRef>
              <c:f>Statistics!$E$21:$E$36</c:f>
              <c:numCache>
                <c:formatCode>0%</c:formatCode>
                <c:ptCount val="16"/>
                <c:pt idx="0">
                  <c:v>1.1253822141267748E-2</c:v>
                </c:pt>
                <c:pt idx="1">
                  <c:v>1.8894810245529515E-2</c:v>
                </c:pt>
                <c:pt idx="2">
                  <c:v>2.1895799626581319E-2</c:v>
                </c:pt>
                <c:pt idx="3">
                  <c:v>3.1150276425790629E-2</c:v>
                </c:pt>
                <c:pt idx="4">
                  <c:v>0.12336812780713678</c:v>
                </c:pt>
                <c:pt idx="5">
                  <c:v>6.7032845762448307E-2</c:v>
                </c:pt>
                <c:pt idx="6">
                  <c:v>0.15514283231791839</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2-122E-4141-981A-9037DE24652F}"/>
            </c:ext>
          </c:extLst>
        </c:ser>
        <c:ser>
          <c:idx val="3"/>
          <c:order val="3"/>
          <c:tx>
            <c:v>Recovery CV</c:v>
          </c:tx>
          <c:spPr>
            <a:ln w="9525">
              <a:solidFill>
                <a:srgbClr val="7030A0"/>
              </a:solidFill>
            </a:ln>
          </c:spPr>
          <c:marker>
            <c:symbol val="triangle"/>
            <c:size val="7"/>
            <c:spPr>
              <a:solidFill>
                <a:srgbClr val="7030A0"/>
              </a:solidFill>
              <a:ln>
                <a:solidFill>
                  <a:srgbClr val="7030A0"/>
                </a:solidFill>
              </a:ln>
            </c:spPr>
          </c:marker>
          <c:xVal>
            <c:numRef>
              <c:f>Statistics!$B$21:$B$36</c:f>
              <c:numCache>
                <c:formatCode>General</c:formatCode>
                <c:ptCount val="16"/>
                <c:pt idx="0">
                  <c:v>1000</c:v>
                </c:pt>
                <c:pt idx="1">
                  <c:v>333.33333333333331</c:v>
                </c:pt>
                <c:pt idx="2">
                  <c:v>111.11111111111111</c:v>
                </c:pt>
                <c:pt idx="3">
                  <c:v>37.037037037037038</c:v>
                </c:pt>
                <c:pt idx="4">
                  <c:v>12.345679012345679</c:v>
                </c:pt>
                <c:pt idx="5">
                  <c:v>4.1152263374485596</c:v>
                </c:pt>
                <c:pt idx="6">
                  <c:v>1.3717421124828533</c:v>
                </c:pt>
                <c:pt idx="7">
                  <c:v>#N/A</c:v>
                </c:pt>
                <c:pt idx="8">
                  <c:v>#N/A</c:v>
                </c:pt>
                <c:pt idx="9">
                  <c:v>#N/A</c:v>
                </c:pt>
                <c:pt idx="10">
                  <c:v>#N/A</c:v>
                </c:pt>
                <c:pt idx="11">
                  <c:v>#N/A</c:v>
                </c:pt>
                <c:pt idx="12">
                  <c:v>#N/A</c:v>
                </c:pt>
                <c:pt idx="13">
                  <c:v>#N/A</c:v>
                </c:pt>
                <c:pt idx="14">
                  <c:v>#N/A</c:v>
                </c:pt>
                <c:pt idx="15">
                  <c:v>#N/A</c:v>
                </c:pt>
              </c:numCache>
            </c:numRef>
          </c:xVal>
          <c:yVal>
            <c:numRef>
              <c:f>Statistics!$H$21:$H$36</c:f>
              <c:numCache>
                <c:formatCode>0%</c:formatCode>
                <c:ptCount val="16"/>
                <c:pt idx="0">
                  <c:v>7.1449334750459573E-2</c:v>
                </c:pt>
                <c:pt idx="1">
                  <c:v>3.1836685509584337E-2</c:v>
                </c:pt>
                <c:pt idx="2">
                  <c:v>2.3383330128972212E-2</c:v>
                </c:pt>
                <c:pt idx="3">
                  <c:v>3.2000379899780697E-2</c:v>
                </c:pt>
                <c:pt idx="4">
                  <c:v>0.13460473779756651</c:v>
                </c:pt>
                <c:pt idx="5">
                  <c:v>9.1492910302145014E-2</c:v>
                </c:pt>
                <c:pt idx="6">
                  <c:v>0.34440703810253331</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3-122E-4141-981A-9037DE24652F}"/>
            </c:ext>
          </c:extLst>
        </c:ser>
        <c:ser>
          <c:idx val="4"/>
          <c:order val="4"/>
          <c:tx>
            <c:v>Recovery Error</c:v>
          </c:tx>
          <c:spPr>
            <a:ln w="9525">
              <a:solidFill>
                <a:srgbClr val="FF0000"/>
              </a:solidFill>
            </a:ln>
          </c:spPr>
          <c:marker>
            <c:symbol val="circle"/>
            <c:size val="6"/>
            <c:spPr>
              <a:solidFill>
                <a:srgbClr val="FF0000"/>
              </a:solidFill>
              <a:ln>
                <a:solidFill>
                  <a:srgbClr val="FF0000"/>
                </a:solidFill>
              </a:ln>
            </c:spPr>
          </c:marker>
          <c:xVal>
            <c:numRef>
              <c:f>Statistics!$B$21:$B$36</c:f>
              <c:numCache>
                <c:formatCode>General</c:formatCode>
                <c:ptCount val="16"/>
                <c:pt idx="0">
                  <c:v>1000</c:v>
                </c:pt>
                <c:pt idx="1">
                  <c:v>333.33333333333331</c:v>
                </c:pt>
                <c:pt idx="2">
                  <c:v>111.11111111111111</c:v>
                </c:pt>
                <c:pt idx="3">
                  <c:v>37.037037037037038</c:v>
                </c:pt>
                <c:pt idx="4">
                  <c:v>12.345679012345679</c:v>
                </c:pt>
                <c:pt idx="5">
                  <c:v>4.1152263374485596</c:v>
                </c:pt>
                <c:pt idx="6">
                  <c:v>1.3717421124828533</c:v>
                </c:pt>
                <c:pt idx="7">
                  <c:v>#N/A</c:v>
                </c:pt>
                <c:pt idx="8">
                  <c:v>#N/A</c:v>
                </c:pt>
                <c:pt idx="9">
                  <c:v>#N/A</c:v>
                </c:pt>
                <c:pt idx="10">
                  <c:v>#N/A</c:v>
                </c:pt>
                <c:pt idx="11">
                  <c:v>#N/A</c:v>
                </c:pt>
                <c:pt idx="12">
                  <c:v>#N/A</c:v>
                </c:pt>
                <c:pt idx="13">
                  <c:v>#N/A</c:v>
                </c:pt>
                <c:pt idx="14">
                  <c:v>#N/A</c:v>
                </c:pt>
                <c:pt idx="15">
                  <c:v>#N/A</c:v>
                </c:pt>
              </c:numCache>
            </c:numRef>
          </c:xVal>
          <c:yVal>
            <c:numRef>
              <c:f>Statistics!$J$21:$J$36</c:f>
              <c:numCache>
                <c:formatCode>0.0%</c:formatCode>
                <c:ptCount val="16"/>
                <c:pt idx="0">
                  <c:v>3.2142260774976839E-2</c:v>
                </c:pt>
                <c:pt idx="1">
                  <c:v>1.268450751960537E-2</c:v>
                </c:pt>
                <c:pt idx="2">
                  <c:v>2.5238966073015234E-2</c:v>
                </c:pt>
                <c:pt idx="3">
                  <c:v>2.7698109855289754E-2</c:v>
                </c:pt>
                <c:pt idx="4">
                  <c:v>6.2788418150310665E-2</c:v>
                </c:pt>
                <c:pt idx="5">
                  <c:v>6.3423615419098356E-2</c:v>
                </c:pt>
                <c:pt idx="6">
                  <c:v>0.11101209181433169</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4-122E-4141-981A-9037DE24652F}"/>
            </c:ext>
          </c:extLst>
        </c:ser>
        <c:ser>
          <c:idx val="5"/>
          <c:order val="5"/>
          <c:tx>
            <c:v>10% Reference</c:v>
          </c:tx>
          <c:spPr>
            <a:ln w="9525">
              <a:solidFill>
                <a:srgbClr val="FF0000"/>
              </a:solidFill>
              <a:prstDash val="dash"/>
            </a:ln>
          </c:spPr>
          <c:marker>
            <c:symbol val="none"/>
          </c:marker>
          <c:xVal>
            <c:numRef>
              <c:f>Statistics!$F$58:$G$58</c:f>
              <c:numCache>
                <c:formatCode>0.00</c:formatCode>
                <c:ptCount val="2"/>
                <c:pt idx="0">
                  <c:v>1.3717421124828533</c:v>
                </c:pt>
                <c:pt idx="1">
                  <c:v>1000</c:v>
                </c:pt>
              </c:numCache>
            </c:numRef>
          </c:xVal>
          <c:yVal>
            <c:numLit>
              <c:formatCode>General</c:formatCode>
              <c:ptCount val="2"/>
              <c:pt idx="0">
                <c:v>0.1</c:v>
              </c:pt>
              <c:pt idx="1">
                <c:v>0.1</c:v>
              </c:pt>
            </c:numLit>
          </c:yVal>
          <c:smooth val="0"/>
          <c:extLst>
            <c:ext xmlns:c16="http://schemas.microsoft.com/office/drawing/2014/chart" uri="{C3380CC4-5D6E-409C-BE32-E72D297353CC}">
              <c16:uniqueId val="{00000005-122E-4141-981A-9037DE24652F}"/>
            </c:ext>
          </c:extLst>
        </c:ser>
        <c:ser>
          <c:idx val="6"/>
          <c:order val="6"/>
          <c:tx>
            <c:v>20% Reference</c:v>
          </c:tx>
          <c:spPr>
            <a:ln w="9525">
              <a:solidFill>
                <a:srgbClr val="FF0000"/>
              </a:solidFill>
              <a:prstDash val="dash"/>
            </a:ln>
          </c:spPr>
          <c:marker>
            <c:symbol val="none"/>
          </c:marker>
          <c:xVal>
            <c:numRef>
              <c:f>Statistics!$F$58:$G$58</c:f>
              <c:numCache>
                <c:formatCode>0.00</c:formatCode>
                <c:ptCount val="2"/>
                <c:pt idx="0">
                  <c:v>1.3717421124828533</c:v>
                </c:pt>
                <c:pt idx="1">
                  <c:v>1000</c:v>
                </c:pt>
              </c:numCache>
            </c:numRef>
          </c:xVal>
          <c:yVal>
            <c:numLit>
              <c:formatCode>General</c:formatCode>
              <c:ptCount val="2"/>
              <c:pt idx="0">
                <c:v>0.2</c:v>
              </c:pt>
              <c:pt idx="1">
                <c:v>0.2</c:v>
              </c:pt>
            </c:numLit>
          </c:yVal>
          <c:smooth val="0"/>
          <c:extLst>
            <c:ext xmlns:c16="http://schemas.microsoft.com/office/drawing/2014/chart" uri="{C3380CC4-5D6E-409C-BE32-E72D297353CC}">
              <c16:uniqueId val="{00000006-122E-4141-981A-9037DE24652F}"/>
            </c:ext>
          </c:extLst>
        </c:ser>
        <c:ser>
          <c:idx val="7"/>
          <c:order val="7"/>
          <c:tx>
            <c:v>LLOQ</c:v>
          </c:tx>
          <c:spPr>
            <a:ln w="9525">
              <a:solidFill>
                <a:schemeClr val="tx2"/>
              </a:solidFill>
            </a:ln>
          </c:spPr>
          <c:marker>
            <c:symbol val="none"/>
          </c:marker>
          <c:xVal>
            <c:numRef>
              <c:f>(Statistics!$C$57,Statistics!$C$57)</c:f>
              <c:numCache>
                <c:formatCode>General</c:formatCode>
                <c:ptCount val="2"/>
                <c:pt idx="0">
                  <c:v>4.1152263374485596</c:v>
                </c:pt>
                <c:pt idx="1">
                  <c:v>4.1152263374485596</c:v>
                </c:pt>
              </c:numCache>
            </c:numRef>
          </c:xVal>
          <c:yVal>
            <c:numLit>
              <c:formatCode>General</c:formatCode>
              <c:ptCount val="2"/>
              <c:pt idx="0">
                <c:v>0</c:v>
              </c:pt>
              <c:pt idx="1">
                <c:v>0.5</c:v>
              </c:pt>
            </c:numLit>
          </c:yVal>
          <c:smooth val="0"/>
          <c:extLst>
            <c:ext xmlns:c16="http://schemas.microsoft.com/office/drawing/2014/chart" uri="{C3380CC4-5D6E-409C-BE32-E72D297353CC}">
              <c16:uniqueId val="{00000007-122E-4141-981A-9037DE24652F}"/>
            </c:ext>
          </c:extLst>
        </c:ser>
        <c:ser>
          <c:idx val="8"/>
          <c:order val="8"/>
          <c:tx>
            <c:v>ULOQ</c:v>
          </c:tx>
          <c:spPr>
            <a:ln w="9525">
              <a:solidFill>
                <a:schemeClr val="tx2"/>
              </a:solidFill>
            </a:ln>
          </c:spPr>
          <c:marker>
            <c:symbol val="none"/>
          </c:marker>
          <c:xVal>
            <c:numRef>
              <c:f>(Statistics!$C$58,Statistics!$C$58)</c:f>
              <c:numCache>
                <c:formatCode>General</c:formatCode>
                <c:ptCount val="2"/>
                <c:pt idx="0">
                  <c:v>1000</c:v>
                </c:pt>
                <c:pt idx="1">
                  <c:v>1000</c:v>
                </c:pt>
              </c:numCache>
            </c:numRef>
          </c:xVal>
          <c:yVal>
            <c:numLit>
              <c:formatCode>General</c:formatCode>
              <c:ptCount val="2"/>
              <c:pt idx="0">
                <c:v>0</c:v>
              </c:pt>
              <c:pt idx="1">
                <c:v>0.5</c:v>
              </c:pt>
            </c:numLit>
          </c:yVal>
          <c:smooth val="0"/>
          <c:extLst>
            <c:ext xmlns:c16="http://schemas.microsoft.com/office/drawing/2014/chart" uri="{C3380CC4-5D6E-409C-BE32-E72D297353CC}">
              <c16:uniqueId val="{00000008-122E-4141-981A-9037DE24652F}"/>
            </c:ext>
          </c:extLst>
        </c:ser>
        <c:dLbls>
          <c:showLegendKey val="0"/>
          <c:showVal val="0"/>
          <c:showCatName val="0"/>
          <c:showSerName val="0"/>
          <c:showPercent val="0"/>
          <c:showBubbleSize val="0"/>
        </c:dLbls>
        <c:axId val="133605632"/>
        <c:axId val="133615616"/>
      </c:scatterChart>
      <c:valAx>
        <c:axId val="133585152"/>
        <c:scaling>
          <c:logBase val="10"/>
          <c:orientation val="minMax"/>
        </c:scaling>
        <c:delete val="0"/>
        <c:axPos val="b"/>
        <c:title>
          <c:tx>
            <c:strRef>
              <c:f>BioScale_Internal!$J$26</c:f>
              <c:strCache>
                <c:ptCount val="1"/>
                <c:pt idx="0">
                  <c:v>[GDF-15] (pg/mL)</c:v>
                </c:pt>
              </c:strCache>
            </c:strRef>
          </c:tx>
          <c:overlay val="0"/>
          <c:txPr>
            <a:bodyPr/>
            <a:lstStyle/>
            <a:p>
              <a:pPr>
                <a:defRPr sz="1200" b="0"/>
              </a:pPr>
              <a:endParaRPr lang="en-US"/>
            </a:p>
          </c:txPr>
        </c:title>
        <c:numFmt formatCode="General" sourceLinked="1"/>
        <c:majorTickMark val="out"/>
        <c:minorTickMark val="out"/>
        <c:tickLblPos val="nextTo"/>
        <c:spPr>
          <a:ln>
            <a:solidFill>
              <a:sysClr val="windowText" lastClr="000000"/>
            </a:solidFill>
          </a:ln>
        </c:spPr>
        <c:txPr>
          <a:bodyPr rot="0" vert="horz"/>
          <a:lstStyle/>
          <a:p>
            <a:pPr>
              <a:defRPr sz="1000" b="0" i="0" u="none" strike="noStrike" baseline="0">
                <a:solidFill>
                  <a:srgbClr val="000000"/>
                </a:solidFill>
                <a:latin typeface="Calibri"/>
                <a:ea typeface="Calibri"/>
                <a:cs typeface="Calibri"/>
              </a:defRPr>
            </a:pPr>
            <a:endParaRPr lang="en-US"/>
          </a:p>
        </c:txPr>
        <c:crossAx val="133603712"/>
        <c:crossesAt val="1.0000000000000067E-4"/>
        <c:crossBetween val="midCat"/>
      </c:valAx>
      <c:valAx>
        <c:axId val="133603712"/>
        <c:scaling>
          <c:logBase val="10"/>
          <c:orientation val="minMax"/>
        </c:scaling>
        <c:delete val="0"/>
        <c:axPos val="l"/>
        <c:title>
          <c:tx>
            <c:strRef>
              <c:f>BioScale_Internal!$J$27</c:f>
              <c:strCache>
                <c:ptCount val="1"/>
                <c:pt idx="0">
                  <c:v>Accumulation Rate (ppm/sec)</c:v>
                </c:pt>
              </c:strCache>
            </c:strRef>
          </c:tx>
          <c:overlay val="0"/>
          <c:txPr>
            <a:bodyPr rot="-5400000" vert="horz"/>
            <a:lstStyle/>
            <a:p>
              <a:pPr>
                <a:defRPr sz="1200" b="0"/>
              </a:pPr>
              <a:endParaRPr lang="en-US"/>
            </a:p>
          </c:txPr>
        </c:title>
        <c:numFmt formatCode="General" sourceLinked="0"/>
        <c:majorTickMark val="out"/>
        <c:minorTickMark val="out"/>
        <c:tickLblPos val="nextTo"/>
        <c:spPr>
          <a:ln>
            <a:solidFill>
              <a:schemeClr val="tx1"/>
            </a:solidFill>
          </a:ln>
        </c:spPr>
        <c:crossAx val="133585152"/>
        <c:crossesAt val="1.0000000000000079E-5"/>
        <c:crossBetween val="midCat"/>
      </c:valAx>
      <c:valAx>
        <c:axId val="133605632"/>
        <c:scaling>
          <c:logBase val="10"/>
          <c:orientation val="minMax"/>
        </c:scaling>
        <c:delete val="1"/>
        <c:axPos val="t"/>
        <c:numFmt formatCode="General" sourceLinked="1"/>
        <c:majorTickMark val="out"/>
        <c:minorTickMark val="none"/>
        <c:tickLblPos val="none"/>
        <c:crossAx val="133615616"/>
        <c:crosses val="max"/>
        <c:crossBetween val="midCat"/>
      </c:valAx>
      <c:valAx>
        <c:axId val="133615616"/>
        <c:scaling>
          <c:orientation val="minMax"/>
          <c:max val="0.5"/>
          <c:min val="0"/>
        </c:scaling>
        <c:delete val="0"/>
        <c:axPos val="r"/>
        <c:numFmt formatCode="0%" sourceLinked="1"/>
        <c:majorTickMark val="out"/>
        <c:minorTickMark val="none"/>
        <c:tickLblPos val="nextTo"/>
        <c:crossAx val="133605632"/>
        <c:crosses val="max"/>
        <c:crossBetween val="midCat"/>
      </c:valAx>
      <c:spPr>
        <a:ln>
          <a:solidFill>
            <a:sysClr val="windowText" lastClr="000000"/>
          </a:solidFill>
        </a:ln>
      </c:spPr>
    </c:plotArea>
    <c:legend>
      <c:legendPos val="r"/>
      <c:legendEntry>
        <c:idx val="1"/>
        <c:delete val="1"/>
      </c:legendEntry>
      <c:layout>
        <c:manualLayout>
          <c:xMode val="edge"/>
          <c:yMode val="edge"/>
          <c:x val="0.10264685986416645"/>
          <c:y val="9.1512904636920384E-2"/>
          <c:w val="0.82632511142292819"/>
          <c:h val="8.2420603674540849E-2"/>
        </c:manualLayout>
      </c:layout>
      <c:overlay val="0"/>
      <c:spPr>
        <a:solidFill>
          <a:schemeClr val="bg1"/>
        </a:solidFill>
      </c:spPr>
      <c:txPr>
        <a:bodyPr/>
        <a:lstStyle/>
        <a:p>
          <a:pPr>
            <a:defRPr sz="1000"/>
          </a:pPr>
          <a:endParaRPr lang="en-US"/>
        </a:p>
      </c:txPr>
    </c:legend>
    <c:plotVisOnly val="1"/>
    <c:dispBlanksAs val="gap"/>
    <c:showDLblsOverMax val="0"/>
  </c:chart>
  <c:printSettings>
    <c:headerFooter/>
    <c:pageMargins b="0.750000000000003" l="0.70000000000000062" r="0.70000000000000062" t="0.75000000000000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Statistics!$P$59</c:f>
          <c:strCache>
            <c:ptCount val="1"/>
            <c:pt idx="0">
              <c:v>Section 2 Standard Statistics</c:v>
            </c:pt>
          </c:strCache>
        </c:strRef>
      </c:tx>
      <c:overlay val="1"/>
      <c:txPr>
        <a:bodyPr/>
        <a:lstStyle/>
        <a:p>
          <a:pPr>
            <a:defRPr/>
          </a:pPr>
          <a:endParaRPr lang="en-US"/>
        </a:p>
      </c:txPr>
    </c:title>
    <c:autoTitleDeleted val="0"/>
    <c:plotArea>
      <c:layout>
        <c:manualLayout>
          <c:layoutTarget val="inner"/>
          <c:xMode val="edge"/>
          <c:yMode val="edge"/>
          <c:x val="0.10281016472210203"/>
          <c:y val="0.18741666666666756"/>
          <c:w val="0.82778245595916489"/>
          <c:h val="0.66652427821522364"/>
        </c:manualLayout>
      </c:layout>
      <c:scatterChart>
        <c:scatterStyle val="lineMarker"/>
        <c:varyColors val="0"/>
        <c:ser>
          <c:idx val="0"/>
          <c:order val="0"/>
          <c:tx>
            <c:v>Standard Signals</c:v>
          </c:tx>
          <c:spPr>
            <a:ln w="28575">
              <a:noFill/>
            </a:ln>
          </c:spPr>
          <c:marker>
            <c:spPr>
              <a:noFill/>
              <a:ln w="19050"/>
            </c:spPr>
          </c:marker>
          <c:errBars>
            <c:errDir val="y"/>
            <c:errBarType val="both"/>
            <c:errValType val="cust"/>
            <c:noEndCap val="0"/>
            <c:plus>
              <c:numRef>
                <c:f>Statistics!$O$21:$O$36</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plus>
            <c:minus>
              <c:numRef>
                <c:f>Statistics!$O$21:$O$36</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minus>
            <c:spPr>
              <a:ln w="3175">
                <a:solidFill>
                  <a:srgbClr val="000000"/>
                </a:solidFill>
                <a:prstDash val="solid"/>
              </a:ln>
            </c:spPr>
          </c:errBars>
          <c:xVal>
            <c:numRef>
              <c:f>Statistics!$M$21:$M$36</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Statistics!$N$21:$N$36</c:f>
              <c:numCache>
                <c:formatCode>0.00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0-C76E-4F31-A56A-62C4FAF9032C}"/>
            </c:ext>
          </c:extLst>
        </c:ser>
        <c:ser>
          <c:idx val="1"/>
          <c:order val="1"/>
          <c:tx>
            <c:v>5PL Fit</c:v>
          </c:tx>
          <c:spPr>
            <a:ln w="9525">
              <a:solidFill>
                <a:schemeClr val="tx1"/>
              </a:solidFill>
            </a:ln>
          </c:spPr>
          <c:marker>
            <c:symbol val="none"/>
          </c:marker>
          <c:xVal>
            <c:numRef>
              <c:f>Calculations!$AD$63:$AD$88</c:f>
              <c:numCache>
                <c:formatCode>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Calculations!$AE$63:$AE$88</c:f>
              <c:numCache>
                <c:formatCode>0.000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0"/>
          <c:extLst>
            <c:ext xmlns:c16="http://schemas.microsoft.com/office/drawing/2014/chart" uri="{C3380CC4-5D6E-409C-BE32-E72D297353CC}">
              <c16:uniqueId val="{00000001-C76E-4F31-A56A-62C4FAF9032C}"/>
            </c:ext>
          </c:extLst>
        </c:ser>
        <c:dLbls>
          <c:showLegendKey val="0"/>
          <c:showVal val="0"/>
          <c:showCatName val="0"/>
          <c:showSerName val="0"/>
          <c:showPercent val="0"/>
          <c:showBubbleSize val="0"/>
        </c:dLbls>
        <c:axId val="132509696"/>
        <c:axId val="132511616"/>
      </c:scatterChart>
      <c:scatterChart>
        <c:scatterStyle val="lineMarker"/>
        <c:varyColors val="0"/>
        <c:ser>
          <c:idx val="2"/>
          <c:order val="2"/>
          <c:tx>
            <c:v>Signal CV</c:v>
          </c:tx>
          <c:spPr>
            <a:ln w="9525">
              <a:solidFill>
                <a:srgbClr val="92D050"/>
              </a:solidFill>
            </a:ln>
          </c:spPr>
          <c:marker>
            <c:symbol val="diamond"/>
            <c:size val="7"/>
            <c:spPr>
              <a:solidFill>
                <a:srgbClr val="92D050"/>
              </a:solidFill>
              <a:ln>
                <a:solidFill>
                  <a:srgbClr val="92D050"/>
                </a:solidFill>
              </a:ln>
            </c:spPr>
          </c:marker>
          <c:xVal>
            <c:numRef>
              <c:f>Statistics!$M$21:$M$36</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Statistics!$P$21:$P$36</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2-C76E-4F31-A56A-62C4FAF9032C}"/>
            </c:ext>
          </c:extLst>
        </c:ser>
        <c:ser>
          <c:idx val="3"/>
          <c:order val="3"/>
          <c:tx>
            <c:v>Recovery CV</c:v>
          </c:tx>
          <c:spPr>
            <a:ln w="9525">
              <a:solidFill>
                <a:srgbClr val="7030A0"/>
              </a:solidFill>
            </a:ln>
          </c:spPr>
          <c:marker>
            <c:symbol val="triangle"/>
            <c:size val="7"/>
            <c:spPr>
              <a:solidFill>
                <a:srgbClr val="7030A0"/>
              </a:solidFill>
              <a:ln>
                <a:solidFill>
                  <a:srgbClr val="7030A0"/>
                </a:solidFill>
              </a:ln>
            </c:spPr>
          </c:marker>
          <c:xVal>
            <c:numRef>
              <c:f>Statistics!$M$21:$M$36</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Statistics!$S$21:$S$36</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3-C76E-4F31-A56A-62C4FAF9032C}"/>
            </c:ext>
          </c:extLst>
        </c:ser>
        <c:ser>
          <c:idx val="4"/>
          <c:order val="4"/>
          <c:tx>
            <c:v>Recovery Error</c:v>
          </c:tx>
          <c:spPr>
            <a:ln w="9525">
              <a:solidFill>
                <a:srgbClr val="FF0000"/>
              </a:solidFill>
            </a:ln>
          </c:spPr>
          <c:marker>
            <c:symbol val="circle"/>
            <c:size val="6"/>
            <c:spPr>
              <a:solidFill>
                <a:srgbClr val="FF0000"/>
              </a:solidFill>
              <a:ln>
                <a:solidFill>
                  <a:srgbClr val="FF0000"/>
                </a:solidFill>
              </a:ln>
            </c:spPr>
          </c:marker>
          <c:xVal>
            <c:numRef>
              <c:f>Statistics!$M$21:$M$36</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Statistics!$U$21:$U$36</c:f>
              <c:numCache>
                <c:formatCode>0.0%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4-C76E-4F31-A56A-62C4FAF9032C}"/>
            </c:ext>
          </c:extLst>
        </c:ser>
        <c:ser>
          <c:idx val="5"/>
          <c:order val="5"/>
          <c:tx>
            <c:v>10% Reference</c:v>
          </c:tx>
          <c:spPr>
            <a:ln w="9525">
              <a:solidFill>
                <a:srgbClr val="FF0000"/>
              </a:solidFill>
              <a:prstDash val="dash"/>
            </a:ln>
          </c:spPr>
          <c:marker>
            <c:symbol val="none"/>
          </c:marker>
          <c:xVal>
            <c:numRef>
              <c:f>Statistics!$Q$58:$R$58</c:f>
              <c:numCache>
                <c:formatCode>0.00</c:formatCode>
                <c:ptCount val="2"/>
                <c:pt idx="0">
                  <c:v>#N/A</c:v>
                </c:pt>
                <c:pt idx="1">
                  <c:v>#N/A</c:v>
                </c:pt>
              </c:numCache>
            </c:numRef>
          </c:xVal>
          <c:yVal>
            <c:numLit>
              <c:formatCode>General</c:formatCode>
              <c:ptCount val="2"/>
              <c:pt idx="0">
                <c:v>0.1</c:v>
              </c:pt>
              <c:pt idx="1">
                <c:v>0.1</c:v>
              </c:pt>
            </c:numLit>
          </c:yVal>
          <c:smooth val="0"/>
          <c:extLst>
            <c:ext xmlns:c16="http://schemas.microsoft.com/office/drawing/2014/chart" uri="{C3380CC4-5D6E-409C-BE32-E72D297353CC}">
              <c16:uniqueId val="{00000005-C76E-4F31-A56A-62C4FAF9032C}"/>
            </c:ext>
          </c:extLst>
        </c:ser>
        <c:ser>
          <c:idx val="6"/>
          <c:order val="6"/>
          <c:tx>
            <c:v>20% Reference</c:v>
          </c:tx>
          <c:spPr>
            <a:ln w="9525">
              <a:solidFill>
                <a:srgbClr val="FF0000"/>
              </a:solidFill>
              <a:prstDash val="dash"/>
            </a:ln>
          </c:spPr>
          <c:marker>
            <c:symbol val="none"/>
          </c:marker>
          <c:xVal>
            <c:numRef>
              <c:f>Statistics!$Q$58:$R$58</c:f>
              <c:numCache>
                <c:formatCode>0.00</c:formatCode>
                <c:ptCount val="2"/>
                <c:pt idx="0">
                  <c:v>#N/A</c:v>
                </c:pt>
                <c:pt idx="1">
                  <c:v>#N/A</c:v>
                </c:pt>
              </c:numCache>
            </c:numRef>
          </c:xVal>
          <c:yVal>
            <c:numLit>
              <c:formatCode>General</c:formatCode>
              <c:ptCount val="2"/>
              <c:pt idx="0">
                <c:v>0.2</c:v>
              </c:pt>
              <c:pt idx="1">
                <c:v>0.2</c:v>
              </c:pt>
            </c:numLit>
          </c:yVal>
          <c:smooth val="0"/>
          <c:extLst>
            <c:ext xmlns:c16="http://schemas.microsoft.com/office/drawing/2014/chart" uri="{C3380CC4-5D6E-409C-BE32-E72D297353CC}">
              <c16:uniqueId val="{00000006-C76E-4F31-A56A-62C4FAF9032C}"/>
            </c:ext>
          </c:extLst>
        </c:ser>
        <c:ser>
          <c:idx val="7"/>
          <c:order val="7"/>
          <c:tx>
            <c:v>LLOQ</c:v>
          </c:tx>
          <c:spPr>
            <a:ln w="9525">
              <a:solidFill>
                <a:schemeClr val="tx2"/>
              </a:solidFill>
            </a:ln>
          </c:spPr>
          <c:marker>
            <c:symbol val="none"/>
          </c:marker>
          <c:xVal>
            <c:numRef>
              <c:f>(Statistics!$N$57,Statistics!$N$57)</c:f>
              <c:numCache>
                <c:formatCode>General</c:formatCode>
                <c:ptCount val="2"/>
                <c:pt idx="0">
                  <c:v>#N/A</c:v>
                </c:pt>
                <c:pt idx="1">
                  <c:v>#N/A</c:v>
                </c:pt>
              </c:numCache>
            </c:numRef>
          </c:xVal>
          <c:yVal>
            <c:numLit>
              <c:formatCode>General</c:formatCode>
              <c:ptCount val="2"/>
              <c:pt idx="0">
                <c:v>0</c:v>
              </c:pt>
              <c:pt idx="1">
                <c:v>0.5</c:v>
              </c:pt>
            </c:numLit>
          </c:yVal>
          <c:smooth val="0"/>
          <c:extLst>
            <c:ext xmlns:c16="http://schemas.microsoft.com/office/drawing/2014/chart" uri="{C3380CC4-5D6E-409C-BE32-E72D297353CC}">
              <c16:uniqueId val="{00000007-C76E-4F31-A56A-62C4FAF9032C}"/>
            </c:ext>
          </c:extLst>
        </c:ser>
        <c:ser>
          <c:idx val="8"/>
          <c:order val="8"/>
          <c:tx>
            <c:v>ULOQ</c:v>
          </c:tx>
          <c:spPr>
            <a:ln w="9525">
              <a:solidFill>
                <a:schemeClr val="tx2"/>
              </a:solidFill>
            </a:ln>
          </c:spPr>
          <c:marker>
            <c:symbol val="none"/>
          </c:marker>
          <c:xVal>
            <c:numRef>
              <c:f>(Statistics!$N$58,Statistics!$N$58)</c:f>
              <c:numCache>
                <c:formatCode>General</c:formatCode>
                <c:ptCount val="2"/>
                <c:pt idx="0">
                  <c:v>#N/A</c:v>
                </c:pt>
                <c:pt idx="1">
                  <c:v>#N/A</c:v>
                </c:pt>
              </c:numCache>
            </c:numRef>
          </c:xVal>
          <c:yVal>
            <c:numLit>
              <c:formatCode>General</c:formatCode>
              <c:ptCount val="2"/>
              <c:pt idx="0">
                <c:v>0</c:v>
              </c:pt>
              <c:pt idx="1">
                <c:v>0.5</c:v>
              </c:pt>
            </c:numLit>
          </c:yVal>
          <c:smooth val="0"/>
          <c:extLst>
            <c:ext xmlns:c16="http://schemas.microsoft.com/office/drawing/2014/chart" uri="{C3380CC4-5D6E-409C-BE32-E72D297353CC}">
              <c16:uniqueId val="{00000008-C76E-4F31-A56A-62C4FAF9032C}"/>
            </c:ext>
          </c:extLst>
        </c:ser>
        <c:dLbls>
          <c:showLegendKey val="0"/>
          <c:showVal val="0"/>
          <c:showCatName val="0"/>
          <c:showSerName val="0"/>
          <c:showPercent val="0"/>
          <c:showBubbleSize val="0"/>
        </c:dLbls>
        <c:axId val="133763072"/>
        <c:axId val="133764608"/>
      </c:scatterChart>
      <c:valAx>
        <c:axId val="132509696"/>
        <c:scaling>
          <c:logBase val="10"/>
          <c:orientation val="minMax"/>
        </c:scaling>
        <c:delete val="0"/>
        <c:axPos val="b"/>
        <c:title>
          <c:tx>
            <c:strRef>
              <c:f>BioScale_Internal!$J$26</c:f>
              <c:strCache>
                <c:ptCount val="1"/>
                <c:pt idx="0">
                  <c:v>[GDF-15] (pg/mL)</c:v>
                </c:pt>
              </c:strCache>
            </c:strRef>
          </c:tx>
          <c:overlay val="0"/>
          <c:txPr>
            <a:bodyPr/>
            <a:lstStyle/>
            <a:p>
              <a:pPr>
                <a:defRPr sz="1200" b="0"/>
              </a:pPr>
              <a:endParaRPr lang="en-US"/>
            </a:p>
          </c:txPr>
        </c:title>
        <c:numFmt formatCode="General" sourceLinked="1"/>
        <c:majorTickMark val="out"/>
        <c:minorTickMark val="out"/>
        <c:tickLblPos val="nextTo"/>
        <c:spPr>
          <a:ln>
            <a:solidFill>
              <a:sysClr val="windowText" lastClr="000000"/>
            </a:solidFill>
          </a:ln>
        </c:spPr>
        <c:txPr>
          <a:bodyPr rot="0" vert="horz"/>
          <a:lstStyle/>
          <a:p>
            <a:pPr>
              <a:defRPr sz="1000" b="0" i="0" u="none" strike="noStrike" baseline="0">
                <a:solidFill>
                  <a:srgbClr val="000000"/>
                </a:solidFill>
                <a:latin typeface="Calibri"/>
                <a:ea typeface="Calibri"/>
                <a:cs typeface="Calibri"/>
              </a:defRPr>
            </a:pPr>
            <a:endParaRPr lang="en-US"/>
          </a:p>
        </c:txPr>
        <c:crossAx val="132511616"/>
        <c:crossesAt val="1.0000000000000041E-3"/>
        <c:crossBetween val="midCat"/>
      </c:valAx>
      <c:valAx>
        <c:axId val="132511616"/>
        <c:scaling>
          <c:logBase val="10"/>
          <c:orientation val="minMax"/>
        </c:scaling>
        <c:delete val="0"/>
        <c:axPos val="l"/>
        <c:title>
          <c:tx>
            <c:strRef>
              <c:f>BioScale_Internal!$J$27</c:f>
              <c:strCache>
                <c:ptCount val="1"/>
                <c:pt idx="0">
                  <c:v>Accumulation Rate (ppm/sec)</c:v>
                </c:pt>
              </c:strCache>
            </c:strRef>
          </c:tx>
          <c:overlay val="0"/>
          <c:txPr>
            <a:bodyPr rot="-5400000" vert="horz"/>
            <a:lstStyle/>
            <a:p>
              <a:pPr>
                <a:defRPr sz="1200" b="0"/>
              </a:pPr>
              <a:endParaRPr lang="en-US"/>
            </a:p>
          </c:txPr>
        </c:title>
        <c:numFmt formatCode="General" sourceLinked="0"/>
        <c:majorTickMark val="out"/>
        <c:minorTickMark val="out"/>
        <c:tickLblPos val="nextTo"/>
        <c:spPr>
          <a:ln>
            <a:solidFill>
              <a:schemeClr val="tx1"/>
            </a:solidFill>
          </a:ln>
        </c:spPr>
        <c:crossAx val="132509696"/>
        <c:crossesAt val="1.0000000000000079E-5"/>
        <c:crossBetween val="midCat"/>
      </c:valAx>
      <c:valAx>
        <c:axId val="133763072"/>
        <c:scaling>
          <c:logBase val="10"/>
          <c:orientation val="minMax"/>
        </c:scaling>
        <c:delete val="1"/>
        <c:axPos val="t"/>
        <c:numFmt formatCode="General" sourceLinked="1"/>
        <c:majorTickMark val="out"/>
        <c:minorTickMark val="none"/>
        <c:tickLblPos val="none"/>
        <c:crossAx val="133764608"/>
        <c:crosses val="max"/>
        <c:crossBetween val="midCat"/>
      </c:valAx>
      <c:valAx>
        <c:axId val="133764608"/>
        <c:scaling>
          <c:orientation val="minMax"/>
          <c:max val="0.5"/>
          <c:min val="0"/>
        </c:scaling>
        <c:delete val="0"/>
        <c:axPos val="r"/>
        <c:numFmt formatCode="0%" sourceLinked="1"/>
        <c:majorTickMark val="out"/>
        <c:minorTickMark val="none"/>
        <c:tickLblPos val="nextTo"/>
        <c:crossAx val="133763072"/>
        <c:crosses val="max"/>
        <c:crossBetween val="midCat"/>
      </c:valAx>
      <c:spPr>
        <a:ln>
          <a:solidFill>
            <a:sysClr val="windowText" lastClr="000000"/>
          </a:solidFill>
        </a:ln>
      </c:spPr>
    </c:plotArea>
    <c:legend>
      <c:legendPos val="r"/>
      <c:legendEntry>
        <c:idx val="1"/>
        <c:delete val="1"/>
      </c:legendEntry>
      <c:layout>
        <c:manualLayout>
          <c:xMode val="edge"/>
          <c:yMode val="edge"/>
          <c:x val="0.10264690443106379"/>
          <c:y val="9.1512904636920384E-2"/>
          <c:w val="0.82632515053265387"/>
          <c:h val="8.2420603674540849E-2"/>
        </c:manualLayout>
      </c:layout>
      <c:overlay val="0"/>
      <c:spPr>
        <a:solidFill>
          <a:schemeClr val="bg1"/>
        </a:solidFill>
      </c:spPr>
      <c:txPr>
        <a:bodyPr/>
        <a:lstStyle/>
        <a:p>
          <a:pPr>
            <a:defRPr sz="1000"/>
          </a:pPr>
          <a:endParaRPr lang="en-US"/>
        </a:p>
      </c:txPr>
    </c:legend>
    <c:plotVisOnly val="1"/>
    <c:dispBlanksAs val="gap"/>
    <c:showDLblsOverMax val="0"/>
  </c:chart>
  <c:printSettings>
    <c:headerFooter/>
    <c:pageMargins b="0.75000000000000311" l="0.70000000000000062" r="0.70000000000000062" t="0.750000000000003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Statistics!$AA$59</c:f>
          <c:strCache>
            <c:ptCount val="1"/>
            <c:pt idx="0">
              <c:v>Section 3 Standard Statistics</c:v>
            </c:pt>
          </c:strCache>
        </c:strRef>
      </c:tx>
      <c:overlay val="1"/>
      <c:txPr>
        <a:bodyPr/>
        <a:lstStyle/>
        <a:p>
          <a:pPr>
            <a:defRPr/>
          </a:pPr>
          <a:endParaRPr lang="en-US"/>
        </a:p>
      </c:txPr>
    </c:title>
    <c:autoTitleDeleted val="0"/>
    <c:plotArea>
      <c:layout>
        <c:manualLayout>
          <c:layoutTarget val="inner"/>
          <c:xMode val="edge"/>
          <c:yMode val="edge"/>
          <c:x val="0.10281016472210203"/>
          <c:y val="0.18741666666666759"/>
          <c:w val="0.82778245595916489"/>
          <c:h val="0.66652427821522364"/>
        </c:manualLayout>
      </c:layout>
      <c:scatterChart>
        <c:scatterStyle val="lineMarker"/>
        <c:varyColors val="0"/>
        <c:ser>
          <c:idx val="0"/>
          <c:order val="0"/>
          <c:tx>
            <c:v>Standard Signals</c:v>
          </c:tx>
          <c:spPr>
            <a:ln w="28575">
              <a:noFill/>
            </a:ln>
          </c:spPr>
          <c:marker>
            <c:spPr>
              <a:noFill/>
              <a:ln w="19050"/>
            </c:spPr>
          </c:marker>
          <c:errBars>
            <c:errDir val="y"/>
            <c:errBarType val="both"/>
            <c:errValType val="cust"/>
            <c:noEndCap val="0"/>
            <c:plus>
              <c:numRef>
                <c:f>Statistics!$Z$21:$Z$36</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plus>
            <c:minus>
              <c:numRef>
                <c:f>Statistics!$Z$21:$Z$36</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minus>
            <c:spPr>
              <a:ln w="3175">
                <a:solidFill>
                  <a:srgbClr val="000000"/>
                </a:solidFill>
                <a:prstDash val="solid"/>
              </a:ln>
            </c:spPr>
          </c:errBars>
          <c:xVal>
            <c:numRef>
              <c:f>Statistics!$X$21:$X$36</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Statistics!$Y$21:$Y$36</c:f>
              <c:numCache>
                <c:formatCode>0.00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0-D14A-4A69-B3F4-2B23030197FC}"/>
            </c:ext>
          </c:extLst>
        </c:ser>
        <c:ser>
          <c:idx val="1"/>
          <c:order val="1"/>
          <c:tx>
            <c:v>5PL Fit</c:v>
          </c:tx>
          <c:spPr>
            <a:ln w="9525">
              <a:solidFill>
                <a:schemeClr val="tx1"/>
              </a:solidFill>
            </a:ln>
          </c:spPr>
          <c:marker>
            <c:symbol val="none"/>
          </c:marker>
          <c:xVal>
            <c:numRef>
              <c:f>Calculations!$AF$63:$AF$88</c:f>
              <c:numCache>
                <c:formatCode>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Calculations!$AG$63:$AG$88</c:f>
              <c:numCache>
                <c:formatCode>0.000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0"/>
          <c:extLst>
            <c:ext xmlns:c16="http://schemas.microsoft.com/office/drawing/2014/chart" uri="{C3380CC4-5D6E-409C-BE32-E72D297353CC}">
              <c16:uniqueId val="{00000001-D14A-4A69-B3F4-2B23030197FC}"/>
            </c:ext>
          </c:extLst>
        </c:ser>
        <c:dLbls>
          <c:showLegendKey val="0"/>
          <c:showVal val="0"/>
          <c:showCatName val="0"/>
          <c:showSerName val="0"/>
          <c:showPercent val="0"/>
          <c:showBubbleSize val="0"/>
        </c:dLbls>
        <c:axId val="133830144"/>
        <c:axId val="133832064"/>
      </c:scatterChart>
      <c:scatterChart>
        <c:scatterStyle val="lineMarker"/>
        <c:varyColors val="0"/>
        <c:ser>
          <c:idx val="2"/>
          <c:order val="2"/>
          <c:tx>
            <c:v>Signal CV</c:v>
          </c:tx>
          <c:spPr>
            <a:ln w="9525">
              <a:solidFill>
                <a:srgbClr val="92D050"/>
              </a:solidFill>
            </a:ln>
          </c:spPr>
          <c:marker>
            <c:symbol val="diamond"/>
            <c:size val="7"/>
            <c:spPr>
              <a:solidFill>
                <a:srgbClr val="92D050"/>
              </a:solidFill>
              <a:ln>
                <a:solidFill>
                  <a:srgbClr val="92D050"/>
                </a:solidFill>
              </a:ln>
            </c:spPr>
          </c:marker>
          <c:xVal>
            <c:numRef>
              <c:f>Statistics!$X$21:$X$36</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Statistics!$AA$21:$AA$36</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2-D14A-4A69-B3F4-2B23030197FC}"/>
            </c:ext>
          </c:extLst>
        </c:ser>
        <c:ser>
          <c:idx val="3"/>
          <c:order val="3"/>
          <c:tx>
            <c:v>Recovery CV</c:v>
          </c:tx>
          <c:spPr>
            <a:ln w="9525">
              <a:solidFill>
                <a:srgbClr val="7030A0"/>
              </a:solidFill>
            </a:ln>
          </c:spPr>
          <c:marker>
            <c:symbol val="triangle"/>
            <c:size val="7"/>
            <c:spPr>
              <a:solidFill>
                <a:srgbClr val="7030A0"/>
              </a:solidFill>
              <a:ln>
                <a:solidFill>
                  <a:srgbClr val="7030A0"/>
                </a:solidFill>
              </a:ln>
            </c:spPr>
          </c:marker>
          <c:xVal>
            <c:numRef>
              <c:f>Statistics!$X$21:$X$36</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Statistics!$AD$21:$AD$36</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3-D14A-4A69-B3F4-2B23030197FC}"/>
            </c:ext>
          </c:extLst>
        </c:ser>
        <c:ser>
          <c:idx val="4"/>
          <c:order val="4"/>
          <c:tx>
            <c:v>Recovery Error</c:v>
          </c:tx>
          <c:spPr>
            <a:ln w="9525">
              <a:solidFill>
                <a:srgbClr val="FF0000"/>
              </a:solidFill>
            </a:ln>
          </c:spPr>
          <c:marker>
            <c:symbol val="circle"/>
            <c:size val="6"/>
            <c:spPr>
              <a:solidFill>
                <a:srgbClr val="FF0000"/>
              </a:solidFill>
              <a:ln>
                <a:solidFill>
                  <a:srgbClr val="FF0000"/>
                </a:solidFill>
              </a:ln>
            </c:spPr>
          </c:marker>
          <c:xVal>
            <c:numRef>
              <c:f>Statistics!$X$21:$X$36</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Statistics!$AF$21:$AF$36</c:f>
              <c:numCache>
                <c:formatCode>0.0%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4-D14A-4A69-B3F4-2B23030197FC}"/>
            </c:ext>
          </c:extLst>
        </c:ser>
        <c:ser>
          <c:idx val="5"/>
          <c:order val="5"/>
          <c:tx>
            <c:v>10% Reference</c:v>
          </c:tx>
          <c:spPr>
            <a:ln w="9525">
              <a:solidFill>
                <a:srgbClr val="FF0000"/>
              </a:solidFill>
              <a:prstDash val="dash"/>
            </a:ln>
          </c:spPr>
          <c:marker>
            <c:symbol val="none"/>
          </c:marker>
          <c:xVal>
            <c:numRef>
              <c:f>(Statistics!$AB$58,Statistics!$AC$58)</c:f>
              <c:numCache>
                <c:formatCode>0.00</c:formatCode>
                <c:ptCount val="2"/>
                <c:pt idx="0">
                  <c:v>#N/A</c:v>
                </c:pt>
                <c:pt idx="1">
                  <c:v>#N/A</c:v>
                </c:pt>
              </c:numCache>
            </c:numRef>
          </c:xVal>
          <c:yVal>
            <c:numLit>
              <c:formatCode>General</c:formatCode>
              <c:ptCount val="2"/>
              <c:pt idx="0">
                <c:v>0.1</c:v>
              </c:pt>
              <c:pt idx="1">
                <c:v>0.1</c:v>
              </c:pt>
            </c:numLit>
          </c:yVal>
          <c:smooth val="0"/>
          <c:extLst>
            <c:ext xmlns:c16="http://schemas.microsoft.com/office/drawing/2014/chart" uri="{C3380CC4-5D6E-409C-BE32-E72D297353CC}">
              <c16:uniqueId val="{00000005-D14A-4A69-B3F4-2B23030197FC}"/>
            </c:ext>
          </c:extLst>
        </c:ser>
        <c:ser>
          <c:idx val="6"/>
          <c:order val="6"/>
          <c:tx>
            <c:v>20% Reference</c:v>
          </c:tx>
          <c:spPr>
            <a:ln w="9525">
              <a:solidFill>
                <a:srgbClr val="FF0000"/>
              </a:solidFill>
              <a:prstDash val="dash"/>
            </a:ln>
          </c:spPr>
          <c:marker>
            <c:symbol val="none"/>
          </c:marker>
          <c:xVal>
            <c:numRef>
              <c:f>(Statistics!$AB$58,Statistics!$AC$58)</c:f>
              <c:numCache>
                <c:formatCode>0.00</c:formatCode>
                <c:ptCount val="2"/>
                <c:pt idx="0">
                  <c:v>#N/A</c:v>
                </c:pt>
                <c:pt idx="1">
                  <c:v>#N/A</c:v>
                </c:pt>
              </c:numCache>
            </c:numRef>
          </c:xVal>
          <c:yVal>
            <c:numLit>
              <c:formatCode>General</c:formatCode>
              <c:ptCount val="2"/>
              <c:pt idx="0">
                <c:v>0.2</c:v>
              </c:pt>
              <c:pt idx="1">
                <c:v>0.2</c:v>
              </c:pt>
            </c:numLit>
          </c:yVal>
          <c:smooth val="0"/>
          <c:extLst>
            <c:ext xmlns:c16="http://schemas.microsoft.com/office/drawing/2014/chart" uri="{C3380CC4-5D6E-409C-BE32-E72D297353CC}">
              <c16:uniqueId val="{00000006-D14A-4A69-B3F4-2B23030197FC}"/>
            </c:ext>
          </c:extLst>
        </c:ser>
        <c:ser>
          <c:idx val="7"/>
          <c:order val="7"/>
          <c:tx>
            <c:v>LLOQ</c:v>
          </c:tx>
          <c:spPr>
            <a:ln w="9525">
              <a:solidFill>
                <a:schemeClr val="tx2"/>
              </a:solidFill>
            </a:ln>
          </c:spPr>
          <c:marker>
            <c:symbol val="none"/>
          </c:marker>
          <c:xVal>
            <c:numRef>
              <c:f>(Statistics!$Y$57,Statistics!$Y$57)</c:f>
              <c:numCache>
                <c:formatCode>General</c:formatCode>
                <c:ptCount val="2"/>
                <c:pt idx="0">
                  <c:v>#N/A</c:v>
                </c:pt>
                <c:pt idx="1">
                  <c:v>#N/A</c:v>
                </c:pt>
              </c:numCache>
            </c:numRef>
          </c:xVal>
          <c:yVal>
            <c:numLit>
              <c:formatCode>General</c:formatCode>
              <c:ptCount val="2"/>
              <c:pt idx="0">
                <c:v>0</c:v>
              </c:pt>
              <c:pt idx="1">
                <c:v>0.5</c:v>
              </c:pt>
            </c:numLit>
          </c:yVal>
          <c:smooth val="0"/>
          <c:extLst>
            <c:ext xmlns:c16="http://schemas.microsoft.com/office/drawing/2014/chart" uri="{C3380CC4-5D6E-409C-BE32-E72D297353CC}">
              <c16:uniqueId val="{00000007-D14A-4A69-B3F4-2B23030197FC}"/>
            </c:ext>
          </c:extLst>
        </c:ser>
        <c:ser>
          <c:idx val="8"/>
          <c:order val="8"/>
          <c:tx>
            <c:v>ULOQ</c:v>
          </c:tx>
          <c:spPr>
            <a:ln w="9525">
              <a:solidFill>
                <a:schemeClr val="tx2"/>
              </a:solidFill>
            </a:ln>
          </c:spPr>
          <c:marker>
            <c:symbol val="none"/>
          </c:marker>
          <c:xVal>
            <c:numRef>
              <c:f>(Statistics!$Y$58,Statistics!$Y$58)</c:f>
              <c:numCache>
                <c:formatCode>General</c:formatCode>
                <c:ptCount val="2"/>
                <c:pt idx="0">
                  <c:v>#N/A</c:v>
                </c:pt>
                <c:pt idx="1">
                  <c:v>#N/A</c:v>
                </c:pt>
              </c:numCache>
            </c:numRef>
          </c:xVal>
          <c:yVal>
            <c:numLit>
              <c:formatCode>General</c:formatCode>
              <c:ptCount val="2"/>
              <c:pt idx="0">
                <c:v>0</c:v>
              </c:pt>
              <c:pt idx="1">
                <c:v>0.5</c:v>
              </c:pt>
            </c:numLit>
          </c:yVal>
          <c:smooth val="0"/>
          <c:extLst>
            <c:ext xmlns:c16="http://schemas.microsoft.com/office/drawing/2014/chart" uri="{C3380CC4-5D6E-409C-BE32-E72D297353CC}">
              <c16:uniqueId val="{00000008-D14A-4A69-B3F4-2B23030197FC}"/>
            </c:ext>
          </c:extLst>
        </c:ser>
        <c:dLbls>
          <c:showLegendKey val="0"/>
          <c:showVal val="0"/>
          <c:showCatName val="0"/>
          <c:showSerName val="0"/>
          <c:showPercent val="0"/>
          <c:showBubbleSize val="0"/>
        </c:dLbls>
        <c:axId val="133846528"/>
        <c:axId val="133848064"/>
      </c:scatterChart>
      <c:valAx>
        <c:axId val="133830144"/>
        <c:scaling>
          <c:logBase val="10"/>
          <c:orientation val="minMax"/>
        </c:scaling>
        <c:delete val="0"/>
        <c:axPos val="b"/>
        <c:title>
          <c:tx>
            <c:strRef>
              <c:f>BioScale_Internal!$J$26</c:f>
              <c:strCache>
                <c:ptCount val="1"/>
                <c:pt idx="0">
                  <c:v>[GDF-15] (pg/mL)</c:v>
                </c:pt>
              </c:strCache>
            </c:strRef>
          </c:tx>
          <c:overlay val="0"/>
          <c:txPr>
            <a:bodyPr/>
            <a:lstStyle/>
            <a:p>
              <a:pPr>
                <a:defRPr sz="1200" b="0"/>
              </a:pPr>
              <a:endParaRPr lang="en-US"/>
            </a:p>
          </c:txPr>
        </c:title>
        <c:numFmt formatCode="General" sourceLinked="1"/>
        <c:majorTickMark val="out"/>
        <c:minorTickMark val="out"/>
        <c:tickLblPos val="nextTo"/>
        <c:spPr>
          <a:ln>
            <a:solidFill>
              <a:sysClr val="windowText" lastClr="000000"/>
            </a:solidFill>
          </a:ln>
        </c:spPr>
        <c:txPr>
          <a:bodyPr rot="0" vert="horz"/>
          <a:lstStyle/>
          <a:p>
            <a:pPr>
              <a:defRPr sz="1000" b="0" i="0" u="none" strike="noStrike" baseline="0">
                <a:solidFill>
                  <a:srgbClr val="000000"/>
                </a:solidFill>
                <a:latin typeface="Calibri"/>
                <a:ea typeface="Calibri"/>
                <a:cs typeface="Calibri"/>
              </a:defRPr>
            </a:pPr>
            <a:endParaRPr lang="en-US"/>
          </a:p>
        </c:txPr>
        <c:crossAx val="133832064"/>
        <c:crossesAt val="1.0000000000000041E-3"/>
        <c:crossBetween val="midCat"/>
      </c:valAx>
      <c:valAx>
        <c:axId val="133832064"/>
        <c:scaling>
          <c:logBase val="10"/>
          <c:orientation val="minMax"/>
        </c:scaling>
        <c:delete val="0"/>
        <c:axPos val="l"/>
        <c:title>
          <c:tx>
            <c:strRef>
              <c:f>BioScale_Internal!$J$27</c:f>
              <c:strCache>
                <c:ptCount val="1"/>
                <c:pt idx="0">
                  <c:v>Accumulation Rate (ppm/sec)</c:v>
                </c:pt>
              </c:strCache>
            </c:strRef>
          </c:tx>
          <c:overlay val="0"/>
          <c:txPr>
            <a:bodyPr rot="-5400000" vert="horz"/>
            <a:lstStyle/>
            <a:p>
              <a:pPr>
                <a:defRPr sz="1200" b="0"/>
              </a:pPr>
              <a:endParaRPr lang="en-US"/>
            </a:p>
          </c:txPr>
        </c:title>
        <c:numFmt formatCode="General" sourceLinked="0"/>
        <c:majorTickMark val="out"/>
        <c:minorTickMark val="out"/>
        <c:tickLblPos val="nextTo"/>
        <c:spPr>
          <a:ln>
            <a:solidFill>
              <a:schemeClr val="tx1"/>
            </a:solidFill>
          </a:ln>
        </c:spPr>
        <c:crossAx val="133830144"/>
        <c:crossesAt val="1.0000000000000079E-5"/>
        <c:crossBetween val="midCat"/>
      </c:valAx>
      <c:valAx>
        <c:axId val="133846528"/>
        <c:scaling>
          <c:logBase val="10"/>
          <c:orientation val="minMax"/>
        </c:scaling>
        <c:delete val="1"/>
        <c:axPos val="t"/>
        <c:numFmt formatCode="General" sourceLinked="1"/>
        <c:majorTickMark val="out"/>
        <c:minorTickMark val="none"/>
        <c:tickLblPos val="none"/>
        <c:crossAx val="133848064"/>
        <c:crosses val="max"/>
        <c:crossBetween val="midCat"/>
      </c:valAx>
      <c:valAx>
        <c:axId val="133848064"/>
        <c:scaling>
          <c:orientation val="minMax"/>
          <c:max val="0.5"/>
          <c:min val="0"/>
        </c:scaling>
        <c:delete val="0"/>
        <c:axPos val="r"/>
        <c:numFmt formatCode="0%" sourceLinked="1"/>
        <c:majorTickMark val="out"/>
        <c:minorTickMark val="none"/>
        <c:tickLblPos val="nextTo"/>
        <c:crossAx val="133846528"/>
        <c:crosses val="max"/>
        <c:crossBetween val="midCat"/>
      </c:valAx>
      <c:spPr>
        <a:ln>
          <a:solidFill>
            <a:sysClr val="windowText" lastClr="000000"/>
          </a:solidFill>
        </a:ln>
      </c:spPr>
    </c:plotArea>
    <c:legend>
      <c:legendPos val="r"/>
      <c:legendEntry>
        <c:idx val="1"/>
        <c:delete val="1"/>
      </c:legendEntry>
      <c:layout>
        <c:manualLayout>
          <c:xMode val="edge"/>
          <c:yMode val="edge"/>
          <c:x val="0.10264690443106379"/>
          <c:y val="9.1512904636920384E-2"/>
          <c:w val="0.82632515053265387"/>
          <c:h val="8.2420603674540849E-2"/>
        </c:manualLayout>
      </c:layout>
      <c:overlay val="0"/>
      <c:spPr>
        <a:solidFill>
          <a:schemeClr val="bg1"/>
        </a:solidFill>
      </c:spPr>
      <c:txPr>
        <a:bodyPr/>
        <a:lstStyle/>
        <a:p>
          <a:pPr>
            <a:defRPr sz="1000"/>
          </a:pPr>
          <a:endParaRPr lang="en-US"/>
        </a:p>
      </c:txPr>
    </c:legend>
    <c:plotVisOnly val="1"/>
    <c:dispBlanksAs val="gap"/>
    <c:showDLblsOverMax val="0"/>
  </c:chart>
  <c:printSettings>
    <c:headerFooter/>
    <c:pageMargins b="0.75000000000000322" l="0.70000000000000062" r="0.70000000000000062" t="0.75000000000000322"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BioScale_Internal!$J$25</c:f>
          <c:strCache>
            <c:ptCount val="1"/>
            <c:pt idx="0">
              <c:v>GDF-15 Calibration Curve</c:v>
            </c:pt>
          </c:strCache>
        </c:strRef>
      </c:tx>
      <c:layout>
        <c:manualLayout>
          <c:xMode val="edge"/>
          <c:yMode val="edge"/>
          <c:x val="0.39299276052031956"/>
          <c:y val="1.8714576354715781E-2"/>
        </c:manualLayout>
      </c:layout>
      <c:overlay val="0"/>
      <c:spPr>
        <a:noFill/>
        <a:ln w="25400">
          <a:noFill/>
        </a:ln>
      </c:spPr>
      <c:txPr>
        <a:bodyPr/>
        <a:lstStyle/>
        <a:p>
          <a:pPr>
            <a:defRPr sz="12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3596004439511665E-2"/>
          <c:y val="8.5080185979221165E-2"/>
          <c:w val="0.89271180170181252"/>
          <c:h val="0.80243267406629759"/>
        </c:manualLayout>
      </c:layout>
      <c:scatterChart>
        <c:scatterStyle val="lineMarker"/>
        <c:varyColors val="0"/>
        <c:ser>
          <c:idx val="0"/>
          <c:order val="0"/>
          <c:tx>
            <c:strRef>
              <c:f>Calculations!$A$42</c:f>
              <c:strCache>
                <c:ptCount val="1"/>
                <c:pt idx="0">
                  <c:v>Section 1 Standards</c:v>
                </c:pt>
              </c:strCache>
            </c:strRef>
          </c:tx>
          <c:spPr>
            <a:ln w="28575">
              <a:noFill/>
            </a:ln>
          </c:spPr>
          <c:marker>
            <c:symbol val="diamond"/>
            <c:size val="8"/>
            <c:spPr>
              <a:noFill/>
              <a:ln w="15875">
                <a:solidFill>
                  <a:schemeClr val="tx2"/>
                </a:solidFill>
                <a:prstDash val="solid"/>
              </a:ln>
            </c:spPr>
          </c:marker>
          <c:errBars>
            <c:errDir val="y"/>
            <c:errBarType val="both"/>
            <c:errValType val="cust"/>
            <c:noEndCap val="0"/>
            <c:plus>
              <c:numRef>
                <c:f>Calculations!$S$63:$S$78</c:f>
                <c:numCache>
                  <c:formatCode>General</c:formatCode>
                  <c:ptCount val="16"/>
                  <c:pt idx="0">
                    <c:v>2.9881711240601187E-2</c:v>
                  </c:pt>
                  <c:pt idx="1">
                    <c:v>3.4903438226054399E-2</c:v>
                  </c:pt>
                  <c:pt idx="2">
                    <c:v>1.626857912254992E-2</c:v>
                  </c:pt>
                  <c:pt idx="3">
                    <c:v>8.4261497731763658E-3</c:v>
                  </c:pt>
                  <c:pt idx="4">
                    <c:v>1.212091855705119E-2</c:v>
                  </c:pt>
                  <c:pt idx="5">
                    <c:v>2.3629078131263029E-3</c:v>
                  </c:pt>
                  <c:pt idx="6">
                    <c:v>2.7537852736430517E-3</c:v>
                  </c:pt>
                  <c:pt idx="7">
                    <c:v>#N/A</c:v>
                  </c:pt>
                  <c:pt idx="8">
                    <c:v>#N/A</c:v>
                  </c:pt>
                  <c:pt idx="9">
                    <c:v>#N/A</c:v>
                  </c:pt>
                  <c:pt idx="10">
                    <c:v>#N/A</c:v>
                  </c:pt>
                  <c:pt idx="11">
                    <c:v>#N/A</c:v>
                  </c:pt>
                  <c:pt idx="12">
                    <c:v>#N/A</c:v>
                  </c:pt>
                  <c:pt idx="13">
                    <c:v>#N/A</c:v>
                  </c:pt>
                  <c:pt idx="14">
                    <c:v>#N/A</c:v>
                  </c:pt>
                  <c:pt idx="15">
                    <c:v>#N/A</c:v>
                  </c:pt>
                </c:numCache>
              </c:numRef>
            </c:plus>
            <c:minus>
              <c:numRef>
                <c:f>Calculations!$S$63:$S$78</c:f>
                <c:numCache>
                  <c:formatCode>General</c:formatCode>
                  <c:ptCount val="16"/>
                  <c:pt idx="0">
                    <c:v>2.9881711240601187E-2</c:v>
                  </c:pt>
                  <c:pt idx="1">
                    <c:v>3.4903438226054399E-2</c:v>
                  </c:pt>
                  <c:pt idx="2">
                    <c:v>1.626857912254992E-2</c:v>
                  </c:pt>
                  <c:pt idx="3">
                    <c:v>8.4261497731763658E-3</c:v>
                  </c:pt>
                  <c:pt idx="4">
                    <c:v>1.212091855705119E-2</c:v>
                  </c:pt>
                  <c:pt idx="5">
                    <c:v>2.3629078131263029E-3</c:v>
                  </c:pt>
                  <c:pt idx="6">
                    <c:v>2.7537852736430517E-3</c:v>
                  </c:pt>
                  <c:pt idx="7">
                    <c:v>#N/A</c:v>
                  </c:pt>
                  <c:pt idx="8">
                    <c:v>#N/A</c:v>
                  </c:pt>
                  <c:pt idx="9">
                    <c:v>#N/A</c:v>
                  </c:pt>
                  <c:pt idx="10">
                    <c:v>#N/A</c:v>
                  </c:pt>
                  <c:pt idx="11">
                    <c:v>#N/A</c:v>
                  </c:pt>
                  <c:pt idx="12">
                    <c:v>#N/A</c:v>
                  </c:pt>
                  <c:pt idx="13">
                    <c:v>#N/A</c:v>
                  </c:pt>
                  <c:pt idx="14">
                    <c:v>#N/A</c:v>
                  </c:pt>
                  <c:pt idx="15">
                    <c:v>#N/A</c:v>
                  </c:pt>
                </c:numCache>
              </c:numRef>
            </c:minus>
            <c:spPr>
              <a:ln w="3175">
                <a:solidFill>
                  <a:srgbClr val="333399"/>
                </a:solidFill>
                <a:prstDash val="solid"/>
              </a:ln>
            </c:spPr>
          </c:errBars>
          <c:xVal>
            <c:numRef>
              <c:f>Calculations!$Q$63:$Q$78</c:f>
              <c:numCache>
                <c:formatCode>General</c:formatCode>
                <c:ptCount val="16"/>
                <c:pt idx="0">
                  <c:v>1000</c:v>
                </c:pt>
                <c:pt idx="1">
                  <c:v>333.33333333333331</c:v>
                </c:pt>
                <c:pt idx="2">
                  <c:v>111.11111111111111</c:v>
                </c:pt>
                <c:pt idx="3">
                  <c:v>37.037037037037038</c:v>
                </c:pt>
                <c:pt idx="4">
                  <c:v>12.345679012345679</c:v>
                </c:pt>
                <c:pt idx="5">
                  <c:v>4.1152263374485596</c:v>
                </c:pt>
                <c:pt idx="6">
                  <c:v>1.3717421124828533</c:v>
                </c:pt>
                <c:pt idx="7">
                  <c:v>#N/A</c:v>
                </c:pt>
                <c:pt idx="8">
                  <c:v>#N/A</c:v>
                </c:pt>
                <c:pt idx="9">
                  <c:v>#N/A</c:v>
                </c:pt>
                <c:pt idx="10">
                  <c:v>#N/A</c:v>
                </c:pt>
                <c:pt idx="11">
                  <c:v>#N/A</c:v>
                </c:pt>
                <c:pt idx="12">
                  <c:v>#N/A</c:v>
                </c:pt>
                <c:pt idx="13">
                  <c:v>#N/A</c:v>
                </c:pt>
                <c:pt idx="14">
                  <c:v>#N/A</c:v>
                </c:pt>
                <c:pt idx="15">
                  <c:v>#N/A</c:v>
                </c:pt>
              </c:numCache>
            </c:numRef>
          </c:xVal>
          <c:yVal>
            <c:numRef>
              <c:f>Calculations!$R$63:$R$78</c:f>
              <c:numCache>
                <c:formatCode>0.00</c:formatCode>
                <c:ptCount val="16"/>
                <c:pt idx="0">
                  <c:v>2.6552500000000001</c:v>
                </c:pt>
                <c:pt idx="1">
                  <c:v>1.8472500000000001</c:v>
                </c:pt>
                <c:pt idx="2">
                  <c:v>0.74299999999999999</c:v>
                </c:pt>
                <c:pt idx="3">
                  <c:v>0.27050000000000002</c:v>
                </c:pt>
                <c:pt idx="4">
                  <c:v>9.8250000000000004E-2</c:v>
                </c:pt>
                <c:pt idx="5">
                  <c:v>3.5250000000000004E-2</c:v>
                </c:pt>
                <c:pt idx="6">
                  <c:v>1.7750000000000002E-2</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0-C4F3-4D8A-ADC5-FE8A38615A9D}"/>
            </c:ext>
          </c:extLst>
        </c:ser>
        <c:ser>
          <c:idx val="5"/>
          <c:order val="1"/>
          <c:tx>
            <c:strRef>
              <c:f>Calculations!$O$42</c:f>
              <c:strCache>
                <c:ptCount val="1"/>
                <c:pt idx="0">
                  <c:v>Section 2 Standards</c:v>
                </c:pt>
              </c:strCache>
            </c:strRef>
          </c:tx>
          <c:spPr>
            <a:ln w="28575">
              <a:noFill/>
            </a:ln>
          </c:spPr>
          <c:marker>
            <c:symbol val="diamond"/>
            <c:size val="7"/>
            <c:spPr>
              <a:noFill/>
              <a:ln w="15875">
                <a:solidFill>
                  <a:schemeClr val="accent2"/>
                </a:solidFill>
              </a:ln>
            </c:spPr>
          </c:marker>
          <c:errBars>
            <c:errDir val="y"/>
            <c:errBarType val="both"/>
            <c:errValType val="cust"/>
            <c:noEndCap val="0"/>
            <c:plus>
              <c:numRef>
                <c:f>Calculations!$V$63:$V$78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plus>
            <c:minus>
              <c:numRef>
                <c:f>Calculations!$V$63:$V$78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minus>
            <c:spPr>
              <a:ln w="3175">
                <a:solidFill>
                  <a:srgbClr val="993366"/>
                </a:solidFill>
                <a:prstDash val="solid"/>
              </a:ln>
            </c:spPr>
          </c:errBars>
          <c:xVal>
            <c:numRef>
              <c:f>Calculations!$T$63:$T$78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Calculations!$U$63:$U$78</c:f>
              <c:numCache>
                <c:formatCode>0.00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1-C4F3-4D8A-ADC5-FE8A38615A9D}"/>
            </c:ext>
          </c:extLst>
        </c:ser>
        <c:ser>
          <c:idx val="10"/>
          <c:order val="2"/>
          <c:tx>
            <c:strRef>
              <c:f>Calculations!$AC$42</c:f>
              <c:strCache>
                <c:ptCount val="1"/>
                <c:pt idx="0">
                  <c:v>Section 3 Standards</c:v>
                </c:pt>
              </c:strCache>
            </c:strRef>
          </c:tx>
          <c:spPr>
            <a:ln w="28575">
              <a:noFill/>
            </a:ln>
          </c:spPr>
          <c:marker>
            <c:symbol val="diamond"/>
            <c:size val="7"/>
            <c:spPr>
              <a:noFill/>
              <a:ln w="15875">
                <a:solidFill>
                  <a:schemeClr val="accent3">
                    <a:lumMod val="50000"/>
                  </a:schemeClr>
                </a:solidFill>
              </a:ln>
            </c:spPr>
          </c:marker>
          <c:errBars>
            <c:errDir val="y"/>
            <c:errBarType val="both"/>
            <c:errValType val="cust"/>
            <c:noEndCap val="0"/>
            <c:plus>
              <c:numRef>
                <c:f>Calculations!$Y$63:$Y$78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plus>
            <c:minus>
              <c:numRef>
                <c:f>Calculations!$Y$63:$Y$78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minus>
            <c:spPr>
              <a:ln w="3175">
                <a:solidFill>
                  <a:srgbClr val="333300"/>
                </a:solidFill>
                <a:prstDash val="solid"/>
              </a:ln>
            </c:spPr>
          </c:errBars>
          <c:xVal>
            <c:numRef>
              <c:f>Calculations!$W$63:$W$78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Calculations!$X$63:$X$78</c:f>
              <c:numCache>
                <c:formatCode>0.00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2-C4F3-4D8A-ADC5-FE8A38615A9D}"/>
            </c:ext>
          </c:extLst>
        </c:ser>
        <c:ser>
          <c:idx val="1"/>
          <c:order val="3"/>
          <c:tx>
            <c:v>5PL Standard Curve</c:v>
          </c:tx>
          <c:spPr>
            <a:ln w="12700">
              <a:solidFill>
                <a:schemeClr val="tx2"/>
              </a:solidFill>
              <a:prstDash val="solid"/>
            </a:ln>
          </c:spPr>
          <c:marker>
            <c:symbol val="none"/>
          </c:marker>
          <c:xVal>
            <c:numRef>
              <c:f>Calculations!$AB$63:$AB$88</c:f>
              <c:numCache>
                <c:formatCode>0.00</c:formatCode>
                <c:ptCount val="26"/>
                <c:pt idx="0">
                  <c:v>1.3717421124828533</c:v>
                </c:pt>
                <c:pt idx="1">
                  <c:v>1.7855892918763501</c:v>
                </c:pt>
                <c:pt idx="2">
                  <c:v>2.3242919279430807</c:v>
                </c:pt>
                <c:pt idx="3">
                  <c:v>3.0255182369650249</c:v>
                </c:pt>
                <c:pt idx="4">
                  <c:v>3.9383007324336918</c:v>
                </c:pt>
                <c:pt idx="5">
                  <c:v>5.12646477208032</c:v>
                </c:pt>
                <c:pt idx="6">
                  <c:v>6.6730914790095959</c:v>
                </c:pt>
                <c:pt idx="7">
                  <c:v>8.6863271020118908</c:v>
                </c:pt>
                <c:pt idx="8">
                  <c:v>11.306945028474971</c:v>
                </c:pt>
                <c:pt idx="9">
                  <c:v>14.718189215709312</c:v>
                </c:pt>
                <c:pt idx="10">
                  <c:v>19.158587332288402</c:v>
                </c:pt>
                <c:pt idx="11">
                  <c:v>24.938629554860793</c:v>
                </c:pt>
                <c:pt idx="12">
                  <c:v>32.462479267791004</c:v>
                </c:pt>
                <c:pt idx="13">
                  <c:v>42.256233763509385</c:v>
                </c:pt>
                <c:pt idx="14">
                  <c:v>55.004711043373611</c:v>
                </c:pt>
                <c:pt idx="15">
                  <c:v>71.599334997472738</c:v>
                </c:pt>
                <c:pt idx="16">
                  <c:v>93.200467284300132</c:v>
                </c:pt>
                <c:pt idx="17">
                  <c:v>121.31854440154372</c:v>
                </c:pt>
                <c:pt idx="18">
                  <c:v>157.9196933724885</c:v>
                </c:pt>
                <c:pt idx="19">
                  <c:v>205.56321111402551</c:v>
                </c:pt>
                <c:pt idx="20">
                  <c:v>267.58052058674372</c:v>
                </c:pt>
                <c:pt idx="21">
                  <c:v>348.30811704802949</c:v>
                </c:pt>
                <c:pt idx="22">
                  <c:v>453.39079293036576</c:v>
                </c:pt>
                <c:pt idx="23">
                  <c:v>590.17634402611338</c:v>
                </c:pt>
                <c:pt idx="24">
                  <c:v>768.22935639437378</c:v>
                </c:pt>
                <c:pt idx="25">
                  <c:v>1000</c:v>
                </c:pt>
              </c:numCache>
            </c:numRef>
          </c:xVal>
          <c:yVal>
            <c:numRef>
              <c:f>Calculations!$AC$63:$AC$88</c:f>
              <c:numCache>
                <c:formatCode>0.000</c:formatCode>
                <c:ptCount val="26"/>
                <c:pt idx="0">
                  <c:v>1.8742513597752104E-2</c:v>
                </c:pt>
                <c:pt idx="1">
                  <c:v>2.1469199736427635E-2</c:v>
                </c:pt>
                <c:pt idx="2">
                  <c:v>2.5036851759591291E-2</c:v>
                </c:pt>
                <c:pt idx="3">
                  <c:v>2.9704786352249601E-2</c:v>
                </c:pt>
                <c:pt idx="4">
                  <c:v>3.5812215855402035E-2</c:v>
                </c:pt>
                <c:pt idx="5">
                  <c:v>4.3802783803172332E-2</c:v>
                </c:pt>
                <c:pt idx="6">
                  <c:v>5.4256537502371457E-2</c:v>
                </c:pt>
                <c:pt idx="7">
                  <c:v>6.7931472929456269E-2</c:v>
                </c:pt>
                <c:pt idx="8">
                  <c:v>8.5817253850335631E-2</c:v>
                </c:pt>
                <c:pt idx="9">
                  <c:v>0.10920408651335736</c:v>
                </c:pt>
                <c:pt idx="10">
                  <c:v>0.13976972178353569</c:v>
                </c:pt>
                <c:pt idx="11">
                  <c:v>0.17968644574307185</c:v>
                </c:pt>
                <c:pt idx="12">
                  <c:v>0.23174611595802591</c:v>
                </c:pt>
                <c:pt idx="13">
                  <c:v>0.29949142114937394</c:v>
                </c:pt>
                <c:pt idx="14">
                  <c:v>0.38731885301927105</c:v>
                </c:pt>
                <c:pt idx="15">
                  <c:v>0.5004714180827472</c:v>
                </c:pt>
                <c:pt idx="16">
                  <c:v>0.64475053039574826</c:v>
                </c:pt>
                <c:pt idx="17">
                  <c:v>0.82564153522385209</c:v>
                </c:pt>
                <c:pt idx="18">
                  <c:v>1.0464322216120718</c:v>
                </c:pt>
                <c:pt idx="19">
                  <c:v>1.3050817339015153</c:v>
                </c:pt>
                <c:pt idx="20">
                  <c:v>1.590613462308939</c:v>
                </c:pt>
                <c:pt idx="21">
                  <c:v>1.8817913250475999</c:v>
                </c:pt>
                <c:pt idx="22">
                  <c:v>2.1516655143588599</c:v>
                </c:pt>
                <c:pt idx="23">
                  <c:v>2.3775208161414758</c:v>
                </c:pt>
                <c:pt idx="24">
                  <c:v>2.5492338838923123</c:v>
                </c:pt>
                <c:pt idx="25">
                  <c:v>2.6697462797913998</c:v>
                </c:pt>
              </c:numCache>
            </c:numRef>
          </c:yVal>
          <c:smooth val="0"/>
          <c:extLst>
            <c:ext xmlns:c16="http://schemas.microsoft.com/office/drawing/2014/chart" uri="{C3380CC4-5D6E-409C-BE32-E72D297353CC}">
              <c16:uniqueId val="{00000003-C4F3-4D8A-ADC5-FE8A38615A9D}"/>
            </c:ext>
          </c:extLst>
        </c:ser>
        <c:ser>
          <c:idx val="2"/>
          <c:order val="4"/>
          <c:tx>
            <c:v>Background</c:v>
          </c:tx>
          <c:spPr>
            <a:ln w="19050">
              <a:solidFill>
                <a:schemeClr val="tx2"/>
              </a:solidFill>
              <a:prstDash val="sysDot"/>
            </a:ln>
          </c:spPr>
          <c:marker>
            <c:symbol val="none"/>
          </c:marker>
          <c:xVal>
            <c:numRef>
              <c:f>Calculations!$AM$62:$AN$62</c:f>
              <c:numCache>
                <c:formatCode>0.00</c:formatCode>
                <c:ptCount val="2"/>
                <c:pt idx="0">
                  <c:v>1.3717421124828533</c:v>
                </c:pt>
                <c:pt idx="1">
                  <c:v>1000</c:v>
                </c:pt>
              </c:numCache>
            </c:numRef>
          </c:xVal>
          <c:yVal>
            <c:numRef>
              <c:f>Calculations!$AM$63:$AN$63</c:f>
              <c:numCache>
                <c:formatCode>0.000</c:formatCode>
                <c:ptCount val="2"/>
                <c:pt idx="0">
                  <c:v>1.2500000000000001E-2</c:v>
                </c:pt>
                <c:pt idx="1">
                  <c:v>1.2500000000000001E-2</c:v>
                </c:pt>
              </c:numCache>
            </c:numRef>
          </c:yVal>
          <c:smooth val="0"/>
          <c:extLst>
            <c:ext xmlns:c16="http://schemas.microsoft.com/office/drawing/2014/chart" uri="{C3380CC4-5D6E-409C-BE32-E72D297353CC}">
              <c16:uniqueId val="{00000004-C4F3-4D8A-ADC5-FE8A38615A9D}"/>
            </c:ext>
          </c:extLst>
        </c:ser>
        <c:ser>
          <c:idx val="3"/>
          <c:order val="5"/>
          <c:tx>
            <c:v>Background +/- 2 StDev</c:v>
          </c:tx>
          <c:spPr>
            <a:ln w="9525">
              <a:solidFill>
                <a:schemeClr val="tx2"/>
              </a:solidFill>
              <a:prstDash val="dash"/>
            </a:ln>
          </c:spPr>
          <c:marker>
            <c:symbol val="none"/>
          </c:marker>
          <c:xVal>
            <c:numRef>
              <c:f>Calculations!$AM$62:$AN$62</c:f>
              <c:numCache>
                <c:formatCode>0.00</c:formatCode>
                <c:ptCount val="2"/>
                <c:pt idx="0">
                  <c:v>1.3717421124828533</c:v>
                </c:pt>
                <c:pt idx="1">
                  <c:v>1000</c:v>
                </c:pt>
              </c:numCache>
            </c:numRef>
          </c:xVal>
          <c:yVal>
            <c:numRef>
              <c:f>Calculations!$AM$64:$AN$64</c:f>
              <c:numCache>
                <c:formatCode>0.000</c:formatCode>
                <c:ptCount val="2"/>
                <c:pt idx="0">
                  <c:v>1.0500000000000001E-2</c:v>
                </c:pt>
                <c:pt idx="1">
                  <c:v>1.0500000000000001E-2</c:v>
                </c:pt>
              </c:numCache>
            </c:numRef>
          </c:yVal>
          <c:smooth val="0"/>
          <c:extLst>
            <c:ext xmlns:c16="http://schemas.microsoft.com/office/drawing/2014/chart" uri="{C3380CC4-5D6E-409C-BE32-E72D297353CC}">
              <c16:uniqueId val="{00000005-C4F3-4D8A-ADC5-FE8A38615A9D}"/>
            </c:ext>
          </c:extLst>
        </c:ser>
        <c:ser>
          <c:idx val="4"/>
          <c:order val="6"/>
          <c:tx>
            <c:v>Background 1 +</c:v>
          </c:tx>
          <c:spPr>
            <a:ln w="9525">
              <a:solidFill>
                <a:schemeClr val="tx2"/>
              </a:solidFill>
              <a:prstDash val="dash"/>
            </a:ln>
          </c:spPr>
          <c:marker>
            <c:symbol val="none"/>
          </c:marker>
          <c:xVal>
            <c:numRef>
              <c:f>Calculations!$AM$62:$AN$62</c:f>
              <c:numCache>
                <c:formatCode>0.00</c:formatCode>
                <c:ptCount val="2"/>
                <c:pt idx="0">
                  <c:v>1.3717421124828533</c:v>
                </c:pt>
                <c:pt idx="1">
                  <c:v>1000</c:v>
                </c:pt>
              </c:numCache>
            </c:numRef>
          </c:xVal>
          <c:yVal>
            <c:numRef>
              <c:f>Calculations!$AM$65:$AN$65</c:f>
              <c:numCache>
                <c:formatCode>0.000</c:formatCode>
                <c:ptCount val="2"/>
                <c:pt idx="0">
                  <c:v>1.4500000000000001E-2</c:v>
                </c:pt>
                <c:pt idx="1">
                  <c:v>1.4500000000000001E-2</c:v>
                </c:pt>
              </c:numCache>
            </c:numRef>
          </c:yVal>
          <c:smooth val="0"/>
          <c:extLst>
            <c:ext xmlns:c16="http://schemas.microsoft.com/office/drawing/2014/chart" uri="{C3380CC4-5D6E-409C-BE32-E72D297353CC}">
              <c16:uniqueId val="{00000006-C4F3-4D8A-ADC5-FE8A38615A9D}"/>
            </c:ext>
          </c:extLst>
        </c:ser>
        <c:ser>
          <c:idx val="6"/>
          <c:order val="7"/>
          <c:tx>
            <c:v>5PL Curve 2</c:v>
          </c:tx>
          <c:spPr>
            <a:ln w="9525">
              <a:solidFill>
                <a:srgbClr val="C0504D"/>
              </a:solidFill>
            </a:ln>
          </c:spPr>
          <c:marker>
            <c:symbol val="none"/>
          </c:marker>
          <c:xVal>
            <c:numRef>
              <c:f>Calculations!$AD$63:$AD$88</c:f>
              <c:numCache>
                <c:formatCode>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Calculations!$AE$63:$AE$88</c:f>
              <c:numCache>
                <c:formatCode>0.000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0"/>
          <c:extLst>
            <c:ext xmlns:c16="http://schemas.microsoft.com/office/drawing/2014/chart" uri="{C3380CC4-5D6E-409C-BE32-E72D297353CC}">
              <c16:uniqueId val="{00000007-C4F3-4D8A-ADC5-FE8A38615A9D}"/>
            </c:ext>
          </c:extLst>
        </c:ser>
        <c:ser>
          <c:idx val="7"/>
          <c:order val="8"/>
          <c:tx>
            <c:v>Background 2</c:v>
          </c:tx>
          <c:spPr>
            <a:ln w="19050">
              <a:solidFill>
                <a:srgbClr val="C0504D"/>
              </a:solidFill>
              <a:prstDash val="sysDot"/>
            </a:ln>
          </c:spPr>
          <c:marker>
            <c:symbol val="none"/>
          </c:marker>
          <c:xVal>
            <c:numRef>
              <c:f>Calculations!$AM$66:$AN$66</c:f>
              <c:numCache>
                <c:formatCode>0.00</c:formatCode>
                <c:ptCount val="2"/>
                <c:pt idx="0">
                  <c:v>#N/A</c:v>
                </c:pt>
                <c:pt idx="1">
                  <c:v>#N/A</c:v>
                </c:pt>
              </c:numCache>
            </c:numRef>
          </c:xVal>
          <c:yVal>
            <c:numRef>
              <c:f>Calculations!$AM$67:$AN$67</c:f>
              <c:numCache>
                <c:formatCode>0.000</c:formatCode>
                <c:ptCount val="2"/>
                <c:pt idx="0" formatCode="0.00">
                  <c:v>#N/A</c:v>
                </c:pt>
                <c:pt idx="1">
                  <c:v>#N/A</c:v>
                </c:pt>
              </c:numCache>
            </c:numRef>
          </c:yVal>
          <c:smooth val="0"/>
          <c:extLst>
            <c:ext xmlns:c16="http://schemas.microsoft.com/office/drawing/2014/chart" uri="{C3380CC4-5D6E-409C-BE32-E72D297353CC}">
              <c16:uniqueId val="{00000008-C4F3-4D8A-ADC5-FE8A38615A9D}"/>
            </c:ext>
          </c:extLst>
        </c:ser>
        <c:ser>
          <c:idx val="8"/>
          <c:order val="9"/>
          <c:tx>
            <c:v>Background 2-</c:v>
          </c:tx>
          <c:spPr>
            <a:ln w="9525">
              <a:solidFill>
                <a:srgbClr val="C0504D"/>
              </a:solidFill>
              <a:prstDash val="dash"/>
            </a:ln>
          </c:spPr>
          <c:marker>
            <c:symbol val="none"/>
          </c:marker>
          <c:xVal>
            <c:numRef>
              <c:f>Calculations!$AM$66:$AN$66</c:f>
              <c:numCache>
                <c:formatCode>0.00</c:formatCode>
                <c:ptCount val="2"/>
                <c:pt idx="0">
                  <c:v>#N/A</c:v>
                </c:pt>
                <c:pt idx="1">
                  <c:v>#N/A</c:v>
                </c:pt>
              </c:numCache>
            </c:numRef>
          </c:xVal>
          <c:yVal>
            <c:numRef>
              <c:f>Calculations!$AM$68:$AN$68</c:f>
              <c:numCache>
                <c:formatCode>0.000</c:formatCode>
                <c:ptCount val="2"/>
                <c:pt idx="0">
                  <c:v>#N/A</c:v>
                </c:pt>
                <c:pt idx="1">
                  <c:v>#N/A</c:v>
                </c:pt>
              </c:numCache>
            </c:numRef>
          </c:yVal>
          <c:smooth val="0"/>
          <c:extLst>
            <c:ext xmlns:c16="http://schemas.microsoft.com/office/drawing/2014/chart" uri="{C3380CC4-5D6E-409C-BE32-E72D297353CC}">
              <c16:uniqueId val="{00000009-C4F3-4D8A-ADC5-FE8A38615A9D}"/>
            </c:ext>
          </c:extLst>
        </c:ser>
        <c:ser>
          <c:idx val="9"/>
          <c:order val="10"/>
          <c:tx>
            <c:v>Background 2+</c:v>
          </c:tx>
          <c:spPr>
            <a:ln w="9525">
              <a:solidFill>
                <a:srgbClr val="C0504D"/>
              </a:solidFill>
              <a:prstDash val="dash"/>
            </a:ln>
          </c:spPr>
          <c:marker>
            <c:symbol val="none"/>
          </c:marker>
          <c:xVal>
            <c:numRef>
              <c:f>Calculations!$AM$66:$AN$66</c:f>
              <c:numCache>
                <c:formatCode>0.00</c:formatCode>
                <c:ptCount val="2"/>
                <c:pt idx="0">
                  <c:v>#N/A</c:v>
                </c:pt>
                <c:pt idx="1">
                  <c:v>#N/A</c:v>
                </c:pt>
              </c:numCache>
            </c:numRef>
          </c:xVal>
          <c:yVal>
            <c:numRef>
              <c:f>Calculations!$AM$69:$AN$69</c:f>
              <c:numCache>
                <c:formatCode>0.000</c:formatCode>
                <c:ptCount val="2"/>
                <c:pt idx="0">
                  <c:v>#N/A</c:v>
                </c:pt>
                <c:pt idx="1">
                  <c:v>#N/A</c:v>
                </c:pt>
              </c:numCache>
            </c:numRef>
          </c:yVal>
          <c:smooth val="0"/>
          <c:extLst>
            <c:ext xmlns:c16="http://schemas.microsoft.com/office/drawing/2014/chart" uri="{C3380CC4-5D6E-409C-BE32-E72D297353CC}">
              <c16:uniqueId val="{0000000A-C4F3-4D8A-ADC5-FE8A38615A9D}"/>
            </c:ext>
          </c:extLst>
        </c:ser>
        <c:ser>
          <c:idx val="11"/>
          <c:order val="11"/>
          <c:tx>
            <c:v>Background 3</c:v>
          </c:tx>
          <c:spPr>
            <a:ln w="19050">
              <a:solidFill>
                <a:schemeClr val="accent3">
                  <a:lumMod val="50000"/>
                </a:schemeClr>
              </a:solidFill>
              <a:prstDash val="sysDot"/>
            </a:ln>
          </c:spPr>
          <c:marker>
            <c:symbol val="none"/>
          </c:marker>
          <c:xVal>
            <c:numRef>
              <c:f>Calculations!$AM$70:$AN$70</c:f>
              <c:numCache>
                <c:formatCode>0.00</c:formatCode>
                <c:ptCount val="2"/>
                <c:pt idx="0">
                  <c:v>#N/A</c:v>
                </c:pt>
                <c:pt idx="1">
                  <c:v>#N/A</c:v>
                </c:pt>
              </c:numCache>
            </c:numRef>
          </c:xVal>
          <c:yVal>
            <c:numRef>
              <c:f>Calculations!$AM$71:$AN$71</c:f>
              <c:numCache>
                <c:formatCode>0.000</c:formatCode>
                <c:ptCount val="2"/>
                <c:pt idx="0">
                  <c:v>#N/A</c:v>
                </c:pt>
                <c:pt idx="1">
                  <c:v>#N/A</c:v>
                </c:pt>
              </c:numCache>
            </c:numRef>
          </c:yVal>
          <c:smooth val="0"/>
          <c:extLst>
            <c:ext xmlns:c16="http://schemas.microsoft.com/office/drawing/2014/chart" uri="{C3380CC4-5D6E-409C-BE32-E72D297353CC}">
              <c16:uniqueId val="{0000000B-C4F3-4D8A-ADC5-FE8A38615A9D}"/>
            </c:ext>
          </c:extLst>
        </c:ser>
        <c:ser>
          <c:idx val="12"/>
          <c:order val="12"/>
          <c:tx>
            <c:v>Background 3-</c:v>
          </c:tx>
          <c:spPr>
            <a:ln w="9525">
              <a:solidFill>
                <a:srgbClr val="9BBB59">
                  <a:lumMod val="50000"/>
                </a:srgbClr>
              </a:solidFill>
              <a:prstDash val="dash"/>
            </a:ln>
          </c:spPr>
          <c:marker>
            <c:symbol val="none"/>
          </c:marker>
          <c:xVal>
            <c:numRef>
              <c:f>Calculations!$AM$70:$AN$70</c:f>
              <c:numCache>
                <c:formatCode>0.00</c:formatCode>
                <c:ptCount val="2"/>
                <c:pt idx="0">
                  <c:v>#N/A</c:v>
                </c:pt>
                <c:pt idx="1">
                  <c:v>#N/A</c:v>
                </c:pt>
              </c:numCache>
            </c:numRef>
          </c:xVal>
          <c:yVal>
            <c:numRef>
              <c:f>Calculations!$AM$72:$AN$72</c:f>
              <c:numCache>
                <c:formatCode>0.000</c:formatCode>
                <c:ptCount val="2"/>
                <c:pt idx="0">
                  <c:v>#N/A</c:v>
                </c:pt>
                <c:pt idx="1">
                  <c:v>#N/A</c:v>
                </c:pt>
              </c:numCache>
            </c:numRef>
          </c:yVal>
          <c:smooth val="0"/>
          <c:extLst>
            <c:ext xmlns:c16="http://schemas.microsoft.com/office/drawing/2014/chart" uri="{C3380CC4-5D6E-409C-BE32-E72D297353CC}">
              <c16:uniqueId val="{0000000C-C4F3-4D8A-ADC5-FE8A38615A9D}"/>
            </c:ext>
          </c:extLst>
        </c:ser>
        <c:ser>
          <c:idx val="13"/>
          <c:order val="13"/>
          <c:tx>
            <c:v>Background 3+</c:v>
          </c:tx>
          <c:spPr>
            <a:ln w="9525">
              <a:solidFill>
                <a:srgbClr val="9BBB59">
                  <a:lumMod val="50000"/>
                </a:srgbClr>
              </a:solidFill>
              <a:prstDash val="dash"/>
            </a:ln>
          </c:spPr>
          <c:marker>
            <c:symbol val="none"/>
          </c:marker>
          <c:xVal>
            <c:numRef>
              <c:f>Calculations!$AM$70:$AN$70</c:f>
              <c:numCache>
                <c:formatCode>0.00</c:formatCode>
                <c:ptCount val="2"/>
                <c:pt idx="0">
                  <c:v>#N/A</c:v>
                </c:pt>
                <c:pt idx="1">
                  <c:v>#N/A</c:v>
                </c:pt>
              </c:numCache>
            </c:numRef>
          </c:xVal>
          <c:yVal>
            <c:numRef>
              <c:f>Calculations!$AM$73:$AN$73</c:f>
              <c:numCache>
                <c:formatCode>0.000</c:formatCode>
                <c:ptCount val="2"/>
                <c:pt idx="0">
                  <c:v>#N/A</c:v>
                </c:pt>
                <c:pt idx="1">
                  <c:v>#N/A</c:v>
                </c:pt>
              </c:numCache>
            </c:numRef>
          </c:yVal>
          <c:smooth val="0"/>
          <c:extLst>
            <c:ext xmlns:c16="http://schemas.microsoft.com/office/drawing/2014/chart" uri="{C3380CC4-5D6E-409C-BE32-E72D297353CC}">
              <c16:uniqueId val="{0000000D-C4F3-4D8A-ADC5-FE8A38615A9D}"/>
            </c:ext>
          </c:extLst>
        </c:ser>
        <c:ser>
          <c:idx val="14"/>
          <c:order val="14"/>
          <c:tx>
            <c:v>5PL Curve 3</c:v>
          </c:tx>
          <c:spPr>
            <a:ln w="9525">
              <a:solidFill>
                <a:srgbClr val="9BBB59">
                  <a:lumMod val="50000"/>
                </a:srgbClr>
              </a:solidFill>
            </a:ln>
          </c:spPr>
          <c:marker>
            <c:symbol val="none"/>
          </c:marker>
          <c:xVal>
            <c:numRef>
              <c:f>Calculations!$AF$63:$AF$88</c:f>
              <c:numCache>
                <c:formatCode>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Calculations!$AG$63:$AG$88</c:f>
              <c:numCache>
                <c:formatCode>0.000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0"/>
          <c:extLst>
            <c:ext xmlns:c16="http://schemas.microsoft.com/office/drawing/2014/chart" uri="{C3380CC4-5D6E-409C-BE32-E72D297353CC}">
              <c16:uniqueId val="{0000000E-C4F3-4D8A-ADC5-FE8A38615A9D}"/>
            </c:ext>
          </c:extLst>
        </c:ser>
        <c:ser>
          <c:idx val="15"/>
          <c:order val="15"/>
          <c:tx>
            <c:v>Spike Low</c:v>
          </c:tx>
          <c:spPr>
            <a:ln w="28575">
              <a:noFill/>
            </a:ln>
          </c:spPr>
          <c:marker>
            <c:symbol val="diamond"/>
            <c:size val="10"/>
            <c:spPr>
              <a:solidFill>
                <a:srgbClr val="FF0000"/>
              </a:solidFill>
              <a:ln>
                <a:solidFill>
                  <a:srgbClr val="FF0000"/>
                </a:solidFill>
              </a:ln>
            </c:spPr>
          </c:marker>
          <c:xVal>
            <c:numRef>
              <c:f>Report!$L$43</c:f>
              <c:numCache>
                <c:formatCode>0.00</c:formatCode>
                <c:ptCount val="1"/>
                <c:pt idx="0">
                  <c:v>12.264912161636683</c:v>
                </c:pt>
              </c:numCache>
            </c:numRef>
          </c:xVal>
          <c:yVal>
            <c:numRef>
              <c:f>Report!$K$43</c:f>
              <c:numCache>
                <c:formatCode>0.00</c:formatCode>
                <c:ptCount val="1"/>
                <c:pt idx="0">
                  <c:v>9.2374999999999985E-2</c:v>
                </c:pt>
              </c:numCache>
            </c:numRef>
          </c:yVal>
          <c:smooth val="0"/>
          <c:extLst>
            <c:ext xmlns:c16="http://schemas.microsoft.com/office/drawing/2014/chart" uri="{C3380CC4-5D6E-409C-BE32-E72D297353CC}">
              <c16:uniqueId val="{00000001-FB54-4D48-966A-675B727F8BA8}"/>
            </c:ext>
          </c:extLst>
        </c:ser>
        <c:ser>
          <c:idx val="16"/>
          <c:order val="16"/>
          <c:tx>
            <c:v>Spike High</c:v>
          </c:tx>
          <c:spPr>
            <a:ln w="28575">
              <a:noFill/>
            </a:ln>
          </c:spPr>
          <c:marker>
            <c:symbol val="triangle"/>
            <c:size val="10"/>
            <c:spPr>
              <a:solidFill>
                <a:srgbClr val="FF0000"/>
              </a:solidFill>
              <a:ln>
                <a:solidFill>
                  <a:srgbClr val="FF0000"/>
                </a:solidFill>
              </a:ln>
            </c:spPr>
          </c:marker>
          <c:xVal>
            <c:numRef>
              <c:f>Report!$L$42</c:f>
              <c:numCache>
                <c:formatCode>0.00</c:formatCode>
                <c:ptCount val="1"/>
                <c:pt idx="0">
                  <c:v>318.01720578415024</c:v>
                </c:pt>
              </c:numCache>
            </c:numRef>
          </c:xVal>
          <c:yVal>
            <c:numRef>
              <c:f>Report!$K$42</c:f>
              <c:numCache>
                <c:formatCode>0.00</c:formatCode>
                <c:ptCount val="1"/>
                <c:pt idx="0">
                  <c:v>1.7817499999999999</c:v>
                </c:pt>
              </c:numCache>
            </c:numRef>
          </c:yVal>
          <c:smooth val="0"/>
          <c:extLst>
            <c:ext xmlns:c16="http://schemas.microsoft.com/office/drawing/2014/chart" uri="{C3380CC4-5D6E-409C-BE32-E72D297353CC}">
              <c16:uniqueId val="{00000002-FB54-4D48-966A-675B727F8BA8}"/>
            </c:ext>
          </c:extLst>
        </c:ser>
        <c:ser>
          <c:idx val="17"/>
          <c:order val="17"/>
          <c:tx>
            <c:v>Process Control</c:v>
          </c:tx>
          <c:spPr>
            <a:ln w="28575">
              <a:noFill/>
            </a:ln>
          </c:spPr>
          <c:marker>
            <c:symbol val="square"/>
            <c:size val="10"/>
            <c:spPr>
              <a:solidFill>
                <a:srgbClr val="FF0000"/>
              </a:solidFill>
              <a:ln>
                <a:solidFill>
                  <a:srgbClr val="FF0000"/>
                </a:solidFill>
              </a:ln>
            </c:spPr>
          </c:marker>
          <c:xVal>
            <c:numRef>
              <c:f>Report!$L$41</c:f>
              <c:numCache>
                <c:formatCode>0.00</c:formatCode>
                <c:ptCount val="1"/>
                <c:pt idx="0">
                  <c:v>53.776716416420612</c:v>
                </c:pt>
              </c:numCache>
            </c:numRef>
          </c:xVal>
          <c:yVal>
            <c:numRef>
              <c:f>Report!$K$41</c:f>
              <c:numCache>
                <c:formatCode>0.00</c:formatCode>
                <c:ptCount val="1"/>
                <c:pt idx="0">
                  <c:v>0.37887500000000007</c:v>
                </c:pt>
              </c:numCache>
            </c:numRef>
          </c:yVal>
          <c:smooth val="0"/>
          <c:extLst>
            <c:ext xmlns:c16="http://schemas.microsoft.com/office/drawing/2014/chart" uri="{C3380CC4-5D6E-409C-BE32-E72D297353CC}">
              <c16:uniqueId val="{00000003-FB54-4D48-966A-675B727F8BA8}"/>
            </c:ext>
          </c:extLst>
        </c:ser>
        <c:ser>
          <c:idx val="18"/>
          <c:order val="18"/>
          <c:tx>
            <c:v>Samples</c:v>
          </c:tx>
          <c:spPr>
            <a:ln w="28575">
              <a:noFill/>
            </a:ln>
          </c:spPr>
          <c:marker>
            <c:symbol val="circle"/>
            <c:size val="7"/>
            <c:spPr>
              <a:solidFill>
                <a:srgbClr val="00FF00"/>
              </a:solidFill>
              <a:ln w="19050">
                <a:noFill/>
              </a:ln>
            </c:spPr>
          </c:marker>
          <c:xVal>
            <c:numRef>
              <c:f>Report!$L$44:$L$207</c:f>
              <c:numCache>
                <c:formatCode>0.00</c:formatCode>
                <c:ptCount val="164"/>
                <c:pt idx="0">
                  <c:v>78.131128755933545</c:v>
                </c:pt>
                <c:pt idx="1">
                  <c:v>72.713111211219854</c:v>
                </c:pt>
                <c:pt idx="2">
                  <c:v>32.788123927490822</c:v>
                </c:pt>
                <c:pt idx="3">
                  <c:v>77.387291819562932</c:v>
                </c:pt>
                <c:pt idx="4">
                  <c:v>71.825465239015585</c:v>
                </c:pt>
                <c:pt idx="5">
                  <c:v>71.086410667312975</c:v>
                </c:pt>
                <c:pt idx="6">
                  <c:v>73.231401584212392</c:v>
                </c:pt>
                <c:pt idx="7">
                  <c:v>75.083901453936477</c:v>
                </c:pt>
                <c:pt idx="8">
                  <c:v>75.009146844177081</c:v>
                </c:pt>
                <c:pt idx="9">
                  <c:v>77.23883434079535</c:v>
                </c:pt>
                <c:pt idx="10">
                  <c:v>81.114465562616061</c:v>
                </c:pt>
                <c:pt idx="11">
                  <c:v>76.568442607202201</c:v>
                </c:pt>
                <c:pt idx="12">
                  <c:v>80.963553470979321</c:v>
                </c:pt>
                <c:pt idx="13">
                  <c:v>77.906766928943853</c:v>
                </c:pt>
                <c:pt idx="14">
                  <c:v>77.683679707260865</c:v>
                </c:pt>
                <c:pt idx="15">
                  <c:v>75.305887466554282</c:v>
                </c:pt>
                <c:pt idx="16">
                  <c:v>77.832260785874524</c:v>
                </c:pt>
                <c:pt idx="17">
                  <c:v>75.973902792519624</c:v>
                </c:pt>
                <c:pt idx="18">
                  <c:v>64.16996651278842</c:v>
                </c:pt>
                <c:pt idx="19">
                  <c:v>60.658087504676878</c:v>
                </c:pt>
                <c:pt idx="20">
                  <c:v>56.052060903425662</c:v>
                </c:pt>
                <c:pt idx="21">
                  <c:v>65.564733513664322</c:v>
                </c:pt>
                <c:pt idx="22">
                  <c:v>66.298300195355367</c:v>
                </c:pt>
                <c:pt idx="23">
                  <c:v>58.020806542169154</c:v>
                </c:pt>
                <c:pt idx="24">
                  <c:v>62.042146460910764</c:v>
                </c:pt>
                <c:pt idx="25">
                  <c:v>60.359431189564923</c:v>
                </c:pt>
                <c:pt idx="26">
                  <c:v>68.730101684874995</c:v>
                </c:pt>
                <c:pt idx="27">
                  <c:v>65.051432886104806</c:v>
                </c:pt>
                <c:pt idx="28">
                  <c:v>58.824193182395007</c:v>
                </c:pt>
                <c:pt idx="29">
                  <c:v>66.077172118068162</c:v>
                </c:pt>
                <c:pt idx="30">
                  <c:v>66.665292929343551</c:v>
                </c:pt>
                <c:pt idx="31">
                  <c:v>63.874095581866904</c:v>
                </c:pt>
                <c:pt idx="32">
                  <c:v>64.757088142917638</c:v>
                </c:pt>
                <c:pt idx="33">
                  <c:v>63.800857754548488</c:v>
                </c:pt>
                <c:pt idx="34">
                  <c:v>67.921452393509071</c:v>
                </c:pt>
                <c:pt idx="35">
                  <c:v>67.62193317282842</c:v>
                </c:pt>
                <c:pt idx="36">
                  <c:v>31.487814251589974</c:v>
                </c:pt>
                <c:pt idx="37">
                  <c:v>31.704538216210551</c:v>
                </c:pt>
                <c:pt idx="38">
                  <c:v>30.693179745285462</c:v>
                </c:pt>
                <c:pt idx="39">
                  <c:v>29.176011753045067</c:v>
                </c:pt>
                <c:pt idx="40">
                  <c:v>30.404191652999607</c:v>
                </c:pt>
                <c:pt idx="41">
                  <c:v>30.404216318560273</c:v>
                </c:pt>
                <c:pt idx="42">
                  <c:v>33.727271334481514</c:v>
                </c:pt>
                <c:pt idx="43">
                  <c:v>31.198866624827438</c:v>
                </c:pt>
                <c:pt idx="44">
                  <c:v>31.776768890523051</c:v>
                </c:pt>
                <c:pt idx="45">
                  <c:v>30.187485534239407</c:v>
                </c:pt>
                <c:pt idx="46">
                  <c:v>31.487822918657422</c:v>
                </c:pt>
                <c:pt idx="47">
                  <c:v>27.803138732710387</c:v>
                </c:pt>
                <c:pt idx="48">
                  <c:v>30.837667809877111</c:v>
                </c:pt>
                <c:pt idx="49">
                  <c:v>30.476452117950739</c:v>
                </c:pt>
                <c:pt idx="50">
                  <c:v>33.510512484594855</c:v>
                </c:pt>
                <c:pt idx="51">
                  <c:v>31.632299927199327</c:v>
                </c:pt>
                <c:pt idx="52">
                  <c:v>31.560061513911869</c:v>
                </c:pt>
                <c:pt idx="53">
                  <c:v>32.499159789232294</c:v>
                </c:pt>
                <c:pt idx="54">
                  <c:v>36.906368641087511</c:v>
                </c:pt>
                <c:pt idx="55">
                  <c:v>37.773656874298041</c:v>
                </c:pt>
                <c:pt idx="56">
                  <c:v>29.320512510503672</c:v>
                </c:pt>
                <c:pt idx="57">
                  <c:v>36.545043618637948</c:v>
                </c:pt>
                <c:pt idx="58">
                  <c:v>40.666208873220548</c:v>
                </c:pt>
                <c:pt idx="59">
                  <c:v>36.256011731344046</c:v>
                </c:pt>
                <c:pt idx="60">
                  <c:v>39.002636547460021</c:v>
                </c:pt>
                <c:pt idx="61">
                  <c:v>35.966985432581879</c:v>
                </c:pt>
                <c:pt idx="62">
                  <c:v>37.340018521932379</c:v>
                </c:pt>
                <c:pt idx="63">
                  <c:v>35.677971511230893</c:v>
                </c:pt>
                <c:pt idx="64">
                  <c:v>33.221578275851328</c:v>
                </c:pt>
                <c:pt idx="65">
                  <c:v>35.605695050041106</c:v>
                </c:pt>
                <c:pt idx="66">
                  <c:v>41.750952992609228</c:v>
                </c:pt>
                <c:pt idx="67">
                  <c:v>39.43641651036468</c:v>
                </c:pt>
                <c:pt idx="68">
                  <c:v>37.629111184054203</c:v>
                </c:pt>
                <c:pt idx="69">
                  <c:v>37.990637913923877</c:v>
                </c:pt>
                <c:pt idx="70">
                  <c:v>45.021206015089085</c:v>
                </c:pt>
                <c:pt idx="71">
                  <c:v>37.412318055782862</c:v>
                </c:pt>
                <c:pt idx="72">
                  <c:v>77.014079287240477</c:v>
                </c:pt>
                <c:pt idx="73">
                  <c:v>81.562114307151887</c:v>
                </c:pt>
                <c:pt idx="74">
                  <c:v>96.904705681010796</c:v>
                </c:pt>
                <c:pt idx="75">
                  <c:v>90.062715775517347</c:v>
                </c:pt>
                <c:pt idx="76">
                  <c:v>85.909134027947204</c:v>
                </c:pt>
                <c:pt idx="77">
                  <c:v>80.142281391150675</c:v>
                </c:pt>
                <c:pt idx="78">
                  <c:v>88.415758780326627</c:v>
                </c:pt>
                <c:pt idx="79">
                  <c:v>77.548362598375746</c:v>
                </c:pt>
                <c:pt idx="80">
                  <c:v>85.234345677383089</c:v>
                </c:pt>
                <c:pt idx="81">
                  <c:v>81.715661572757796</c:v>
                </c:pt>
                <c:pt idx="82">
                  <c:v>91.420626244927348</c:v>
                </c:pt>
                <c:pt idx="83">
                  <c:v>59.700844111623461</c:v>
                </c:pt>
                <c:pt idx="84">
                  <c:v>85.536729655074907</c:v>
                </c:pt>
                <c:pt idx="85">
                  <c:v>87.341483353291437</c:v>
                </c:pt>
                <c:pt idx="86">
                  <c:v>88.927229332886029</c:v>
                </c:pt>
                <c:pt idx="87">
                  <c:v>86.134936949761311</c:v>
                </c:pt>
                <c:pt idx="88">
                  <c:v>86.662966478327746</c:v>
                </c:pt>
                <c:pt idx="89">
                  <c:v>87.489769178439161</c:v>
                </c:pt>
                <c:pt idx="90">
                  <c:v>72.270558331941686</c:v>
                </c:pt>
                <c:pt idx="91">
                  <c:v>75.753117808695606</c:v>
                </c:pt>
                <c:pt idx="92">
                  <c:v>61.751424385351058</c:v>
                </c:pt>
                <c:pt idx="93">
                  <c:v>70.643463307205593</c:v>
                </c:pt>
                <c:pt idx="94">
                  <c:v>64.608581037661111</c:v>
                </c:pt>
                <c:pt idx="95">
                  <c:v>64.534947280292187</c:v>
                </c:pt>
                <c:pt idx="96">
                  <c:v>32.932646997041225</c:v>
                </c:pt>
                <c:pt idx="97">
                  <c:v>66.522227669147242</c:v>
                </c:pt>
                <c:pt idx="98">
                  <c:v>33.582760037428997</c:v>
                </c:pt>
                <c:pt idx="99">
                  <c:v>32.282445545878971</c:v>
                </c:pt>
                <c:pt idx="100">
                  <c:v>75.753444107555936</c:v>
                </c:pt>
                <c:pt idx="101">
                  <c:v>31.271099557367023</c:v>
                </c:pt>
                <c:pt idx="102">
                  <c:v>37.268268601929421</c:v>
                </c:pt>
                <c:pt idx="103">
                  <c:v>40.2319093183755</c:v>
                </c:pt>
                <c:pt idx="104">
                  <c:v>29.46496863633903</c:v>
                </c:pt>
                <c:pt idx="105">
                  <c:v>36.761988509901094</c:v>
                </c:pt>
                <c:pt idx="106">
                  <c:v>90.218649797638165</c:v>
                </c:pt>
                <c:pt idx="107">
                  <c:v>93.931846623223649</c:v>
                </c:pt>
                <c:pt idx="108">
                  <c:v>81.562114307151887</c:v>
                </c:pt>
                <c:pt idx="109">
                  <c:v>70.49627361871876</c:v>
                </c:pt>
                <c:pt idx="110">
                  <c:v>24.622082464451246</c:v>
                </c:pt>
                <c:pt idx="111">
                  <c:v>0</c:v>
                </c:pt>
                <c:pt idx="112">
                  <c:v>0</c:v>
                </c:pt>
                <c:pt idx="113">
                  <c:v>0</c:v>
                </c:pt>
                <c:pt idx="114">
                  <c:v>0</c:v>
                </c:pt>
                <c:pt idx="115">
                  <c:v>0</c:v>
                </c:pt>
                <c:pt idx="116">
                  <c:v>0</c:v>
                </c:pt>
                <c:pt idx="117">
                  <c:v>0</c:v>
                </c:pt>
                <c:pt idx="118">
                  <c:v>0</c:v>
                </c:pt>
                <c:pt idx="119">
                  <c:v>0</c:v>
                </c:pt>
                <c:pt idx="120">
                  <c:v>0</c:v>
                </c:pt>
                <c:pt idx="121">
                  <c:v>0</c:v>
                </c:pt>
                <c:pt idx="122">
                  <c:v>2.6196405224279276</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1.8659192735965175</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numCache>
            </c:numRef>
          </c:xVal>
          <c:yVal>
            <c:numRef>
              <c:f>Report!$K$44:$K$207</c:f>
              <c:numCache>
                <c:formatCode>0.00</c:formatCode>
                <c:ptCount val="164"/>
                <c:pt idx="0">
                  <c:v>0.54449999999999998</c:v>
                </c:pt>
                <c:pt idx="1">
                  <c:v>0.50800000000000001</c:v>
                </c:pt>
                <c:pt idx="2">
                  <c:v>0.23400000000000004</c:v>
                </c:pt>
                <c:pt idx="3">
                  <c:v>0.53949999999999987</c:v>
                </c:pt>
                <c:pt idx="4">
                  <c:v>0.502</c:v>
                </c:pt>
                <c:pt idx="5">
                  <c:v>0.49700000000000005</c:v>
                </c:pt>
                <c:pt idx="6">
                  <c:v>0.51149999999999995</c:v>
                </c:pt>
                <c:pt idx="7">
                  <c:v>0.52399999999999991</c:v>
                </c:pt>
                <c:pt idx="8">
                  <c:v>0.52349999999999985</c:v>
                </c:pt>
                <c:pt idx="9">
                  <c:v>0.53849999999999998</c:v>
                </c:pt>
                <c:pt idx="10">
                  <c:v>0.5645</c:v>
                </c:pt>
                <c:pt idx="11">
                  <c:v>0.53399999999999992</c:v>
                </c:pt>
                <c:pt idx="12">
                  <c:v>0.56349999999999989</c:v>
                </c:pt>
                <c:pt idx="13">
                  <c:v>0.54299999999999993</c:v>
                </c:pt>
                <c:pt idx="14">
                  <c:v>0.54149999999999987</c:v>
                </c:pt>
                <c:pt idx="15">
                  <c:v>0.52549999999999986</c:v>
                </c:pt>
                <c:pt idx="16">
                  <c:v>0.54249999999999998</c:v>
                </c:pt>
                <c:pt idx="17">
                  <c:v>0.52999999999999992</c:v>
                </c:pt>
                <c:pt idx="18">
                  <c:v>0.45</c:v>
                </c:pt>
                <c:pt idx="19">
                  <c:v>0.42600000000000005</c:v>
                </c:pt>
                <c:pt idx="20">
                  <c:v>0.39450000000000002</c:v>
                </c:pt>
                <c:pt idx="21">
                  <c:v>0.45950000000000002</c:v>
                </c:pt>
                <c:pt idx="22">
                  <c:v>0.46450000000000002</c:v>
                </c:pt>
                <c:pt idx="23">
                  <c:v>0.40800000000000003</c:v>
                </c:pt>
                <c:pt idx="24">
                  <c:v>0.4355</c:v>
                </c:pt>
                <c:pt idx="25">
                  <c:v>0.42400000000000004</c:v>
                </c:pt>
                <c:pt idx="26">
                  <c:v>0.48099999999999998</c:v>
                </c:pt>
                <c:pt idx="27">
                  <c:v>0.45600000000000002</c:v>
                </c:pt>
                <c:pt idx="28">
                  <c:v>0.41349999999999998</c:v>
                </c:pt>
                <c:pt idx="29">
                  <c:v>0.46300000000000002</c:v>
                </c:pt>
                <c:pt idx="30">
                  <c:v>0.46700000000000003</c:v>
                </c:pt>
                <c:pt idx="31">
                  <c:v>0.44800000000000001</c:v>
                </c:pt>
                <c:pt idx="32">
                  <c:v>0.45400000000000001</c:v>
                </c:pt>
                <c:pt idx="33">
                  <c:v>0.44750000000000001</c:v>
                </c:pt>
                <c:pt idx="34">
                  <c:v>0.47550000000000003</c:v>
                </c:pt>
                <c:pt idx="35">
                  <c:v>0.47350000000000003</c:v>
                </c:pt>
                <c:pt idx="36">
                  <c:v>0.22500000000000001</c:v>
                </c:pt>
                <c:pt idx="37">
                  <c:v>0.22650000000000001</c:v>
                </c:pt>
                <c:pt idx="38">
                  <c:v>0.21950000000000003</c:v>
                </c:pt>
                <c:pt idx="39">
                  <c:v>0.20899999999999999</c:v>
                </c:pt>
                <c:pt idx="40">
                  <c:v>0.21750000000000003</c:v>
                </c:pt>
                <c:pt idx="41">
                  <c:v>0.21750000000000003</c:v>
                </c:pt>
                <c:pt idx="42">
                  <c:v>0.24049999999999999</c:v>
                </c:pt>
                <c:pt idx="43">
                  <c:v>0.22300000000000003</c:v>
                </c:pt>
                <c:pt idx="44">
                  <c:v>0.22699999999999998</c:v>
                </c:pt>
                <c:pt idx="45">
                  <c:v>0.21600000000000003</c:v>
                </c:pt>
                <c:pt idx="46">
                  <c:v>0.22500000000000001</c:v>
                </c:pt>
                <c:pt idx="47">
                  <c:v>0.19950000000000001</c:v>
                </c:pt>
                <c:pt idx="48">
                  <c:v>0.22050000000000003</c:v>
                </c:pt>
                <c:pt idx="49">
                  <c:v>0.21800000000000003</c:v>
                </c:pt>
                <c:pt idx="50">
                  <c:v>0.23899999999999999</c:v>
                </c:pt>
                <c:pt idx="51">
                  <c:v>0.22600000000000003</c:v>
                </c:pt>
                <c:pt idx="52">
                  <c:v>0.22550000000000001</c:v>
                </c:pt>
                <c:pt idx="53">
                  <c:v>0.23200000000000001</c:v>
                </c:pt>
                <c:pt idx="54">
                  <c:v>0.26250000000000001</c:v>
                </c:pt>
                <c:pt idx="55">
                  <c:v>0.26850000000000002</c:v>
                </c:pt>
                <c:pt idx="56">
                  <c:v>0.21000000000000002</c:v>
                </c:pt>
                <c:pt idx="57">
                  <c:v>0.26</c:v>
                </c:pt>
                <c:pt idx="58">
                  <c:v>0.28849999999999998</c:v>
                </c:pt>
                <c:pt idx="59">
                  <c:v>0.25800000000000001</c:v>
                </c:pt>
                <c:pt idx="60">
                  <c:v>0.27700000000000002</c:v>
                </c:pt>
                <c:pt idx="61">
                  <c:v>0.25600000000000001</c:v>
                </c:pt>
                <c:pt idx="62">
                  <c:v>0.26550000000000001</c:v>
                </c:pt>
                <c:pt idx="63">
                  <c:v>0.254</c:v>
                </c:pt>
                <c:pt idx="64">
                  <c:v>0.23699999999999999</c:v>
                </c:pt>
                <c:pt idx="65">
                  <c:v>0.2535</c:v>
                </c:pt>
                <c:pt idx="66">
                  <c:v>0.29600000000000004</c:v>
                </c:pt>
                <c:pt idx="67">
                  <c:v>0.28000000000000003</c:v>
                </c:pt>
                <c:pt idx="68">
                  <c:v>0.26750000000000002</c:v>
                </c:pt>
                <c:pt idx="69">
                  <c:v>0.27</c:v>
                </c:pt>
                <c:pt idx="70">
                  <c:v>0.31850000000000001</c:v>
                </c:pt>
                <c:pt idx="71">
                  <c:v>0.26600000000000001</c:v>
                </c:pt>
                <c:pt idx="72">
                  <c:v>0.53699999999999992</c:v>
                </c:pt>
                <c:pt idx="73">
                  <c:v>0.56749999999999989</c:v>
                </c:pt>
                <c:pt idx="74">
                  <c:v>0.66900000000000004</c:v>
                </c:pt>
                <c:pt idx="75">
                  <c:v>0.62399999999999989</c:v>
                </c:pt>
                <c:pt idx="76">
                  <c:v>0.59650000000000003</c:v>
                </c:pt>
                <c:pt idx="77">
                  <c:v>0.55799999999999994</c:v>
                </c:pt>
                <c:pt idx="78">
                  <c:v>0.61299999999999999</c:v>
                </c:pt>
                <c:pt idx="79">
                  <c:v>0.54049999999999998</c:v>
                </c:pt>
                <c:pt idx="80">
                  <c:v>0.59199999999999997</c:v>
                </c:pt>
                <c:pt idx="81">
                  <c:v>0.56850000000000001</c:v>
                </c:pt>
                <c:pt idx="82">
                  <c:v>0.63300000000000001</c:v>
                </c:pt>
                <c:pt idx="83">
                  <c:v>0.41949999999999998</c:v>
                </c:pt>
                <c:pt idx="84">
                  <c:v>0.59399999999999997</c:v>
                </c:pt>
                <c:pt idx="85">
                  <c:v>0.60599999999999998</c:v>
                </c:pt>
                <c:pt idx="86">
                  <c:v>0.61650000000000005</c:v>
                </c:pt>
                <c:pt idx="87">
                  <c:v>0.59799999999999998</c:v>
                </c:pt>
                <c:pt idx="88">
                  <c:v>0.60149999999999992</c:v>
                </c:pt>
                <c:pt idx="89">
                  <c:v>0.60699999999999998</c:v>
                </c:pt>
                <c:pt idx="90">
                  <c:v>0.505</c:v>
                </c:pt>
                <c:pt idx="91">
                  <c:v>0.52849999999999997</c:v>
                </c:pt>
                <c:pt idx="92">
                  <c:v>0.4335</c:v>
                </c:pt>
                <c:pt idx="93">
                  <c:v>0.49400000000000005</c:v>
                </c:pt>
                <c:pt idx="94">
                  <c:v>0.45300000000000001</c:v>
                </c:pt>
                <c:pt idx="95">
                  <c:v>0.45250000000000001</c:v>
                </c:pt>
                <c:pt idx="96">
                  <c:v>0.23500000000000001</c:v>
                </c:pt>
                <c:pt idx="97">
                  <c:v>0.46600000000000003</c:v>
                </c:pt>
                <c:pt idx="98">
                  <c:v>0.23950000000000002</c:v>
                </c:pt>
                <c:pt idx="99">
                  <c:v>0.23050000000000004</c:v>
                </c:pt>
                <c:pt idx="100">
                  <c:v>0.52849999999999997</c:v>
                </c:pt>
                <c:pt idx="101">
                  <c:v>0.22350000000000003</c:v>
                </c:pt>
                <c:pt idx="102">
                  <c:v>0.26500000000000001</c:v>
                </c:pt>
                <c:pt idx="103">
                  <c:v>0.28549999999999998</c:v>
                </c:pt>
                <c:pt idx="104">
                  <c:v>0.21100000000000002</c:v>
                </c:pt>
                <c:pt idx="105">
                  <c:v>0.26150000000000001</c:v>
                </c:pt>
                <c:pt idx="106">
                  <c:v>0.625</c:v>
                </c:pt>
                <c:pt idx="107">
                  <c:v>0.64949999999999997</c:v>
                </c:pt>
                <c:pt idx="108">
                  <c:v>0.56749999999999989</c:v>
                </c:pt>
                <c:pt idx="109">
                  <c:v>0.49299999999999999</c:v>
                </c:pt>
                <c:pt idx="110">
                  <c:v>0.17749999999999999</c:v>
                </c:pt>
                <c:pt idx="111">
                  <c:v>1.0999999999999999E-2</c:v>
                </c:pt>
                <c:pt idx="112">
                  <c:v>1.2500000000000004E-2</c:v>
                </c:pt>
                <c:pt idx="113">
                  <c:v>1.2999999999999998E-2</c:v>
                </c:pt>
                <c:pt idx="114">
                  <c:v>1.2499999999999997E-2</c:v>
                </c:pt>
                <c:pt idx="115">
                  <c:v>7.9999999999999967E-3</c:v>
                </c:pt>
                <c:pt idx="116">
                  <c:v>8.0000000000000036E-3</c:v>
                </c:pt>
                <c:pt idx="117">
                  <c:v>9.0000000000000011E-3</c:v>
                </c:pt>
                <c:pt idx="118">
                  <c:v>1.0500000000000002E-2</c:v>
                </c:pt>
                <c:pt idx="119">
                  <c:v>8.0000000000000036E-3</c:v>
                </c:pt>
                <c:pt idx="120">
                  <c:v>9.5000000000000015E-3</c:v>
                </c:pt>
                <c:pt idx="121">
                  <c:v>1.15E-2</c:v>
                </c:pt>
                <c:pt idx="122">
                  <c:v>2.1500000000000002E-2</c:v>
                </c:pt>
                <c:pt idx="123">
                  <c:v>8.5000000000000006E-3</c:v>
                </c:pt>
                <c:pt idx="124">
                  <c:v>9.0000000000000011E-3</c:v>
                </c:pt>
                <c:pt idx="125">
                  <c:v>8.5000000000000006E-3</c:v>
                </c:pt>
                <c:pt idx="126">
                  <c:v>9.5000000000000015E-3</c:v>
                </c:pt>
                <c:pt idx="127">
                  <c:v>9.9999999999999985E-3</c:v>
                </c:pt>
                <c:pt idx="128">
                  <c:v>1.1500000000000003E-2</c:v>
                </c:pt>
                <c:pt idx="129">
                  <c:v>1.1000000000000003E-2</c:v>
                </c:pt>
                <c:pt idx="130">
                  <c:v>1.3500000000000009E-2</c:v>
                </c:pt>
                <c:pt idx="131">
                  <c:v>9.9999999999999985E-3</c:v>
                </c:pt>
                <c:pt idx="132">
                  <c:v>8.9999999999999976E-3</c:v>
                </c:pt>
                <c:pt idx="133">
                  <c:v>6.9999999999999993E-3</c:v>
                </c:pt>
                <c:pt idx="134">
                  <c:v>1.1000000000000006E-2</c:v>
                </c:pt>
                <c:pt idx="135">
                  <c:v>6.9999999999999993E-3</c:v>
                </c:pt>
                <c:pt idx="136">
                  <c:v>6.9999999999999993E-3</c:v>
                </c:pt>
                <c:pt idx="137">
                  <c:v>8.5000000000000006E-3</c:v>
                </c:pt>
                <c:pt idx="138">
                  <c:v>1.1000000000000003E-2</c:v>
                </c:pt>
                <c:pt idx="139">
                  <c:v>8.9999999999999976E-3</c:v>
                </c:pt>
                <c:pt idx="140">
                  <c:v>9.0000000000000011E-3</c:v>
                </c:pt>
                <c:pt idx="141">
                  <c:v>7.4999999999999997E-3</c:v>
                </c:pt>
                <c:pt idx="142">
                  <c:v>7.4999999999999997E-3</c:v>
                </c:pt>
                <c:pt idx="143">
                  <c:v>6.5000000000000023E-3</c:v>
                </c:pt>
                <c:pt idx="144">
                  <c:v>1.4999999999999996E-2</c:v>
                </c:pt>
                <c:pt idx="145">
                  <c:v>7.4999999999999997E-3</c:v>
                </c:pt>
                <c:pt idx="146">
                  <c:v>9.5000000000000015E-3</c:v>
                </c:pt>
                <c:pt idx="147">
                  <c:v>1.0000000000000002E-2</c:v>
                </c:pt>
                <c:pt idx="148">
                  <c:v>7.4999999999999997E-3</c:v>
                </c:pt>
                <c:pt idx="149">
                  <c:v>8.0000000000000002E-3</c:v>
                </c:pt>
                <c:pt idx="150">
                  <c:v>6.9999999999999958E-3</c:v>
                </c:pt>
                <c:pt idx="151">
                  <c:v>6.9999999999999993E-3</c:v>
                </c:pt>
                <c:pt idx="152">
                  <c:v>8.0000000000000002E-3</c:v>
                </c:pt>
                <c:pt idx="153">
                  <c:v>8.0000000000000002E-3</c:v>
                </c:pt>
                <c:pt idx="154">
                  <c:v>1.0500000000000002E-2</c:v>
                </c:pt>
                <c:pt idx="155">
                  <c:v>1.2000000000000004E-2</c:v>
                </c:pt>
                <c:pt idx="156">
                  <c:v>8.5000000000000006E-3</c:v>
                </c:pt>
                <c:pt idx="157">
                  <c:v>1.0499999999999999E-2</c:v>
                </c:pt>
                <c:pt idx="158">
                  <c:v>8.0000000000000036E-3</c:v>
                </c:pt>
                <c:pt idx="159">
                  <c:v>7.4999999999999963E-3</c:v>
                </c:pt>
                <c:pt idx="160">
                  <c:v>1.2000000000000004E-2</c:v>
                </c:pt>
                <c:pt idx="161">
                  <c:v>8.5000000000000006E-3</c:v>
                </c:pt>
                <c:pt idx="162">
                  <c:v>9.5000000000000015E-3</c:v>
                </c:pt>
                <c:pt idx="163">
                  <c:v>9.9999999999999985E-3</c:v>
                </c:pt>
              </c:numCache>
            </c:numRef>
          </c:yVal>
          <c:smooth val="0"/>
          <c:extLst>
            <c:ext xmlns:c16="http://schemas.microsoft.com/office/drawing/2014/chart" uri="{C3380CC4-5D6E-409C-BE32-E72D297353CC}">
              <c16:uniqueId val="{00000006-FB54-4D48-966A-675B727F8BA8}"/>
            </c:ext>
          </c:extLst>
        </c:ser>
        <c:dLbls>
          <c:showLegendKey val="0"/>
          <c:showVal val="0"/>
          <c:showCatName val="0"/>
          <c:showSerName val="0"/>
          <c:showPercent val="0"/>
          <c:showBubbleSize val="0"/>
        </c:dLbls>
        <c:axId val="133935104"/>
        <c:axId val="133937024"/>
      </c:scatterChart>
      <c:valAx>
        <c:axId val="133935104"/>
        <c:scaling>
          <c:logBase val="10"/>
          <c:orientation val="minMax"/>
        </c:scaling>
        <c:delete val="0"/>
        <c:axPos val="b"/>
        <c:title>
          <c:tx>
            <c:strRef>
              <c:f>BioScale_Internal!$J$26</c:f>
              <c:strCache>
                <c:ptCount val="1"/>
                <c:pt idx="0">
                  <c:v>[GDF-15] (pg/mL)</c:v>
                </c:pt>
              </c:strCache>
            </c:strRef>
          </c:tx>
          <c:layout>
            <c:manualLayout>
              <c:xMode val="edge"/>
              <c:yMode val="edge"/>
              <c:x val="0.43618205416630612"/>
              <c:y val="0.94290402622282365"/>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title>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33937024"/>
        <c:crossesAt val="1.0000000000000041E-3"/>
        <c:crossBetween val="midCat"/>
      </c:valAx>
      <c:valAx>
        <c:axId val="133937024"/>
        <c:scaling>
          <c:logBase val="10"/>
          <c:orientation val="minMax"/>
        </c:scaling>
        <c:delete val="0"/>
        <c:axPos val="l"/>
        <c:title>
          <c:tx>
            <c:rich>
              <a:bodyPr/>
              <a:lstStyle/>
              <a:p>
                <a:pPr>
                  <a:defRPr sz="1000" b="0" i="0" u="none" strike="noStrike" baseline="0">
                    <a:solidFill>
                      <a:srgbClr val="000000"/>
                    </a:solidFill>
                    <a:latin typeface="Arial"/>
                    <a:ea typeface="Arial"/>
                    <a:cs typeface="Arial"/>
                  </a:defRPr>
                </a:pPr>
                <a:r>
                  <a:rPr lang="en-US" sz="1000"/>
                  <a:t>(OD@450nm)</a:t>
                </a:r>
              </a:p>
            </c:rich>
          </c:tx>
          <c:layout>
            <c:manualLayout>
              <c:xMode val="edge"/>
              <c:yMode val="edge"/>
              <c:x val="1.0256410256410263E-2"/>
              <c:y val="0.35889086701795125"/>
            </c:manualLayout>
          </c:layout>
          <c:overlay val="0"/>
          <c:spPr>
            <a:noFill/>
            <a:ln w="25400">
              <a:noFill/>
            </a:ln>
          </c:spPr>
        </c:title>
        <c:numFmt formatCode="#,##0.0" sourceLinked="0"/>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33935104"/>
        <c:crossesAt val="1.0000000000000041E-3"/>
        <c:crossBetween val="midCat"/>
      </c:valAx>
      <c:spPr>
        <a:noFill/>
        <a:ln w="3175">
          <a:solidFill>
            <a:srgbClr val="000000"/>
          </a:solidFill>
          <a:prstDash val="solid"/>
        </a:ln>
      </c:spPr>
    </c:plotArea>
    <c:legend>
      <c:legendPos val="r"/>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ayout>
        <c:manualLayout>
          <c:xMode val="edge"/>
          <c:yMode val="edge"/>
          <c:x val="0.13213913645409722"/>
          <c:y val="9.0220368887880167E-2"/>
          <c:w val="0.1797368405872343"/>
          <c:h val="0.29934399274991164"/>
        </c:manualLayout>
      </c:layout>
      <c:overlay val="0"/>
      <c:spPr>
        <a:solidFill>
          <a:srgbClr val="FFFFFF"/>
        </a:solid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solidFill>
        <a:schemeClr val="tx1"/>
      </a:solidFill>
    </a:ln>
  </c:spPr>
  <c:txPr>
    <a:bodyPr/>
    <a:lstStyle/>
    <a:p>
      <a:pPr>
        <a:defRPr sz="850" b="0" i="0" u="none" strike="noStrike" baseline="0">
          <a:solidFill>
            <a:srgbClr val="000000"/>
          </a:solidFill>
          <a:latin typeface="Arial"/>
          <a:ea typeface="Arial"/>
          <a:cs typeface="Arial"/>
        </a:defRPr>
      </a:pPr>
      <a:endParaRPr lang="en-US"/>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13738644115287"/>
          <c:y val="0.21076074260850836"/>
          <c:w val="0.85498945161975404"/>
          <c:h val="0.59595532132292706"/>
        </c:manualLayout>
      </c:layout>
      <c:scatterChart>
        <c:scatterStyle val="lineMarker"/>
        <c:varyColors val="0"/>
        <c:ser>
          <c:idx val="0"/>
          <c:order val="0"/>
          <c:spPr>
            <a:ln w="28575">
              <a:noFill/>
            </a:ln>
          </c:spPr>
          <c:xVal>
            <c:numRef>
              <c:f>'Analysis Plate'!$P$4:$P$167</c:f>
              <c:numCache>
                <c:formatCode>General</c:formatCode>
                <c:ptCount val="16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numCache>
            </c:numRef>
          </c:xVal>
          <c:yVal>
            <c:numRef>
              <c:f>'Analysis Plate'!$O$4:$O$167</c:f>
              <c:numCache>
                <c:formatCode>0.00</c:formatCode>
                <c:ptCount val="164"/>
                <c:pt idx="0">
                  <c:v>2.5601061103377143</c:v>
                </c:pt>
                <c:pt idx="1">
                  <c:v>1.7267619138475827</c:v>
                </c:pt>
                <c:pt idx="2">
                  <c:v>3.7389754248337361</c:v>
                </c:pt>
                <c:pt idx="3">
                  <c:v>2.8542872581851757</c:v>
                </c:pt>
                <c:pt idx="4">
                  <c:v>1.1642970343397572</c:v>
                </c:pt>
                <c:pt idx="5">
                  <c:v>0</c:v>
                </c:pt>
                <c:pt idx="6">
                  <c:v>2.1443803648025241</c:v>
                </c:pt>
                <c:pt idx="7">
                  <c:v>1.9560433248955793</c:v>
                </c:pt>
                <c:pt idx="8">
                  <c:v>0.41953322162443013</c:v>
                </c:pt>
                <c:pt idx="9">
                  <c:v>3.1315933369694235</c:v>
                </c:pt>
                <c:pt idx="10">
                  <c:v>2.7354375774909876</c:v>
                </c:pt>
                <c:pt idx="11">
                  <c:v>1.3724034503249287</c:v>
                </c:pt>
                <c:pt idx="12">
                  <c:v>0.39142874659322491</c:v>
                </c:pt>
                <c:pt idx="13">
                  <c:v>0.81056273908009546</c:v>
                </c:pt>
                <c:pt idx="14">
                  <c:v>1.2190156310987637</c:v>
                </c:pt>
                <c:pt idx="15">
                  <c:v>0.41801976674003816</c:v>
                </c:pt>
                <c:pt idx="16">
                  <c:v>0.40563342294440868</c:v>
                </c:pt>
                <c:pt idx="17">
                  <c:v>0.27643923924766689</c:v>
                </c:pt>
                <c:pt idx="18">
                  <c:v>5.174138431909828</c:v>
                </c:pt>
                <c:pt idx="19">
                  <c:v>9.5508062744037119</c:v>
                </c:pt>
                <c:pt idx="20">
                  <c:v>3.8621705901739771</c:v>
                </c:pt>
                <c:pt idx="21">
                  <c:v>4.9120138709596226</c:v>
                </c:pt>
                <c:pt idx="22">
                  <c:v>3.2928881254324347</c:v>
                </c:pt>
                <c:pt idx="23">
                  <c:v>1.0675490547089126</c:v>
                </c:pt>
                <c:pt idx="24">
                  <c:v>1.836188469930667</c:v>
                </c:pt>
                <c:pt idx="25">
                  <c:v>3.0841742808149299</c:v>
                </c:pt>
                <c:pt idx="26">
                  <c:v>6.0645842766837053</c:v>
                </c:pt>
                <c:pt idx="27">
                  <c:v>5.7466196251418662</c:v>
                </c:pt>
                <c:pt idx="28">
                  <c:v>1.9316233989132101</c:v>
                </c:pt>
                <c:pt idx="29">
                  <c:v>2.2021393668468061</c:v>
                </c:pt>
                <c:pt idx="30">
                  <c:v>2.1839184735776889</c:v>
                </c:pt>
                <c:pt idx="31">
                  <c:v>0.32478988882667809</c:v>
                </c:pt>
                <c:pt idx="32">
                  <c:v>5.1299281300431288</c:v>
                </c:pt>
                <c:pt idx="33">
                  <c:v>1.1379969005422654</c:v>
                </c:pt>
                <c:pt idx="34">
                  <c:v>7.205083898543176</c:v>
                </c:pt>
                <c:pt idx="35">
                  <c:v>2.6167825784524545</c:v>
                </c:pt>
                <c:pt idx="36">
                  <c:v>3.8933709171013491</c:v>
                </c:pt>
                <c:pt idx="37">
                  <c:v>0.96668089244286848</c:v>
                </c:pt>
                <c:pt idx="38">
                  <c:v>2.3299956334465528</c:v>
                </c:pt>
                <c:pt idx="39">
                  <c:v>3.5021086680242055</c:v>
                </c:pt>
                <c:pt idx="40">
                  <c:v>4.3683573855730993</c:v>
                </c:pt>
                <c:pt idx="41">
                  <c:v>1.6801276730136534</c:v>
                </c:pt>
                <c:pt idx="42">
                  <c:v>4.5437735389957075</c:v>
                </c:pt>
                <c:pt idx="43">
                  <c:v>0.65490721575647048</c:v>
                </c:pt>
                <c:pt idx="44">
                  <c:v>5.1439495860121216</c:v>
                </c:pt>
                <c:pt idx="45">
                  <c:v>2.0306597063965017</c:v>
                </c:pt>
                <c:pt idx="46">
                  <c:v>2.5530102253267154E-14</c:v>
                </c:pt>
                <c:pt idx="47">
                  <c:v>2.5730335476642745</c:v>
                </c:pt>
                <c:pt idx="48">
                  <c:v>0.33129394268696011</c:v>
                </c:pt>
                <c:pt idx="49">
                  <c:v>2.6818238598004704</c:v>
                </c:pt>
                <c:pt idx="50">
                  <c:v>0.60974358791792271</c:v>
                </c:pt>
                <c:pt idx="51">
                  <c:v>0.64592630128473882</c:v>
                </c:pt>
                <c:pt idx="52">
                  <c:v>0.3237027947192142</c:v>
                </c:pt>
                <c:pt idx="53">
                  <c:v>0.62869678601554257</c:v>
                </c:pt>
                <c:pt idx="54">
                  <c:v>0.27692497067350336</c:v>
                </c:pt>
                <c:pt idx="55">
                  <c:v>0.27060989781261335</c:v>
                </c:pt>
                <c:pt idx="56">
                  <c:v>3.4847923290969551</c:v>
                </c:pt>
                <c:pt idx="57">
                  <c:v>1.1185861505675669</c:v>
                </c:pt>
                <c:pt idx="58">
                  <c:v>5.7854771336836732</c:v>
                </c:pt>
                <c:pt idx="59">
                  <c:v>2.2549104895051109</c:v>
                </c:pt>
                <c:pt idx="60">
                  <c:v>2.6215377969916043</c:v>
                </c:pt>
                <c:pt idx="61">
                  <c:v>2.8411737955592442</c:v>
                </c:pt>
                <c:pt idx="62">
                  <c:v>1.9161117794519109</c:v>
                </c:pt>
                <c:pt idx="63">
                  <c:v>3.4368989149932929</c:v>
                </c:pt>
                <c:pt idx="64">
                  <c:v>4.9203453053276034</c:v>
                </c:pt>
                <c:pt idx="65">
                  <c:v>2.5828780692974695</c:v>
                </c:pt>
                <c:pt idx="66">
                  <c:v>0.4901694983994907</c:v>
                </c:pt>
                <c:pt idx="67">
                  <c:v>1.5557832869559611</c:v>
                </c:pt>
                <c:pt idx="68">
                  <c:v>1.3582094928741795</c:v>
                </c:pt>
                <c:pt idx="69">
                  <c:v>4.3052482170775015</c:v>
                </c:pt>
                <c:pt idx="70">
                  <c:v>24.355373600850626</c:v>
                </c:pt>
                <c:pt idx="71">
                  <c:v>2.7320532001892097</c:v>
                </c:pt>
                <c:pt idx="72">
                  <c:v>0.27303306022085866</c:v>
                </c:pt>
                <c:pt idx="73">
                  <c:v>1.944241710197895</c:v>
                </c:pt>
                <c:pt idx="74">
                  <c:v>5.3506067820898471</c:v>
                </c:pt>
                <c:pt idx="75">
                  <c:v>4.9865753269424937</c:v>
                </c:pt>
                <c:pt idx="76">
                  <c:v>0.12375344069135596</c:v>
                </c:pt>
                <c:pt idx="77">
                  <c:v>0.26335924614848211</c:v>
                </c:pt>
                <c:pt idx="78">
                  <c:v>8.9294003239973847</c:v>
                </c:pt>
                <c:pt idx="79">
                  <c:v>8.8185970473689022</c:v>
                </c:pt>
                <c:pt idx="80">
                  <c:v>2.4924356468262809</c:v>
                </c:pt>
                <c:pt idx="81">
                  <c:v>4.7878014113485561</c:v>
                </c:pt>
                <c:pt idx="82">
                  <c:v>3.0469419439373366</c:v>
                </c:pt>
                <c:pt idx="83">
                  <c:v>1.2119898618519351</c:v>
                </c:pt>
                <c:pt idx="84">
                  <c:v>3.7269663140701641</c:v>
                </c:pt>
                <c:pt idx="85">
                  <c:v>3.1710018712910757</c:v>
                </c:pt>
                <c:pt idx="86">
                  <c:v>4.2017782055163835</c:v>
                </c:pt>
                <c:pt idx="87">
                  <c:v>0.9877325665732456</c:v>
                </c:pt>
                <c:pt idx="88">
                  <c:v>2.5788534893983988</c:v>
                </c:pt>
                <c:pt idx="89">
                  <c:v>0.97422727113180108</c:v>
                </c:pt>
                <c:pt idx="90">
                  <c:v>3.4730523939564586</c:v>
                </c:pt>
                <c:pt idx="91">
                  <c:v>3.4647267449593158</c:v>
                </c:pt>
                <c:pt idx="92">
                  <c:v>5.5332554660314797</c:v>
                </c:pt>
                <c:pt idx="93">
                  <c:v>0.88673761839379772</c:v>
                </c:pt>
                <c:pt idx="94">
                  <c:v>2.8917908045363987</c:v>
                </c:pt>
                <c:pt idx="95">
                  <c:v>2.4124108367526311</c:v>
                </c:pt>
                <c:pt idx="96">
                  <c:v>8.0657329049799245</c:v>
                </c:pt>
                <c:pt idx="97">
                  <c:v>6.5651543745051235</c:v>
                </c:pt>
                <c:pt idx="98">
                  <c:v>2.129522685860441</c:v>
                </c:pt>
                <c:pt idx="99">
                  <c:v>2.2152082793939494</c:v>
                </c:pt>
                <c:pt idx="100">
                  <c:v>3.7418970285379718</c:v>
                </c:pt>
                <c:pt idx="101">
                  <c:v>2.9402757043445815</c:v>
                </c:pt>
                <c:pt idx="102">
                  <c:v>9.3249181139838164</c:v>
                </c:pt>
                <c:pt idx="103">
                  <c:v>2.288013473947959</c:v>
                </c:pt>
                <c:pt idx="104">
                  <c:v>5.5482777577313955</c:v>
                </c:pt>
                <c:pt idx="105">
                  <c:v>5.2821661047604058</c:v>
                </c:pt>
                <c:pt idx="106">
                  <c:v>6.4017652987518883</c:v>
                </c:pt>
                <c:pt idx="107">
                  <c:v>5.3806061691844542</c:v>
                </c:pt>
                <c:pt idx="108">
                  <c:v>1.944241710197895</c:v>
                </c:pt>
                <c:pt idx="109">
                  <c:v>2.0730661113908861</c:v>
                </c:pt>
                <c:pt idx="110">
                  <c:v>7.892590107171789</c:v>
                </c:pt>
                <c:pt idx="111">
                  <c:v>0</c:v>
                </c:pt>
                <c:pt idx="112">
                  <c:v>0</c:v>
                </c:pt>
                <c:pt idx="113">
                  <c:v>0</c:v>
                </c:pt>
                <c:pt idx="114">
                  <c:v>0</c:v>
                </c:pt>
                <c:pt idx="115">
                  <c:v>0</c:v>
                </c:pt>
                <c:pt idx="116">
                  <c:v>0</c:v>
                </c:pt>
                <c:pt idx="117">
                  <c:v>0</c:v>
                </c:pt>
                <c:pt idx="118">
                  <c:v>0</c:v>
                </c:pt>
                <c:pt idx="119">
                  <c:v>0</c:v>
                </c:pt>
                <c:pt idx="120">
                  <c:v>0</c:v>
                </c:pt>
                <c:pt idx="121">
                  <c:v>0</c:v>
                </c:pt>
                <c:pt idx="122">
                  <c:v>65.974943199327782</c:v>
                </c:pt>
                <c:pt idx="123">
                  <c:v>0</c:v>
                </c:pt>
                <c:pt idx="124">
                  <c:v>0</c:v>
                </c:pt>
                <c:pt idx="125">
                  <c:v>0</c:v>
                </c:pt>
                <c:pt idx="126">
                  <c:v>0</c:v>
                </c:pt>
                <c:pt idx="127">
                  <c:v>0</c:v>
                </c:pt>
                <c:pt idx="128">
                  <c:v>0</c:v>
                </c:pt>
                <c:pt idx="129">
                  <c:v>0</c:v>
                </c:pt>
                <c:pt idx="130">
                  <c:v>137.25080347640161</c:v>
                </c:pt>
                <c:pt idx="131">
                  <c:v>0</c:v>
                </c:pt>
                <c:pt idx="132">
                  <c:v>0</c:v>
                </c:pt>
                <c:pt idx="133">
                  <c:v>0</c:v>
                </c:pt>
                <c:pt idx="134">
                  <c:v>0</c:v>
                </c:pt>
                <c:pt idx="135">
                  <c:v>0</c:v>
                </c:pt>
                <c:pt idx="136">
                  <c:v>0</c:v>
                </c:pt>
                <c:pt idx="137">
                  <c:v>0</c:v>
                </c:pt>
                <c:pt idx="138">
                  <c:v>128.09059809943281</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117.27280528076578</c:v>
                </c:pt>
                <c:pt idx="155">
                  <c:v>0</c:v>
                </c:pt>
                <c:pt idx="156">
                  <c:v>0</c:v>
                </c:pt>
                <c:pt idx="157">
                  <c:v>0</c:v>
                </c:pt>
                <c:pt idx="158">
                  <c:v>0</c:v>
                </c:pt>
                <c:pt idx="159">
                  <c:v>0</c:v>
                </c:pt>
                <c:pt idx="160">
                  <c:v>0</c:v>
                </c:pt>
                <c:pt idx="161">
                  <c:v>0</c:v>
                </c:pt>
                <c:pt idx="162">
                  <c:v>0</c:v>
                </c:pt>
                <c:pt idx="163">
                  <c:v>0</c:v>
                </c:pt>
              </c:numCache>
            </c:numRef>
          </c:yVal>
          <c:smooth val="0"/>
          <c:extLst>
            <c:ext xmlns:c16="http://schemas.microsoft.com/office/drawing/2014/chart" uri="{C3380CC4-5D6E-409C-BE32-E72D297353CC}">
              <c16:uniqueId val="{00000000-F1BE-40B9-91B5-B801481EA426}"/>
            </c:ext>
          </c:extLst>
        </c:ser>
        <c:dLbls>
          <c:showLegendKey val="0"/>
          <c:showVal val="0"/>
          <c:showCatName val="0"/>
          <c:showSerName val="0"/>
          <c:showPercent val="0"/>
          <c:showBubbleSize val="0"/>
        </c:dLbls>
        <c:axId val="134378240"/>
        <c:axId val="134380160"/>
      </c:scatterChart>
      <c:valAx>
        <c:axId val="134378240"/>
        <c:scaling>
          <c:orientation val="minMax"/>
        </c:scaling>
        <c:delete val="0"/>
        <c:axPos val="b"/>
        <c:title>
          <c:tx>
            <c:rich>
              <a:bodyPr/>
              <a:lstStyle/>
              <a:p>
                <a:pPr>
                  <a:defRPr/>
                </a:pPr>
                <a:r>
                  <a:rPr lang="en-US"/>
                  <a:t>Sample #</a:t>
                </a:r>
              </a:p>
            </c:rich>
          </c:tx>
          <c:overlay val="0"/>
        </c:title>
        <c:numFmt formatCode="General" sourceLinked="1"/>
        <c:majorTickMark val="out"/>
        <c:minorTickMark val="none"/>
        <c:tickLblPos val="nextTo"/>
        <c:crossAx val="134380160"/>
        <c:crosses val="autoZero"/>
        <c:crossBetween val="midCat"/>
      </c:valAx>
      <c:valAx>
        <c:axId val="134380160"/>
        <c:scaling>
          <c:orientation val="minMax"/>
        </c:scaling>
        <c:delete val="0"/>
        <c:axPos val="l"/>
        <c:majorGridlines/>
        <c:title>
          <c:tx>
            <c:rich>
              <a:bodyPr rot="-5400000" vert="horz"/>
              <a:lstStyle/>
              <a:p>
                <a:pPr>
                  <a:defRPr/>
                </a:pPr>
                <a:r>
                  <a:rPr lang="en-US"/>
                  <a:t>%CV</a:t>
                </a:r>
              </a:p>
            </c:rich>
          </c:tx>
          <c:overlay val="0"/>
        </c:title>
        <c:numFmt formatCode="0.00" sourceLinked="1"/>
        <c:majorTickMark val="out"/>
        <c:minorTickMark val="none"/>
        <c:tickLblPos val="nextTo"/>
        <c:crossAx val="134378240"/>
        <c:crosses val="autoZero"/>
        <c:crossBetween val="midCat"/>
      </c:valAx>
    </c:plotArea>
    <c:plotVisOnly val="1"/>
    <c:dispBlanksAs val="gap"/>
    <c:showDLblsOverMax val="0"/>
  </c:chart>
  <c:printSettings>
    <c:headerFooter/>
    <c:pageMargins b="0.75000000000000488" l="0.70000000000000062" r="0.70000000000000062" t="0.7500000000000048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'Analysis Plate'!$L$4:$L$167</c:f>
              <c:numCache>
                <c:formatCode>0.00</c:formatCode>
                <c:ptCount val="164"/>
                <c:pt idx="0">
                  <c:v>781.31128755933514</c:v>
                </c:pt>
                <c:pt idx="1">
                  <c:v>727.13111211219848</c:v>
                </c:pt>
                <c:pt idx="2">
                  <c:v>327.8812392749083</c:v>
                </c:pt>
                <c:pt idx="3">
                  <c:v>773.87291819562915</c:v>
                </c:pt>
                <c:pt idx="4">
                  <c:v>718.25465239015602</c:v>
                </c:pt>
                <c:pt idx="5">
                  <c:v>710.86410667312975</c:v>
                </c:pt>
                <c:pt idx="6">
                  <c:v>732.31401584212381</c:v>
                </c:pt>
                <c:pt idx="7">
                  <c:v>750.8390145393646</c:v>
                </c:pt>
                <c:pt idx="8">
                  <c:v>750.09146844177076</c:v>
                </c:pt>
                <c:pt idx="9">
                  <c:v>772.38834340795347</c:v>
                </c:pt>
                <c:pt idx="10">
                  <c:v>811.14465562616056</c:v>
                </c:pt>
                <c:pt idx="11">
                  <c:v>765.68442607202189</c:v>
                </c:pt>
                <c:pt idx="12">
                  <c:v>809.63553470979309</c:v>
                </c:pt>
                <c:pt idx="13">
                  <c:v>779.0676692894383</c:v>
                </c:pt>
                <c:pt idx="14">
                  <c:v>776.83679707260842</c:v>
                </c:pt>
                <c:pt idx="15">
                  <c:v>753.05887466554282</c:v>
                </c:pt>
                <c:pt idx="16">
                  <c:v>778.32260785874507</c:v>
                </c:pt>
                <c:pt idx="17">
                  <c:v>759.73902792519607</c:v>
                </c:pt>
                <c:pt idx="18">
                  <c:v>641.69966512788415</c:v>
                </c:pt>
                <c:pt idx="19">
                  <c:v>606.58087504676882</c:v>
                </c:pt>
                <c:pt idx="20">
                  <c:v>560.52060903425672</c:v>
                </c:pt>
                <c:pt idx="21">
                  <c:v>655.64733513664328</c:v>
                </c:pt>
                <c:pt idx="22">
                  <c:v>662.98300195355375</c:v>
                </c:pt>
                <c:pt idx="23">
                  <c:v>580.20806542169157</c:v>
                </c:pt>
                <c:pt idx="24">
                  <c:v>620.42146460910772</c:v>
                </c:pt>
                <c:pt idx="25">
                  <c:v>603.5943118956493</c:v>
                </c:pt>
                <c:pt idx="26">
                  <c:v>687.30101684874978</c:v>
                </c:pt>
                <c:pt idx="27">
                  <c:v>650.51432886104817</c:v>
                </c:pt>
                <c:pt idx="28">
                  <c:v>588.24193182395015</c:v>
                </c:pt>
                <c:pt idx="29">
                  <c:v>660.77172118068165</c:v>
                </c:pt>
                <c:pt idx="30">
                  <c:v>666.6529292934357</c:v>
                </c:pt>
                <c:pt idx="31">
                  <c:v>638.74095581866902</c:v>
                </c:pt>
                <c:pt idx="32">
                  <c:v>647.57088142917632</c:v>
                </c:pt>
                <c:pt idx="33">
                  <c:v>638.00857754548497</c:v>
                </c:pt>
                <c:pt idx="34">
                  <c:v>679.21452393509071</c:v>
                </c:pt>
                <c:pt idx="35">
                  <c:v>676.21933172828426</c:v>
                </c:pt>
                <c:pt idx="36">
                  <c:v>314.87814251589975</c:v>
                </c:pt>
                <c:pt idx="37">
                  <c:v>317.04538216210551</c:v>
                </c:pt>
                <c:pt idx="38">
                  <c:v>306.93179745285465</c:v>
                </c:pt>
                <c:pt idx="39">
                  <c:v>291.76011753045066</c:v>
                </c:pt>
                <c:pt idx="40">
                  <c:v>304.04191652999612</c:v>
                </c:pt>
                <c:pt idx="41">
                  <c:v>304.04216318560276</c:v>
                </c:pt>
                <c:pt idx="42">
                  <c:v>337.27271334481509</c:v>
                </c:pt>
                <c:pt idx="43">
                  <c:v>311.9886662482744</c:v>
                </c:pt>
                <c:pt idx="44">
                  <c:v>317.7676889052305</c:v>
                </c:pt>
                <c:pt idx="45">
                  <c:v>301.8748553423942</c:v>
                </c:pt>
                <c:pt idx="46">
                  <c:v>314.87822918657417</c:v>
                </c:pt>
                <c:pt idx="47">
                  <c:v>278.03138732710386</c:v>
                </c:pt>
                <c:pt idx="48">
                  <c:v>308.37667809877109</c:v>
                </c:pt>
                <c:pt idx="49">
                  <c:v>304.76452117950743</c:v>
                </c:pt>
                <c:pt idx="50">
                  <c:v>335.10512484594847</c:v>
                </c:pt>
                <c:pt idx="51">
                  <c:v>316.32299927199324</c:v>
                </c:pt>
                <c:pt idx="52">
                  <c:v>315.6006151391187</c:v>
                </c:pt>
                <c:pt idx="53">
                  <c:v>324.99159789232294</c:v>
                </c:pt>
                <c:pt idx="54">
                  <c:v>369.06368641087511</c:v>
                </c:pt>
                <c:pt idx="55">
                  <c:v>377.73656874298047</c:v>
                </c:pt>
                <c:pt idx="56">
                  <c:v>293.20512510503681</c:v>
                </c:pt>
                <c:pt idx="57">
                  <c:v>365.45043618637942</c:v>
                </c:pt>
                <c:pt idx="58">
                  <c:v>406.66208873220546</c:v>
                </c:pt>
                <c:pt idx="59">
                  <c:v>362.56011731344046</c:v>
                </c:pt>
                <c:pt idx="60">
                  <c:v>390.02636547460025</c:v>
                </c:pt>
                <c:pt idx="61">
                  <c:v>359.66985432581885</c:v>
                </c:pt>
                <c:pt idx="62">
                  <c:v>373.40018521932382</c:v>
                </c:pt>
                <c:pt idx="63">
                  <c:v>356.77971511230885</c:v>
                </c:pt>
                <c:pt idx="64">
                  <c:v>332.21578275851323</c:v>
                </c:pt>
                <c:pt idx="65">
                  <c:v>356.05695050041101</c:v>
                </c:pt>
                <c:pt idx="66">
                  <c:v>417.50952992609234</c:v>
                </c:pt>
                <c:pt idx="67">
                  <c:v>394.36416510364683</c:v>
                </c:pt>
                <c:pt idx="68">
                  <c:v>376.29111184054204</c:v>
                </c:pt>
                <c:pt idx="69">
                  <c:v>379.90637913923871</c:v>
                </c:pt>
                <c:pt idx="70">
                  <c:v>450.21206015089081</c:v>
                </c:pt>
                <c:pt idx="71">
                  <c:v>374.12318055782862</c:v>
                </c:pt>
                <c:pt idx="72">
                  <c:v>770.14079287240463</c:v>
                </c:pt>
                <c:pt idx="73">
                  <c:v>815.62114307151887</c:v>
                </c:pt>
                <c:pt idx="74">
                  <c:v>969.04705681010796</c:v>
                </c:pt>
                <c:pt idx="75">
                  <c:v>900.62715775517336</c:v>
                </c:pt>
                <c:pt idx="76">
                  <c:v>859.09134027947209</c:v>
                </c:pt>
                <c:pt idx="77">
                  <c:v>801.42281391150664</c:v>
                </c:pt>
                <c:pt idx="78">
                  <c:v>884.15758780326632</c:v>
                </c:pt>
                <c:pt idx="79">
                  <c:v>775.48362598375741</c:v>
                </c:pt>
                <c:pt idx="80">
                  <c:v>852.34345677383089</c:v>
                </c:pt>
                <c:pt idx="81">
                  <c:v>817.15661572757779</c:v>
                </c:pt>
                <c:pt idx="82">
                  <c:v>914.20626244927348</c:v>
                </c:pt>
                <c:pt idx="83">
                  <c:v>597.00844111623462</c:v>
                </c:pt>
                <c:pt idx="84">
                  <c:v>855.36729655074907</c:v>
                </c:pt>
                <c:pt idx="85">
                  <c:v>873.41483353291426</c:v>
                </c:pt>
                <c:pt idx="86">
                  <c:v>889.27229332886031</c:v>
                </c:pt>
                <c:pt idx="87">
                  <c:v>861.349369497613</c:v>
                </c:pt>
                <c:pt idx="88">
                  <c:v>866.62966478327758</c:v>
                </c:pt>
                <c:pt idx="89">
                  <c:v>874.89769178439155</c:v>
                </c:pt>
                <c:pt idx="90">
                  <c:v>722.70558331941686</c:v>
                </c:pt>
                <c:pt idx="91">
                  <c:v>757.53117808695606</c:v>
                </c:pt>
                <c:pt idx="92">
                  <c:v>617.51424385351061</c:v>
                </c:pt>
                <c:pt idx="93">
                  <c:v>706.43463307205593</c:v>
                </c:pt>
                <c:pt idx="94">
                  <c:v>646.08581037661111</c:v>
                </c:pt>
                <c:pt idx="95">
                  <c:v>645.34947280292181</c:v>
                </c:pt>
                <c:pt idx="96">
                  <c:v>329.32646997041229</c:v>
                </c:pt>
                <c:pt idx="97">
                  <c:v>665.22227669147253</c:v>
                </c:pt>
                <c:pt idx="98">
                  <c:v>335.82760037429</c:v>
                </c:pt>
                <c:pt idx="99">
                  <c:v>322.82445545878977</c:v>
                </c:pt>
                <c:pt idx="100">
                  <c:v>757.53444107555924</c:v>
                </c:pt>
                <c:pt idx="101">
                  <c:v>312.71099557367029</c:v>
                </c:pt>
                <c:pt idx="102">
                  <c:v>372.68268601929424</c:v>
                </c:pt>
                <c:pt idx="103">
                  <c:v>402.31909318375494</c:v>
                </c:pt>
                <c:pt idx="104">
                  <c:v>294.64968636339034</c:v>
                </c:pt>
                <c:pt idx="105">
                  <c:v>367.61988509901096</c:v>
                </c:pt>
                <c:pt idx="106">
                  <c:v>902.18649797638159</c:v>
                </c:pt>
                <c:pt idx="107">
                  <c:v>939.31846623223646</c:v>
                </c:pt>
                <c:pt idx="108">
                  <c:v>815.62114307151887</c:v>
                </c:pt>
                <c:pt idx="109">
                  <c:v>704.9627361871876</c:v>
                </c:pt>
                <c:pt idx="110">
                  <c:v>246.22082464451245</c:v>
                </c:pt>
                <c:pt idx="111">
                  <c:v>0</c:v>
                </c:pt>
                <c:pt idx="112">
                  <c:v>0</c:v>
                </c:pt>
                <c:pt idx="113">
                  <c:v>0</c:v>
                </c:pt>
                <c:pt idx="114">
                  <c:v>0</c:v>
                </c:pt>
                <c:pt idx="115">
                  <c:v>0</c:v>
                </c:pt>
                <c:pt idx="116">
                  <c:v>0</c:v>
                </c:pt>
                <c:pt idx="117">
                  <c:v>0</c:v>
                </c:pt>
                <c:pt idx="118">
                  <c:v>0</c:v>
                </c:pt>
                <c:pt idx="119">
                  <c:v>0</c:v>
                </c:pt>
                <c:pt idx="120">
                  <c:v>0</c:v>
                </c:pt>
                <c:pt idx="121">
                  <c:v>0</c:v>
                </c:pt>
                <c:pt idx="122">
                  <c:v>17.863053320734728</c:v>
                </c:pt>
                <c:pt idx="123">
                  <c:v>0</c:v>
                </c:pt>
                <c:pt idx="124">
                  <c:v>0</c:v>
                </c:pt>
                <c:pt idx="125">
                  <c:v>0</c:v>
                </c:pt>
                <c:pt idx="126">
                  <c:v>0</c:v>
                </c:pt>
                <c:pt idx="127">
                  <c:v>0</c:v>
                </c:pt>
                <c:pt idx="128">
                  <c:v>0</c:v>
                </c:pt>
                <c:pt idx="129">
                  <c:v>1.773198067525851</c:v>
                </c:pt>
                <c:pt idx="130">
                  <c:v>5.6128453464613921</c:v>
                </c:pt>
                <c:pt idx="131">
                  <c:v>0</c:v>
                </c:pt>
                <c:pt idx="132">
                  <c:v>0</c:v>
                </c:pt>
                <c:pt idx="133">
                  <c:v>0</c:v>
                </c:pt>
                <c:pt idx="134">
                  <c:v>0</c:v>
                </c:pt>
                <c:pt idx="135">
                  <c:v>0</c:v>
                </c:pt>
                <c:pt idx="136">
                  <c:v>0</c:v>
                </c:pt>
                <c:pt idx="137">
                  <c:v>0</c:v>
                </c:pt>
                <c:pt idx="138">
                  <c:v>1.7559892253780345</c:v>
                </c:pt>
                <c:pt idx="139">
                  <c:v>0</c:v>
                </c:pt>
                <c:pt idx="140">
                  <c:v>0</c:v>
                </c:pt>
                <c:pt idx="141">
                  <c:v>0</c:v>
                </c:pt>
                <c:pt idx="142">
                  <c:v>0</c:v>
                </c:pt>
                <c:pt idx="143">
                  <c:v>0</c:v>
                </c:pt>
                <c:pt idx="144">
                  <c:v>0</c:v>
                </c:pt>
                <c:pt idx="145">
                  <c:v>0</c:v>
                </c:pt>
                <c:pt idx="146">
                  <c:v>0</c:v>
                </c:pt>
                <c:pt idx="147">
                  <c:v>0.16552427638263878</c:v>
                </c:pt>
                <c:pt idx="148">
                  <c:v>0</c:v>
                </c:pt>
                <c:pt idx="149">
                  <c:v>0</c:v>
                </c:pt>
                <c:pt idx="150">
                  <c:v>0</c:v>
                </c:pt>
                <c:pt idx="151">
                  <c:v>0</c:v>
                </c:pt>
                <c:pt idx="152">
                  <c:v>0</c:v>
                </c:pt>
                <c:pt idx="153">
                  <c:v>0</c:v>
                </c:pt>
                <c:pt idx="154">
                  <c:v>0.96936117195424487</c:v>
                </c:pt>
                <c:pt idx="155">
                  <c:v>0</c:v>
                </c:pt>
                <c:pt idx="156">
                  <c:v>0</c:v>
                </c:pt>
                <c:pt idx="157">
                  <c:v>0</c:v>
                </c:pt>
                <c:pt idx="158">
                  <c:v>0</c:v>
                </c:pt>
                <c:pt idx="159">
                  <c:v>0</c:v>
                </c:pt>
                <c:pt idx="160">
                  <c:v>0</c:v>
                </c:pt>
                <c:pt idx="161">
                  <c:v>0</c:v>
                </c:pt>
                <c:pt idx="162">
                  <c:v>0</c:v>
                </c:pt>
                <c:pt idx="163">
                  <c:v>0</c:v>
                </c:pt>
              </c:numCache>
            </c:numRef>
          </c:xVal>
          <c:yVal>
            <c:numRef>
              <c:f>'Analysis Plate'!$O$4:$O$167</c:f>
              <c:numCache>
                <c:formatCode>0.00</c:formatCode>
                <c:ptCount val="164"/>
                <c:pt idx="0">
                  <c:v>2.5601061103377143</c:v>
                </c:pt>
                <c:pt idx="1">
                  <c:v>1.7267619138475827</c:v>
                </c:pt>
                <c:pt idx="2">
                  <c:v>3.7389754248337361</c:v>
                </c:pt>
                <c:pt idx="3">
                  <c:v>2.8542872581851757</c:v>
                </c:pt>
                <c:pt idx="4">
                  <c:v>1.1642970343397572</c:v>
                </c:pt>
                <c:pt idx="5">
                  <c:v>0</c:v>
                </c:pt>
                <c:pt idx="6">
                  <c:v>2.1443803648025241</c:v>
                </c:pt>
                <c:pt idx="7">
                  <c:v>1.9560433248955793</c:v>
                </c:pt>
                <c:pt idx="8">
                  <c:v>0.41953322162443013</c:v>
                </c:pt>
                <c:pt idx="9">
                  <c:v>3.1315933369694235</c:v>
                </c:pt>
                <c:pt idx="10">
                  <c:v>2.7354375774909876</c:v>
                </c:pt>
                <c:pt idx="11">
                  <c:v>1.3724034503249287</c:v>
                </c:pt>
                <c:pt idx="12">
                  <c:v>0.39142874659322491</c:v>
                </c:pt>
                <c:pt idx="13">
                  <c:v>0.81056273908009546</c:v>
                </c:pt>
                <c:pt idx="14">
                  <c:v>1.2190156310987637</c:v>
                </c:pt>
                <c:pt idx="15">
                  <c:v>0.41801976674003816</c:v>
                </c:pt>
                <c:pt idx="16">
                  <c:v>0.40563342294440868</c:v>
                </c:pt>
                <c:pt idx="17">
                  <c:v>0.27643923924766689</c:v>
                </c:pt>
                <c:pt idx="18">
                  <c:v>5.174138431909828</c:v>
                </c:pt>
                <c:pt idx="19">
                  <c:v>9.5508062744037119</c:v>
                </c:pt>
                <c:pt idx="20">
                  <c:v>3.8621705901739771</c:v>
                </c:pt>
                <c:pt idx="21">
                  <c:v>4.9120138709596226</c:v>
                </c:pt>
                <c:pt idx="22">
                  <c:v>3.2928881254324347</c:v>
                </c:pt>
                <c:pt idx="23">
                  <c:v>1.0675490547089126</c:v>
                </c:pt>
                <c:pt idx="24">
                  <c:v>1.836188469930667</c:v>
                </c:pt>
                <c:pt idx="25">
                  <c:v>3.0841742808149299</c:v>
                </c:pt>
                <c:pt idx="26">
                  <c:v>6.0645842766837053</c:v>
                </c:pt>
                <c:pt idx="27">
                  <c:v>5.7466196251418662</c:v>
                </c:pt>
                <c:pt idx="28">
                  <c:v>1.9316233989132101</c:v>
                </c:pt>
                <c:pt idx="29">
                  <c:v>2.2021393668468061</c:v>
                </c:pt>
                <c:pt idx="30">
                  <c:v>2.1839184735776889</c:v>
                </c:pt>
                <c:pt idx="31">
                  <c:v>0.32478988882667809</c:v>
                </c:pt>
                <c:pt idx="32">
                  <c:v>5.1299281300431288</c:v>
                </c:pt>
                <c:pt idx="33">
                  <c:v>1.1379969005422654</c:v>
                </c:pt>
                <c:pt idx="34">
                  <c:v>7.205083898543176</c:v>
                </c:pt>
                <c:pt idx="35">
                  <c:v>2.6167825784524545</c:v>
                </c:pt>
                <c:pt idx="36">
                  <c:v>3.8933709171013491</c:v>
                </c:pt>
                <c:pt idx="37">
                  <c:v>0.96668089244286848</c:v>
                </c:pt>
                <c:pt idx="38">
                  <c:v>2.3299956334465528</c:v>
                </c:pt>
                <c:pt idx="39">
                  <c:v>3.5021086680242055</c:v>
                </c:pt>
                <c:pt idx="40">
                  <c:v>4.3683573855730993</c:v>
                </c:pt>
                <c:pt idx="41">
                  <c:v>1.6801276730136534</c:v>
                </c:pt>
                <c:pt idx="42">
                  <c:v>4.5437735389957075</c:v>
                </c:pt>
                <c:pt idx="43">
                  <c:v>0.65490721575647048</c:v>
                </c:pt>
                <c:pt idx="44">
                  <c:v>5.1439495860121216</c:v>
                </c:pt>
                <c:pt idx="45">
                  <c:v>2.0306597063965017</c:v>
                </c:pt>
                <c:pt idx="46">
                  <c:v>2.5530102253267154E-14</c:v>
                </c:pt>
                <c:pt idx="47">
                  <c:v>2.5730335476642745</c:v>
                </c:pt>
                <c:pt idx="48">
                  <c:v>0.33129394268696011</c:v>
                </c:pt>
                <c:pt idx="49">
                  <c:v>2.6818238598004704</c:v>
                </c:pt>
                <c:pt idx="50">
                  <c:v>0.60974358791792271</c:v>
                </c:pt>
                <c:pt idx="51">
                  <c:v>0.64592630128473882</c:v>
                </c:pt>
                <c:pt idx="52">
                  <c:v>0.3237027947192142</c:v>
                </c:pt>
                <c:pt idx="53">
                  <c:v>0.62869678601554257</c:v>
                </c:pt>
                <c:pt idx="54">
                  <c:v>0.27692497067350336</c:v>
                </c:pt>
                <c:pt idx="55">
                  <c:v>0.27060989781261335</c:v>
                </c:pt>
                <c:pt idx="56">
                  <c:v>3.4847923290969551</c:v>
                </c:pt>
                <c:pt idx="57">
                  <c:v>1.1185861505675669</c:v>
                </c:pt>
                <c:pt idx="58">
                  <c:v>5.7854771336836732</c:v>
                </c:pt>
                <c:pt idx="59">
                  <c:v>2.2549104895051109</c:v>
                </c:pt>
                <c:pt idx="60">
                  <c:v>2.6215377969916043</c:v>
                </c:pt>
                <c:pt idx="61">
                  <c:v>2.8411737955592442</c:v>
                </c:pt>
                <c:pt idx="62">
                  <c:v>1.9161117794519109</c:v>
                </c:pt>
                <c:pt idx="63">
                  <c:v>3.4368989149932929</c:v>
                </c:pt>
                <c:pt idx="64">
                  <c:v>4.9203453053276034</c:v>
                </c:pt>
                <c:pt idx="65">
                  <c:v>2.5828780692974695</c:v>
                </c:pt>
                <c:pt idx="66">
                  <c:v>0.4901694983994907</c:v>
                </c:pt>
                <c:pt idx="67">
                  <c:v>1.5557832869559611</c:v>
                </c:pt>
                <c:pt idx="68">
                  <c:v>1.3582094928741795</c:v>
                </c:pt>
                <c:pt idx="69">
                  <c:v>4.3052482170775015</c:v>
                </c:pt>
                <c:pt idx="70">
                  <c:v>24.355373600850626</c:v>
                </c:pt>
                <c:pt idx="71">
                  <c:v>2.7320532001892097</c:v>
                </c:pt>
                <c:pt idx="72">
                  <c:v>0.27303306022085866</c:v>
                </c:pt>
                <c:pt idx="73">
                  <c:v>1.944241710197895</c:v>
                </c:pt>
                <c:pt idx="74">
                  <c:v>5.3506067820898471</c:v>
                </c:pt>
                <c:pt idx="75">
                  <c:v>4.9865753269424937</c:v>
                </c:pt>
                <c:pt idx="76">
                  <c:v>0.12375344069135596</c:v>
                </c:pt>
                <c:pt idx="77">
                  <c:v>0.26335924614848211</c:v>
                </c:pt>
                <c:pt idx="78">
                  <c:v>8.9294003239973847</c:v>
                </c:pt>
                <c:pt idx="79">
                  <c:v>8.8185970473689022</c:v>
                </c:pt>
                <c:pt idx="80">
                  <c:v>2.4924356468262809</c:v>
                </c:pt>
                <c:pt idx="81">
                  <c:v>4.7878014113485561</c:v>
                </c:pt>
                <c:pt idx="82">
                  <c:v>3.0469419439373366</c:v>
                </c:pt>
                <c:pt idx="83">
                  <c:v>1.2119898618519351</c:v>
                </c:pt>
                <c:pt idx="84">
                  <c:v>3.7269663140701641</c:v>
                </c:pt>
                <c:pt idx="85">
                  <c:v>3.1710018712910757</c:v>
                </c:pt>
                <c:pt idx="86">
                  <c:v>4.2017782055163835</c:v>
                </c:pt>
                <c:pt idx="87">
                  <c:v>0.9877325665732456</c:v>
                </c:pt>
                <c:pt idx="88">
                  <c:v>2.5788534893983988</c:v>
                </c:pt>
                <c:pt idx="89">
                  <c:v>0.97422727113180108</c:v>
                </c:pt>
                <c:pt idx="90">
                  <c:v>3.4730523939564586</c:v>
                </c:pt>
                <c:pt idx="91">
                  <c:v>3.4647267449593158</c:v>
                </c:pt>
                <c:pt idx="92">
                  <c:v>5.5332554660314797</c:v>
                </c:pt>
                <c:pt idx="93">
                  <c:v>0.88673761839379772</c:v>
                </c:pt>
                <c:pt idx="94">
                  <c:v>2.8917908045363987</c:v>
                </c:pt>
                <c:pt idx="95">
                  <c:v>2.4124108367526311</c:v>
                </c:pt>
                <c:pt idx="96">
                  <c:v>8.0657329049799245</c:v>
                </c:pt>
                <c:pt idx="97">
                  <c:v>6.5651543745051235</c:v>
                </c:pt>
                <c:pt idx="98">
                  <c:v>2.129522685860441</c:v>
                </c:pt>
                <c:pt idx="99">
                  <c:v>2.2152082793939494</c:v>
                </c:pt>
                <c:pt idx="100">
                  <c:v>3.7418970285379718</c:v>
                </c:pt>
                <c:pt idx="101">
                  <c:v>2.9402757043445815</c:v>
                </c:pt>
                <c:pt idx="102">
                  <c:v>9.3249181139838164</c:v>
                </c:pt>
                <c:pt idx="103">
                  <c:v>2.288013473947959</c:v>
                </c:pt>
                <c:pt idx="104">
                  <c:v>5.5482777577313955</c:v>
                </c:pt>
                <c:pt idx="105">
                  <c:v>5.2821661047604058</c:v>
                </c:pt>
                <c:pt idx="106">
                  <c:v>6.4017652987518883</c:v>
                </c:pt>
                <c:pt idx="107">
                  <c:v>5.3806061691844542</c:v>
                </c:pt>
                <c:pt idx="108">
                  <c:v>1.944241710197895</c:v>
                </c:pt>
                <c:pt idx="109">
                  <c:v>2.0730661113908861</c:v>
                </c:pt>
                <c:pt idx="110">
                  <c:v>7.892590107171789</c:v>
                </c:pt>
                <c:pt idx="111">
                  <c:v>0</c:v>
                </c:pt>
                <c:pt idx="112">
                  <c:v>0</c:v>
                </c:pt>
                <c:pt idx="113">
                  <c:v>0</c:v>
                </c:pt>
                <c:pt idx="114">
                  <c:v>0</c:v>
                </c:pt>
                <c:pt idx="115">
                  <c:v>0</c:v>
                </c:pt>
                <c:pt idx="116">
                  <c:v>0</c:v>
                </c:pt>
                <c:pt idx="117">
                  <c:v>0</c:v>
                </c:pt>
                <c:pt idx="118">
                  <c:v>0</c:v>
                </c:pt>
                <c:pt idx="119">
                  <c:v>0</c:v>
                </c:pt>
                <c:pt idx="120">
                  <c:v>0</c:v>
                </c:pt>
                <c:pt idx="121">
                  <c:v>0</c:v>
                </c:pt>
                <c:pt idx="122">
                  <c:v>65.974943199327782</c:v>
                </c:pt>
                <c:pt idx="123">
                  <c:v>0</c:v>
                </c:pt>
                <c:pt idx="124">
                  <c:v>0</c:v>
                </c:pt>
                <c:pt idx="125">
                  <c:v>0</c:v>
                </c:pt>
                <c:pt idx="126">
                  <c:v>0</c:v>
                </c:pt>
                <c:pt idx="127">
                  <c:v>0</c:v>
                </c:pt>
                <c:pt idx="128">
                  <c:v>0</c:v>
                </c:pt>
                <c:pt idx="129">
                  <c:v>0</c:v>
                </c:pt>
                <c:pt idx="130">
                  <c:v>137.25080347640161</c:v>
                </c:pt>
                <c:pt idx="131">
                  <c:v>0</c:v>
                </c:pt>
                <c:pt idx="132">
                  <c:v>0</c:v>
                </c:pt>
                <c:pt idx="133">
                  <c:v>0</c:v>
                </c:pt>
                <c:pt idx="134">
                  <c:v>0</c:v>
                </c:pt>
                <c:pt idx="135">
                  <c:v>0</c:v>
                </c:pt>
                <c:pt idx="136">
                  <c:v>0</c:v>
                </c:pt>
                <c:pt idx="137">
                  <c:v>0</c:v>
                </c:pt>
                <c:pt idx="138">
                  <c:v>128.09059809943281</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117.27280528076578</c:v>
                </c:pt>
                <c:pt idx="155">
                  <c:v>0</c:v>
                </c:pt>
                <c:pt idx="156">
                  <c:v>0</c:v>
                </c:pt>
                <c:pt idx="157">
                  <c:v>0</c:v>
                </c:pt>
                <c:pt idx="158">
                  <c:v>0</c:v>
                </c:pt>
                <c:pt idx="159">
                  <c:v>0</c:v>
                </c:pt>
                <c:pt idx="160">
                  <c:v>0</c:v>
                </c:pt>
                <c:pt idx="161">
                  <c:v>0</c:v>
                </c:pt>
                <c:pt idx="162">
                  <c:v>0</c:v>
                </c:pt>
                <c:pt idx="163">
                  <c:v>0</c:v>
                </c:pt>
              </c:numCache>
            </c:numRef>
          </c:yVal>
          <c:smooth val="0"/>
          <c:extLst>
            <c:ext xmlns:c16="http://schemas.microsoft.com/office/drawing/2014/chart" uri="{C3380CC4-5D6E-409C-BE32-E72D297353CC}">
              <c16:uniqueId val="{00000000-1A1D-4E5B-A339-878933975715}"/>
            </c:ext>
          </c:extLst>
        </c:ser>
        <c:dLbls>
          <c:showLegendKey val="0"/>
          <c:showVal val="0"/>
          <c:showCatName val="0"/>
          <c:showSerName val="0"/>
          <c:showPercent val="0"/>
          <c:showBubbleSize val="0"/>
        </c:dLbls>
        <c:axId val="134396160"/>
        <c:axId val="138092928"/>
      </c:scatterChart>
      <c:valAx>
        <c:axId val="134396160"/>
        <c:scaling>
          <c:orientation val="minMax"/>
        </c:scaling>
        <c:delete val="0"/>
        <c:axPos val="b"/>
        <c:title>
          <c:tx>
            <c:rich>
              <a:bodyPr/>
              <a:lstStyle/>
              <a:p>
                <a:pPr>
                  <a:defRPr/>
                </a:pPr>
                <a:r>
                  <a:rPr lang="en-US"/>
                  <a:t>[Biomarker] units</a:t>
                </a:r>
              </a:p>
            </c:rich>
          </c:tx>
          <c:overlay val="0"/>
        </c:title>
        <c:numFmt formatCode="0.00" sourceLinked="1"/>
        <c:majorTickMark val="out"/>
        <c:minorTickMark val="none"/>
        <c:tickLblPos val="nextTo"/>
        <c:crossAx val="138092928"/>
        <c:crosses val="autoZero"/>
        <c:crossBetween val="midCat"/>
      </c:valAx>
      <c:valAx>
        <c:axId val="138092928"/>
        <c:scaling>
          <c:orientation val="minMax"/>
        </c:scaling>
        <c:delete val="0"/>
        <c:axPos val="l"/>
        <c:majorGridlines/>
        <c:title>
          <c:tx>
            <c:rich>
              <a:bodyPr rot="-5400000" vert="horz"/>
              <a:lstStyle/>
              <a:p>
                <a:pPr>
                  <a:defRPr/>
                </a:pPr>
                <a:r>
                  <a:rPr lang="en-US"/>
                  <a:t>%CV</a:t>
                </a:r>
              </a:p>
            </c:rich>
          </c:tx>
          <c:overlay val="0"/>
        </c:title>
        <c:numFmt formatCode="0.00" sourceLinked="1"/>
        <c:majorTickMark val="out"/>
        <c:minorTickMark val="none"/>
        <c:tickLblPos val="nextTo"/>
        <c:crossAx val="134396160"/>
        <c:crosses val="autoZero"/>
        <c:crossBetween val="midCat"/>
      </c:valAx>
    </c:plotArea>
    <c:plotVisOnly val="1"/>
    <c:dispBlanksAs val="gap"/>
    <c:showDLblsOverMax val="0"/>
  </c:chart>
  <c:printSettings>
    <c:headerFooter/>
    <c:pageMargins b="0.75000000000000488" l="0.70000000000000062" r="0.70000000000000062" t="0.75000000000000488"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errBars>
            <c:errBarType val="both"/>
            <c:errValType val="cust"/>
            <c:noEndCap val="0"/>
            <c:plus>
              <c:numRef>
                <c:f>'Analysis Plate'!$N$4:$N$37</c:f>
                <c:numCache>
                  <c:formatCode>General</c:formatCode>
                  <c:ptCount val="34"/>
                  <c:pt idx="0">
                    <c:v>20.002398013564807</c:v>
                  </c:pt>
                  <c:pt idx="1">
                    <c:v>12.555823107689811</c:v>
                  </c:pt>
                  <c:pt idx="2">
                    <c:v>12.259398959129122</c:v>
                  </c:pt>
                  <c:pt idx="3">
                    <c:v>22.088556098603632</c:v>
                  </c:pt>
                  <c:pt idx="4">
                    <c:v>8.3626176167859185</c:v>
                  </c:pt>
                  <c:pt idx="5">
                    <c:v>0</c:v>
                  </c:pt>
                  <c:pt idx="6">
                    <c:v>15.70359796441535</c:v>
                  </c:pt>
                  <c:pt idx="7">
                    <c:v>14.686736424608988</c:v>
                  </c:pt>
                  <c:pt idx="8">
                    <c:v>3.1468829026837564</c:v>
                  </c:pt>
                  <c:pt idx="9">
                    <c:v>24.188061897691981</c:v>
                  </c:pt>
                  <c:pt idx="10">
                    <c:v>22.188355717807859</c:v>
                  </c:pt>
                  <c:pt idx="11">
                    <c:v>10.508279482013057</c:v>
                  </c:pt>
                  <c:pt idx="12">
                    <c:v>3.1691462254878973</c:v>
                  </c:pt>
                  <c:pt idx="13">
                    <c:v>6.314832239479931</c:v>
                  </c:pt>
                  <c:pt idx="14">
                    <c:v>9.4697619844420799</c:v>
                  </c:pt>
                  <c:pt idx="15">
                    <c:v>3.1479349512920587</c:v>
                  </c:pt>
                  <c:pt idx="16">
                    <c:v>3.1571366358076149</c:v>
                  </c:pt>
                  <c:pt idx="17">
                    <c:v>2.1002167890640315</c:v>
                  </c:pt>
                  <c:pt idx="18">
                    <c:v>33.202428990818525</c:v>
                  </c:pt>
                  <c:pt idx="19">
                    <c:v>57.933364273299738</c:v>
                  </c:pt>
                  <c:pt idx="20">
                    <c:v>21.648262113985126</c:v>
                  </c:pt>
                  <c:pt idx="21">
                    <c:v>32.205488046489045</c:v>
                  </c:pt>
                  <c:pt idx="22">
                    <c:v>21.831288544964057</c:v>
                  </c:pt>
                  <c:pt idx="23">
                    <c:v>6.1940057177541377</c:v>
                  </c:pt>
                  <c:pt idx="24">
                    <c:v>11.392107398127409</c:v>
                  </c:pt>
                  <c:pt idx="25">
                    <c:v>18.615900527947467</c:v>
                  </c:pt>
                  <c:pt idx="26">
                    <c:v>41.6819494012965</c:v>
                  </c:pt>
                  <c:pt idx="27">
                    <c:v>37.382584086688894</c:v>
                  </c:pt>
                  <c:pt idx="28">
                    <c:v>11.362618797330514</c:v>
                  </c:pt>
                  <c:pt idx="29">
                    <c:v>14.551114197111005</c:v>
                  </c:pt>
                  <c:pt idx="30">
                    <c:v>14.55915647748615</c:v>
                  </c:pt>
                  <c:pt idx="31">
                    <c:v>2.0745660402939161</c:v>
                  </c:pt>
                  <c:pt idx="32">
                    <c:v>33.21992080840355</c:v>
                  </c:pt>
                  <c:pt idx="33">
                    <c:v>7.260517837661415</c:v>
                  </c:pt>
                </c:numCache>
              </c:numRef>
            </c:plus>
            <c:minus>
              <c:numRef>
                <c:f>'Analysis Plate'!$N$4:$N$37</c:f>
                <c:numCache>
                  <c:formatCode>General</c:formatCode>
                  <c:ptCount val="34"/>
                  <c:pt idx="0">
                    <c:v>20.002398013564807</c:v>
                  </c:pt>
                  <c:pt idx="1">
                    <c:v>12.555823107689811</c:v>
                  </c:pt>
                  <c:pt idx="2">
                    <c:v>12.259398959129122</c:v>
                  </c:pt>
                  <c:pt idx="3">
                    <c:v>22.088556098603632</c:v>
                  </c:pt>
                  <c:pt idx="4">
                    <c:v>8.3626176167859185</c:v>
                  </c:pt>
                  <c:pt idx="5">
                    <c:v>0</c:v>
                  </c:pt>
                  <c:pt idx="6">
                    <c:v>15.70359796441535</c:v>
                  </c:pt>
                  <c:pt idx="7">
                    <c:v>14.686736424608988</c:v>
                  </c:pt>
                  <c:pt idx="8">
                    <c:v>3.1468829026837564</c:v>
                  </c:pt>
                  <c:pt idx="9">
                    <c:v>24.188061897691981</c:v>
                  </c:pt>
                  <c:pt idx="10">
                    <c:v>22.188355717807859</c:v>
                  </c:pt>
                  <c:pt idx="11">
                    <c:v>10.508279482013057</c:v>
                  </c:pt>
                  <c:pt idx="12">
                    <c:v>3.1691462254878973</c:v>
                  </c:pt>
                  <c:pt idx="13">
                    <c:v>6.314832239479931</c:v>
                  </c:pt>
                  <c:pt idx="14">
                    <c:v>9.4697619844420799</c:v>
                  </c:pt>
                  <c:pt idx="15">
                    <c:v>3.1479349512920587</c:v>
                  </c:pt>
                  <c:pt idx="16">
                    <c:v>3.1571366358076149</c:v>
                  </c:pt>
                  <c:pt idx="17">
                    <c:v>2.1002167890640315</c:v>
                  </c:pt>
                  <c:pt idx="18">
                    <c:v>33.202428990818525</c:v>
                  </c:pt>
                  <c:pt idx="19">
                    <c:v>57.933364273299738</c:v>
                  </c:pt>
                  <c:pt idx="20">
                    <c:v>21.648262113985126</c:v>
                  </c:pt>
                  <c:pt idx="21">
                    <c:v>32.205488046489045</c:v>
                  </c:pt>
                  <c:pt idx="22">
                    <c:v>21.831288544964057</c:v>
                  </c:pt>
                  <c:pt idx="23">
                    <c:v>6.1940057177541377</c:v>
                  </c:pt>
                  <c:pt idx="24">
                    <c:v>11.392107398127409</c:v>
                  </c:pt>
                  <c:pt idx="25">
                    <c:v>18.615900527947467</c:v>
                  </c:pt>
                  <c:pt idx="26">
                    <c:v>41.6819494012965</c:v>
                  </c:pt>
                  <c:pt idx="27">
                    <c:v>37.382584086688894</c:v>
                  </c:pt>
                  <c:pt idx="28">
                    <c:v>11.362618797330514</c:v>
                  </c:pt>
                  <c:pt idx="29">
                    <c:v>14.551114197111005</c:v>
                  </c:pt>
                  <c:pt idx="30">
                    <c:v>14.55915647748615</c:v>
                  </c:pt>
                  <c:pt idx="31">
                    <c:v>2.0745660402939161</c:v>
                  </c:pt>
                  <c:pt idx="32">
                    <c:v>33.21992080840355</c:v>
                  </c:pt>
                  <c:pt idx="33">
                    <c:v>7.260517837661415</c:v>
                  </c:pt>
                </c:numCache>
              </c:numRef>
            </c:minus>
          </c:errBars>
          <c:cat>
            <c:strRef>
              <c:f>'Analysis Plate'!$I$4:$I$167</c:f>
              <c:strCache>
                <c:ptCount val="164"/>
                <c:pt idx="0">
                  <c:v>07-026</c:v>
                </c:pt>
                <c:pt idx="1">
                  <c:v>07-027</c:v>
                </c:pt>
                <c:pt idx="2">
                  <c:v>08-002</c:v>
                </c:pt>
                <c:pt idx="3">
                  <c:v>08-003</c:v>
                </c:pt>
                <c:pt idx="4">
                  <c:v>08-005</c:v>
                </c:pt>
                <c:pt idx="5">
                  <c:v>08-006</c:v>
                </c:pt>
                <c:pt idx="6">
                  <c:v>08-007</c:v>
                </c:pt>
                <c:pt idx="7">
                  <c:v>08-011</c:v>
                </c:pt>
                <c:pt idx="8">
                  <c:v>08-014</c:v>
                </c:pt>
                <c:pt idx="9">
                  <c:v>08-017</c:v>
                </c:pt>
                <c:pt idx="10">
                  <c:v>08-020</c:v>
                </c:pt>
                <c:pt idx="11">
                  <c:v>08-021</c:v>
                </c:pt>
                <c:pt idx="12">
                  <c:v>08-023</c:v>
                </c:pt>
                <c:pt idx="13">
                  <c:v>08-025</c:v>
                </c:pt>
                <c:pt idx="14">
                  <c:v>08-027</c:v>
                </c:pt>
                <c:pt idx="15">
                  <c:v>08-028</c:v>
                </c:pt>
                <c:pt idx="16">
                  <c:v>08-030</c:v>
                </c:pt>
                <c:pt idx="17">
                  <c:v>08-031</c:v>
                </c:pt>
                <c:pt idx="18">
                  <c:v>08-033</c:v>
                </c:pt>
                <c:pt idx="19">
                  <c:v>08-035</c:v>
                </c:pt>
                <c:pt idx="20">
                  <c:v>08-036</c:v>
                </c:pt>
                <c:pt idx="21">
                  <c:v>09-005</c:v>
                </c:pt>
                <c:pt idx="22">
                  <c:v>09-006</c:v>
                </c:pt>
                <c:pt idx="23">
                  <c:v>09-008</c:v>
                </c:pt>
                <c:pt idx="24">
                  <c:v>09-011</c:v>
                </c:pt>
                <c:pt idx="25">
                  <c:v>09-012</c:v>
                </c:pt>
                <c:pt idx="26">
                  <c:v>09-013</c:v>
                </c:pt>
                <c:pt idx="27">
                  <c:v>09-014</c:v>
                </c:pt>
                <c:pt idx="28">
                  <c:v>09-019</c:v>
                </c:pt>
                <c:pt idx="29">
                  <c:v>09-021</c:v>
                </c:pt>
                <c:pt idx="30">
                  <c:v>09-023</c:v>
                </c:pt>
                <c:pt idx="31">
                  <c:v>09-041</c:v>
                </c:pt>
                <c:pt idx="32">
                  <c:v>09-042</c:v>
                </c:pt>
                <c:pt idx="33">
                  <c:v>09-043</c:v>
                </c:pt>
                <c:pt idx="34">
                  <c:v>09-044</c:v>
                </c:pt>
                <c:pt idx="35">
                  <c:v>09-045</c:v>
                </c:pt>
                <c:pt idx="36">
                  <c:v>09-046</c:v>
                </c:pt>
                <c:pt idx="37">
                  <c:v>09-047</c:v>
                </c:pt>
                <c:pt idx="38">
                  <c:v>09-048</c:v>
                </c:pt>
                <c:pt idx="39">
                  <c:v>09-049</c:v>
                </c:pt>
                <c:pt idx="40">
                  <c:v>09-050</c:v>
                </c:pt>
                <c:pt idx="41">
                  <c:v>09-051</c:v>
                </c:pt>
                <c:pt idx="42">
                  <c:v>09-052</c:v>
                </c:pt>
                <c:pt idx="43">
                  <c:v>09-053</c:v>
                </c:pt>
                <c:pt idx="44">
                  <c:v>09-054</c:v>
                </c:pt>
                <c:pt idx="45">
                  <c:v>09-055</c:v>
                </c:pt>
                <c:pt idx="46">
                  <c:v>09-056</c:v>
                </c:pt>
                <c:pt idx="47">
                  <c:v>09-057</c:v>
                </c:pt>
                <c:pt idx="48">
                  <c:v>09-058</c:v>
                </c:pt>
                <c:pt idx="49">
                  <c:v>09-059</c:v>
                </c:pt>
                <c:pt idx="50">
                  <c:v>09-060</c:v>
                </c:pt>
                <c:pt idx="51">
                  <c:v>09-061</c:v>
                </c:pt>
                <c:pt idx="52">
                  <c:v>09-062</c:v>
                </c:pt>
                <c:pt idx="53">
                  <c:v>09-063</c:v>
                </c:pt>
                <c:pt idx="54">
                  <c:v>09-064</c:v>
                </c:pt>
                <c:pt idx="55">
                  <c:v>09-065</c:v>
                </c:pt>
                <c:pt idx="56">
                  <c:v>09-066</c:v>
                </c:pt>
                <c:pt idx="57">
                  <c:v>09-067</c:v>
                </c:pt>
                <c:pt idx="58">
                  <c:v>09-068</c:v>
                </c:pt>
                <c:pt idx="59">
                  <c:v>09-069</c:v>
                </c:pt>
                <c:pt idx="60">
                  <c:v>09-070</c:v>
                </c:pt>
                <c:pt idx="61">
                  <c:v>09-071</c:v>
                </c:pt>
                <c:pt idx="62">
                  <c:v>09-072</c:v>
                </c:pt>
                <c:pt idx="63">
                  <c:v>09-073</c:v>
                </c:pt>
                <c:pt idx="64">
                  <c:v>09-074</c:v>
                </c:pt>
                <c:pt idx="65">
                  <c:v>09-075</c:v>
                </c:pt>
                <c:pt idx="66">
                  <c:v>09-076</c:v>
                </c:pt>
                <c:pt idx="67">
                  <c:v>09-077</c:v>
                </c:pt>
                <c:pt idx="68">
                  <c:v>09-078</c:v>
                </c:pt>
                <c:pt idx="69">
                  <c:v>09-079</c:v>
                </c:pt>
                <c:pt idx="70">
                  <c:v>09-080</c:v>
                </c:pt>
                <c:pt idx="71">
                  <c:v>09-081</c:v>
                </c:pt>
                <c:pt idx="72">
                  <c:v>09-082</c:v>
                </c:pt>
                <c:pt idx="73">
                  <c:v>09-083</c:v>
                </c:pt>
                <c:pt idx="74">
                  <c:v>09-084</c:v>
                </c:pt>
                <c:pt idx="75">
                  <c:v>09-085</c:v>
                </c:pt>
                <c:pt idx="76">
                  <c:v>09-086</c:v>
                </c:pt>
                <c:pt idx="77">
                  <c:v>09-087</c:v>
                </c:pt>
                <c:pt idx="78">
                  <c:v>09-088</c:v>
                </c:pt>
                <c:pt idx="79">
                  <c:v>09-089</c:v>
                </c:pt>
                <c:pt idx="80">
                  <c:v>09-090</c:v>
                </c:pt>
                <c:pt idx="81">
                  <c:v>09-091</c:v>
                </c:pt>
                <c:pt idx="82">
                  <c:v>10-001</c:v>
                </c:pt>
                <c:pt idx="83">
                  <c:v>10-002</c:v>
                </c:pt>
                <c:pt idx="84">
                  <c:v>10-003</c:v>
                </c:pt>
                <c:pt idx="85">
                  <c:v>10-004</c:v>
                </c:pt>
                <c:pt idx="86">
                  <c:v>10-005</c:v>
                </c:pt>
                <c:pt idx="87">
                  <c:v>10-006</c:v>
                </c:pt>
                <c:pt idx="88">
                  <c:v>10-007</c:v>
                </c:pt>
                <c:pt idx="89">
                  <c:v>10-008</c:v>
                </c:pt>
                <c:pt idx="90">
                  <c:v>10-009</c:v>
                </c:pt>
                <c:pt idx="91">
                  <c:v>10-010</c:v>
                </c:pt>
                <c:pt idx="92">
                  <c:v>10-011</c:v>
                </c:pt>
                <c:pt idx="93">
                  <c:v>10-012</c:v>
                </c:pt>
                <c:pt idx="94">
                  <c:v>10-013</c:v>
                </c:pt>
                <c:pt idx="95">
                  <c:v>10-014</c:v>
                </c:pt>
                <c:pt idx="96">
                  <c:v>10-015</c:v>
                </c:pt>
                <c:pt idx="97">
                  <c:v>10-016</c:v>
                </c:pt>
                <c:pt idx="98">
                  <c:v>10-017</c:v>
                </c:pt>
                <c:pt idx="99">
                  <c:v>10-018</c:v>
                </c:pt>
                <c:pt idx="100">
                  <c:v>10-019</c:v>
                </c:pt>
                <c:pt idx="101">
                  <c:v>10-020</c:v>
                </c:pt>
                <c:pt idx="102">
                  <c:v>10-021</c:v>
                </c:pt>
                <c:pt idx="103">
                  <c:v>10-022</c:v>
                </c:pt>
                <c:pt idx="104">
                  <c:v>10-023</c:v>
                </c:pt>
                <c:pt idx="105">
                  <c:v>10-024</c:v>
                </c:pt>
                <c:pt idx="106">
                  <c:v>10-025</c:v>
                </c:pt>
                <c:pt idx="107">
                  <c:v>10-026</c:v>
                </c:pt>
                <c:pt idx="108">
                  <c:v>10-027</c:v>
                </c:pt>
                <c:pt idx="109">
                  <c:v>10-028</c:v>
                </c:pt>
                <c:pt idx="110">
                  <c:v>10-029</c:v>
                </c:pt>
                <c:pt idx="111">
                  <c:v>10-030</c:v>
                </c:pt>
                <c:pt idx="112">
                  <c:v>10-031</c:v>
                </c:pt>
                <c:pt idx="113">
                  <c:v>10-032</c:v>
                </c:pt>
                <c:pt idx="114">
                  <c:v>10-033</c:v>
                </c:pt>
                <c:pt idx="115">
                  <c:v>10-034</c:v>
                </c:pt>
                <c:pt idx="116">
                  <c:v>10-035</c:v>
                </c:pt>
                <c:pt idx="117">
                  <c:v>10-036</c:v>
                </c:pt>
                <c:pt idx="118">
                  <c:v>10-037</c:v>
                </c:pt>
                <c:pt idx="119">
                  <c:v>10-038</c:v>
                </c:pt>
                <c:pt idx="120">
                  <c:v>10-039</c:v>
                </c:pt>
                <c:pt idx="121">
                  <c:v>10-040</c:v>
                </c:pt>
                <c:pt idx="122">
                  <c:v>10-041</c:v>
                </c:pt>
                <c:pt idx="123">
                  <c:v>10-042</c:v>
                </c:pt>
                <c:pt idx="124">
                  <c:v>10-043</c:v>
                </c:pt>
                <c:pt idx="125">
                  <c:v>10-044</c:v>
                </c:pt>
                <c:pt idx="126">
                  <c:v>10-045</c:v>
                </c:pt>
                <c:pt idx="127">
                  <c:v>10-046</c:v>
                </c:pt>
                <c:pt idx="128">
                  <c:v>10-047</c:v>
                </c:pt>
                <c:pt idx="129">
                  <c:v>10-048</c:v>
                </c:pt>
                <c:pt idx="130">
                  <c:v>10-049</c:v>
                </c:pt>
                <c:pt idx="131">
                  <c:v>10-050</c:v>
                </c:pt>
                <c:pt idx="132">
                  <c:v>10-051</c:v>
                </c:pt>
                <c:pt idx="133">
                  <c:v>10-052</c:v>
                </c:pt>
                <c:pt idx="134">
                  <c:v>10-053</c:v>
                </c:pt>
                <c:pt idx="135">
                  <c:v>10-054</c:v>
                </c:pt>
                <c:pt idx="136">
                  <c:v>10-055</c:v>
                </c:pt>
                <c:pt idx="137">
                  <c:v>10-056</c:v>
                </c:pt>
                <c:pt idx="138">
                  <c:v>10-057</c:v>
                </c:pt>
                <c:pt idx="139">
                  <c:v>10-058</c:v>
                </c:pt>
                <c:pt idx="140">
                  <c:v>10-059</c:v>
                </c:pt>
                <c:pt idx="141">
                  <c:v>10-060</c:v>
                </c:pt>
                <c:pt idx="142">
                  <c:v>10-061</c:v>
                </c:pt>
                <c:pt idx="143">
                  <c:v>10-062</c:v>
                </c:pt>
                <c:pt idx="144">
                  <c:v>10-063</c:v>
                </c:pt>
                <c:pt idx="145">
                  <c:v>10-064</c:v>
                </c:pt>
                <c:pt idx="146">
                  <c:v>10-065</c:v>
                </c:pt>
                <c:pt idx="147">
                  <c:v>10-066</c:v>
                </c:pt>
                <c:pt idx="148">
                  <c:v>10-067</c:v>
                </c:pt>
                <c:pt idx="149">
                  <c:v>10-068</c:v>
                </c:pt>
                <c:pt idx="150">
                  <c:v>10-069</c:v>
                </c:pt>
                <c:pt idx="151">
                  <c:v>10-070</c:v>
                </c:pt>
                <c:pt idx="152">
                  <c:v>10-071</c:v>
                </c:pt>
                <c:pt idx="153">
                  <c:v>10-072</c:v>
                </c:pt>
                <c:pt idx="154">
                  <c:v>10-073</c:v>
                </c:pt>
                <c:pt idx="155">
                  <c:v>10-074</c:v>
                </c:pt>
                <c:pt idx="156">
                  <c:v>10-075</c:v>
                </c:pt>
                <c:pt idx="157">
                  <c:v>10-076</c:v>
                </c:pt>
                <c:pt idx="158">
                  <c:v>10-077</c:v>
                </c:pt>
                <c:pt idx="159">
                  <c:v>10-078</c:v>
                </c:pt>
                <c:pt idx="160">
                  <c:v>10-079</c:v>
                </c:pt>
                <c:pt idx="161">
                  <c:v>10-080</c:v>
                </c:pt>
                <c:pt idx="162">
                  <c:v>10-081</c:v>
                </c:pt>
                <c:pt idx="163">
                  <c:v>10-082</c:v>
                </c:pt>
              </c:strCache>
            </c:strRef>
          </c:cat>
          <c:val>
            <c:numRef>
              <c:f>'Analysis Plate'!$M$4:$M$167</c:f>
              <c:numCache>
                <c:formatCode>0.00</c:formatCode>
                <c:ptCount val="164"/>
                <c:pt idx="0">
                  <c:v>781.31128755933514</c:v>
                </c:pt>
                <c:pt idx="1">
                  <c:v>727.13111211219848</c:v>
                </c:pt>
                <c:pt idx="2">
                  <c:v>327.8812392749083</c:v>
                </c:pt>
                <c:pt idx="3">
                  <c:v>773.87291819562915</c:v>
                </c:pt>
                <c:pt idx="4">
                  <c:v>718.25465239015602</c:v>
                </c:pt>
                <c:pt idx="5">
                  <c:v>710.86410667312975</c:v>
                </c:pt>
                <c:pt idx="6">
                  <c:v>732.31401584212381</c:v>
                </c:pt>
                <c:pt idx="7">
                  <c:v>750.8390145393646</c:v>
                </c:pt>
                <c:pt idx="8">
                  <c:v>750.09146844177076</c:v>
                </c:pt>
                <c:pt idx="9">
                  <c:v>772.38834340795347</c:v>
                </c:pt>
                <c:pt idx="10">
                  <c:v>811.14465562616056</c:v>
                </c:pt>
                <c:pt idx="11">
                  <c:v>765.68442607202189</c:v>
                </c:pt>
                <c:pt idx="12">
                  <c:v>809.63553470979309</c:v>
                </c:pt>
                <c:pt idx="13">
                  <c:v>779.0676692894383</c:v>
                </c:pt>
                <c:pt idx="14">
                  <c:v>776.83679707260842</c:v>
                </c:pt>
                <c:pt idx="15">
                  <c:v>753.05887466554282</c:v>
                </c:pt>
                <c:pt idx="16">
                  <c:v>778.32260785874507</c:v>
                </c:pt>
                <c:pt idx="17">
                  <c:v>759.73902792519607</c:v>
                </c:pt>
                <c:pt idx="18">
                  <c:v>641.69966512788415</c:v>
                </c:pt>
                <c:pt idx="19">
                  <c:v>606.58087504676882</c:v>
                </c:pt>
                <c:pt idx="20">
                  <c:v>560.52060903425672</c:v>
                </c:pt>
                <c:pt idx="21">
                  <c:v>655.64733513664328</c:v>
                </c:pt>
                <c:pt idx="22">
                  <c:v>662.98300195355375</c:v>
                </c:pt>
                <c:pt idx="23">
                  <c:v>580.20806542169157</c:v>
                </c:pt>
                <c:pt idx="24">
                  <c:v>620.42146460910772</c:v>
                </c:pt>
                <c:pt idx="25">
                  <c:v>603.5943118956493</c:v>
                </c:pt>
                <c:pt idx="26">
                  <c:v>687.30101684874978</c:v>
                </c:pt>
                <c:pt idx="27">
                  <c:v>650.51432886104817</c:v>
                </c:pt>
                <c:pt idx="28">
                  <c:v>588.24193182395015</c:v>
                </c:pt>
                <c:pt idx="29">
                  <c:v>660.77172118068165</c:v>
                </c:pt>
                <c:pt idx="30">
                  <c:v>666.6529292934357</c:v>
                </c:pt>
                <c:pt idx="31">
                  <c:v>638.74095581866902</c:v>
                </c:pt>
                <c:pt idx="32">
                  <c:v>647.57088142917632</c:v>
                </c:pt>
                <c:pt idx="33">
                  <c:v>638.00857754548497</c:v>
                </c:pt>
                <c:pt idx="34">
                  <c:v>679.21452393509071</c:v>
                </c:pt>
                <c:pt idx="35">
                  <c:v>676.21933172828426</c:v>
                </c:pt>
                <c:pt idx="36">
                  <c:v>314.87814251589975</c:v>
                </c:pt>
                <c:pt idx="37">
                  <c:v>317.04538216210551</c:v>
                </c:pt>
                <c:pt idx="38">
                  <c:v>306.93179745285465</c:v>
                </c:pt>
                <c:pt idx="39">
                  <c:v>291.76011753045066</c:v>
                </c:pt>
                <c:pt idx="40">
                  <c:v>304.04191652999612</c:v>
                </c:pt>
                <c:pt idx="41">
                  <c:v>304.04216318560276</c:v>
                </c:pt>
                <c:pt idx="42">
                  <c:v>337.27271334481509</c:v>
                </c:pt>
                <c:pt idx="43">
                  <c:v>311.9886662482744</c:v>
                </c:pt>
                <c:pt idx="44">
                  <c:v>317.7676889052305</c:v>
                </c:pt>
                <c:pt idx="45">
                  <c:v>301.8748553423942</c:v>
                </c:pt>
                <c:pt idx="46">
                  <c:v>314.87822918657417</c:v>
                </c:pt>
                <c:pt idx="47">
                  <c:v>278.03138732710386</c:v>
                </c:pt>
                <c:pt idx="48">
                  <c:v>308.37667809877109</c:v>
                </c:pt>
                <c:pt idx="49">
                  <c:v>304.76452117950743</c:v>
                </c:pt>
                <c:pt idx="50">
                  <c:v>335.10512484594847</c:v>
                </c:pt>
                <c:pt idx="51">
                  <c:v>316.32299927199324</c:v>
                </c:pt>
                <c:pt idx="52">
                  <c:v>315.6006151391187</c:v>
                </c:pt>
                <c:pt idx="53">
                  <c:v>324.99159789232294</c:v>
                </c:pt>
                <c:pt idx="54">
                  <c:v>369.06368641087511</c:v>
                </c:pt>
                <c:pt idx="55">
                  <c:v>377.73656874298047</c:v>
                </c:pt>
                <c:pt idx="56">
                  <c:v>293.20512510503681</c:v>
                </c:pt>
                <c:pt idx="57">
                  <c:v>365.45043618637942</c:v>
                </c:pt>
                <c:pt idx="58">
                  <c:v>406.66208873220546</c:v>
                </c:pt>
                <c:pt idx="59">
                  <c:v>362.56011731344046</c:v>
                </c:pt>
                <c:pt idx="60">
                  <c:v>390.02636547460025</c:v>
                </c:pt>
                <c:pt idx="61">
                  <c:v>359.66985432581885</c:v>
                </c:pt>
                <c:pt idx="62">
                  <c:v>373.40018521932382</c:v>
                </c:pt>
                <c:pt idx="63">
                  <c:v>356.77971511230885</c:v>
                </c:pt>
                <c:pt idx="64">
                  <c:v>332.21578275851323</c:v>
                </c:pt>
                <c:pt idx="65">
                  <c:v>356.05695050041101</c:v>
                </c:pt>
                <c:pt idx="66">
                  <c:v>417.50952992609234</c:v>
                </c:pt>
                <c:pt idx="67">
                  <c:v>394.36416510364683</c:v>
                </c:pt>
                <c:pt idx="68">
                  <c:v>376.29111184054204</c:v>
                </c:pt>
                <c:pt idx="69">
                  <c:v>379.90637913923871</c:v>
                </c:pt>
                <c:pt idx="70">
                  <c:v>450.21206015089081</c:v>
                </c:pt>
                <c:pt idx="71">
                  <c:v>374.12318055782862</c:v>
                </c:pt>
                <c:pt idx="72">
                  <c:v>770.14079287240463</c:v>
                </c:pt>
                <c:pt idx="73">
                  <c:v>815.62114307151887</c:v>
                </c:pt>
                <c:pt idx="74">
                  <c:v>969.04705681010796</c:v>
                </c:pt>
                <c:pt idx="75">
                  <c:v>900.62715775517336</c:v>
                </c:pt>
                <c:pt idx="76">
                  <c:v>859.09134027947209</c:v>
                </c:pt>
                <c:pt idx="77">
                  <c:v>801.42281391150664</c:v>
                </c:pt>
                <c:pt idx="78">
                  <c:v>884.15758780326632</c:v>
                </c:pt>
                <c:pt idx="79">
                  <c:v>775.48362598375741</c:v>
                </c:pt>
                <c:pt idx="80">
                  <c:v>852.34345677383089</c:v>
                </c:pt>
                <c:pt idx="81">
                  <c:v>817.15661572757779</c:v>
                </c:pt>
                <c:pt idx="82">
                  <c:v>914.20626244927348</c:v>
                </c:pt>
                <c:pt idx="83">
                  <c:v>597.00844111623462</c:v>
                </c:pt>
                <c:pt idx="84">
                  <c:v>855.36729655074907</c:v>
                </c:pt>
                <c:pt idx="85">
                  <c:v>873.41483353291426</c:v>
                </c:pt>
                <c:pt idx="86">
                  <c:v>889.27229332886031</c:v>
                </c:pt>
                <c:pt idx="87">
                  <c:v>861.349369497613</c:v>
                </c:pt>
                <c:pt idx="88">
                  <c:v>866.62966478327758</c:v>
                </c:pt>
                <c:pt idx="89">
                  <c:v>874.89769178439155</c:v>
                </c:pt>
                <c:pt idx="90">
                  <c:v>722.70558331941686</c:v>
                </c:pt>
                <c:pt idx="91">
                  <c:v>757.53117808695606</c:v>
                </c:pt>
                <c:pt idx="92">
                  <c:v>617.51424385351061</c:v>
                </c:pt>
                <c:pt idx="93">
                  <c:v>706.43463307205593</c:v>
                </c:pt>
                <c:pt idx="94">
                  <c:v>646.08581037661111</c:v>
                </c:pt>
                <c:pt idx="95">
                  <c:v>645.34947280292181</c:v>
                </c:pt>
                <c:pt idx="96">
                  <c:v>329.32646997041229</c:v>
                </c:pt>
                <c:pt idx="97">
                  <c:v>665.22227669147253</c:v>
                </c:pt>
                <c:pt idx="98">
                  <c:v>335.82760037429</c:v>
                </c:pt>
                <c:pt idx="99">
                  <c:v>322.82445545878977</c:v>
                </c:pt>
                <c:pt idx="100">
                  <c:v>757.53444107555924</c:v>
                </c:pt>
                <c:pt idx="101">
                  <c:v>312.71099557367029</c:v>
                </c:pt>
                <c:pt idx="102">
                  <c:v>372.68268601929424</c:v>
                </c:pt>
                <c:pt idx="103">
                  <c:v>402.31909318375494</c:v>
                </c:pt>
                <c:pt idx="104">
                  <c:v>294.64968636339034</c:v>
                </c:pt>
                <c:pt idx="105">
                  <c:v>367.61988509901096</c:v>
                </c:pt>
                <c:pt idx="106">
                  <c:v>902.18649797638159</c:v>
                </c:pt>
                <c:pt idx="107">
                  <c:v>939.31846623223646</c:v>
                </c:pt>
                <c:pt idx="108">
                  <c:v>815.62114307151887</c:v>
                </c:pt>
                <c:pt idx="109">
                  <c:v>704.9627361871876</c:v>
                </c:pt>
                <c:pt idx="110">
                  <c:v>246.22082464451245</c:v>
                </c:pt>
                <c:pt idx="111">
                  <c:v>0</c:v>
                </c:pt>
                <c:pt idx="112">
                  <c:v>0</c:v>
                </c:pt>
                <c:pt idx="113">
                  <c:v>0</c:v>
                </c:pt>
                <c:pt idx="114">
                  <c:v>0</c:v>
                </c:pt>
                <c:pt idx="115">
                  <c:v>0</c:v>
                </c:pt>
                <c:pt idx="116">
                  <c:v>0</c:v>
                </c:pt>
                <c:pt idx="117">
                  <c:v>0</c:v>
                </c:pt>
                <c:pt idx="118">
                  <c:v>0</c:v>
                </c:pt>
                <c:pt idx="119">
                  <c:v>0</c:v>
                </c:pt>
                <c:pt idx="120">
                  <c:v>0</c:v>
                </c:pt>
                <c:pt idx="121">
                  <c:v>0</c:v>
                </c:pt>
                <c:pt idx="122">
                  <c:v>38.542238048596779</c:v>
                </c:pt>
                <c:pt idx="123">
                  <c:v>0</c:v>
                </c:pt>
                <c:pt idx="124">
                  <c:v>0</c:v>
                </c:pt>
                <c:pt idx="125">
                  <c:v>0</c:v>
                </c:pt>
                <c:pt idx="126">
                  <c:v>0</c:v>
                </c:pt>
                <c:pt idx="127">
                  <c:v>0</c:v>
                </c:pt>
                <c:pt idx="128">
                  <c:v>0</c:v>
                </c:pt>
                <c:pt idx="129">
                  <c:v>38.542238048596779</c:v>
                </c:pt>
                <c:pt idx="130">
                  <c:v>38.542238048596779</c:v>
                </c:pt>
                <c:pt idx="131">
                  <c:v>0</c:v>
                </c:pt>
                <c:pt idx="132">
                  <c:v>0</c:v>
                </c:pt>
                <c:pt idx="133">
                  <c:v>0</c:v>
                </c:pt>
                <c:pt idx="134">
                  <c:v>0</c:v>
                </c:pt>
                <c:pt idx="135">
                  <c:v>0</c:v>
                </c:pt>
                <c:pt idx="136">
                  <c:v>0</c:v>
                </c:pt>
                <c:pt idx="137">
                  <c:v>0</c:v>
                </c:pt>
                <c:pt idx="138">
                  <c:v>38.542238048596779</c:v>
                </c:pt>
                <c:pt idx="139">
                  <c:v>0</c:v>
                </c:pt>
                <c:pt idx="140">
                  <c:v>0</c:v>
                </c:pt>
                <c:pt idx="141">
                  <c:v>0</c:v>
                </c:pt>
                <c:pt idx="142">
                  <c:v>0</c:v>
                </c:pt>
                <c:pt idx="143">
                  <c:v>0</c:v>
                </c:pt>
                <c:pt idx="144">
                  <c:v>0</c:v>
                </c:pt>
                <c:pt idx="145">
                  <c:v>0</c:v>
                </c:pt>
                <c:pt idx="146">
                  <c:v>0</c:v>
                </c:pt>
                <c:pt idx="147">
                  <c:v>38.542238048596779</c:v>
                </c:pt>
                <c:pt idx="148">
                  <c:v>0</c:v>
                </c:pt>
                <c:pt idx="149">
                  <c:v>0</c:v>
                </c:pt>
                <c:pt idx="150">
                  <c:v>0</c:v>
                </c:pt>
                <c:pt idx="151">
                  <c:v>0</c:v>
                </c:pt>
                <c:pt idx="152">
                  <c:v>0</c:v>
                </c:pt>
                <c:pt idx="153">
                  <c:v>0</c:v>
                </c:pt>
                <c:pt idx="154">
                  <c:v>38.542238048596779</c:v>
                </c:pt>
                <c:pt idx="155">
                  <c:v>0</c:v>
                </c:pt>
                <c:pt idx="156">
                  <c:v>0</c:v>
                </c:pt>
                <c:pt idx="157">
                  <c:v>0</c:v>
                </c:pt>
                <c:pt idx="158">
                  <c:v>0</c:v>
                </c:pt>
                <c:pt idx="159">
                  <c:v>0</c:v>
                </c:pt>
                <c:pt idx="160">
                  <c:v>0</c:v>
                </c:pt>
                <c:pt idx="161">
                  <c:v>0</c:v>
                </c:pt>
                <c:pt idx="162">
                  <c:v>0</c:v>
                </c:pt>
                <c:pt idx="163">
                  <c:v>0</c:v>
                </c:pt>
              </c:numCache>
            </c:numRef>
          </c:val>
          <c:extLst>
            <c:ext xmlns:c16="http://schemas.microsoft.com/office/drawing/2014/chart" uri="{C3380CC4-5D6E-409C-BE32-E72D297353CC}">
              <c16:uniqueId val="{00000000-4DF8-43E7-B526-2CEEA74A9757}"/>
            </c:ext>
          </c:extLst>
        </c:ser>
        <c:dLbls>
          <c:showLegendKey val="0"/>
          <c:showVal val="0"/>
          <c:showCatName val="0"/>
          <c:showSerName val="0"/>
          <c:showPercent val="0"/>
          <c:showBubbleSize val="0"/>
        </c:dLbls>
        <c:gapWidth val="150"/>
        <c:axId val="138101120"/>
        <c:axId val="138103040"/>
      </c:barChart>
      <c:catAx>
        <c:axId val="138101120"/>
        <c:scaling>
          <c:orientation val="minMax"/>
        </c:scaling>
        <c:delete val="0"/>
        <c:axPos val="b"/>
        <c:title>
          <c:tx>
            <c:rich>
              <a:bodyPr/>
              <a:lstStyle/>
              <a:p>
                <a:pPr>
                  <a:defRPr/>
                </a:pPr>
                <a:r>
                  <a:rPr lang="en-US"/>
                  <a:t>Sample ID #</a:t>
                </a:r>
              </a:p>
            </c:rich>
          </c:tx>
          <c:overlay val="0"/>
        </c:title>
        <c:numFmt formatCode="General" sourceLinked="1"/>
        <c:majorTickMark val="out"/>
        <c:minorTickMark val="none"/>
        <c:tickLblPos val="nextTo"/>
        <c:crossAx val="138103040"/>
        <c:crosses val="autoZero"/>
        <c:auto val="1"/>
        <c:lblAlgn val="ctr"/>
        <c:lblOffset val="100"/>
        <c:noMultiLvlLbl val="0"/>
      </c:catAx>
      <c:valAx>
        <c:axId val="138103040"/>
        <c:scaling>
          <c:orientation val="minMax"/>
        </c:scaling>
        <c:delete val="0"/>
        <c:axPos val="l"/>
        <c:majorGridlines/>
        <c:title>
          <c:tx>
            <c:rich>
              <a:bodyPr rot="-5400000" vert="horz"/>
              <a:lstStyle/>
              <a:p>
                <a:pPr>
                  <a:defRPr/>
                </a:pPr>
                <a:r>
                  <a:rPr lang="en-US"/>
                  <a:t>[biomaker] units</a:t>
                </a:r>
              </a:p>
            </c:rich>
          </c:tx>
          <c:overlay val="0"/>
        </c:title>
        <c:numFmt formatCode="0.00" sourceLinked="1"/>
        <c:majorTickMark val="out"/>
        <c:minorTickMark val="none"/>
        <c:tickLblPos val="nextTo"/>
        <c:crossAx val="138101120"/>
        <c:crosses val="autoZero"/>
        <c:crossBetween val="between"/>
      </c:valAx>
    </c:plotArea>
    <c:plotVisOnly val="1"/>
    <c:dispBlanksAs val="gap"/>
    <c:showDLblsOverMax val="0"/>
  </c:chart>
  <c:printSettings>
    <c:headerFooter/>
    <c:pageMargins b="0.75000000000000488" l="0.70000000000000062" r="0.70000000000000062" t="0.750000000000004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7028312329576155"/>
          <c:y val="7.199997408324893E-2"/>
        </c:manualLayout>
      </c:layout>
      <c:overlay val="0"/>
      <c:txPr>
        <a:bodyPr/>
        <a:lstStyle/>
        <a:p>
          <a:pPr>
            <a:defRPr sz="1400"/>
          </a:pPr>
          <a:endParaRPr lang="en-US"/>
        </a:p>
      </c:txPr>
    </c:title>
    <c:autoTitleDeleted val="0"/>
    <c:plotArea>
      <c:layout>
        <c:manualLayout>
          <c:layoutTarget val="inner"/>
          <c:xMode val="edge"/>
          <c:yMode val="edge"/>
          <c:x val="0.10813738644115291"/>
          <c:y val="0.17304641690117731"/>
          <c:w val="0.85498945161975426"/>
          <c:h val="0.63366969316726451"/>
        </c:manualLayout>
      </c:layout>
      <c:scatterChart>
        <c:scatterStyle val="lineMarker"/>
        <c:varyColors val="0"/>
        <c:ser>
          <c:idx val="0"/>
          <c:order val="0"/>
          <c:tx>
            <c:v>%CV</c:v>
          </c:tx>
          <c:spPr>
            <a:ln w="28575">
              <a:noFill/>
            </a:ln>
          </c:spPr>
          <c:xVal>
            <c:numRef>
              <c:f>'Analysis Plate'!$P$4:$P$167</c:f>
              <c:numCache>
                <c:formatCode>General</c:formatCode>
                <c:ptCount val="16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numCache>
            </c:numRef>
          </c:xVal>
          <c:yVal>
            <c:numRef>
              <c:f>'Analysis Plate'!$O$4:$O$167</c:f>
              <c:numCache>
                <c:formatCode>0.00</c:formatCode>
                <c:ptCount val="164"/>
                <c:pt idx="0">
                  <c:v>2.5601061103377143</c:v>
                </c:pt>
                <c:pt idx="1">
                  <c:v>1.7267619138475827</c:v>
                </c:pt>
                <c:pt idx="2">
                  <c:v>3.7389754248337361</c:v>
                </c:pt>
                <c:pt idx="3">
                  <c:v>2.8542872581851757</c:v>
                </c:pt>
                <c:pt idx="4">
                  <c:v>1.1642970343397572</c:v>
                </c:pt>
                <c:pt idx="5">
                  <c:v>0</c:v>
                </c:pt>
                <c:pt idx="6">
                  <c:v>2.1443803648025241</c:v>
                </c:pt>
                <c:pt idx="7">
                  <c:v>1.9560433248955793</c:v>
                </c:pt>
                <c:pt idx="8">
                  <c:v>0.41953322162443013</c:v>
                </c:pt>
                <c:pt idx="9">
                  <c:v>3.1315933369694235</c:v>
                </c:pt>
                <c:pt idx="10">
                  <c:v>2.7354375774909876</c:v>
                </c:pt>
                <c:pt idx="11">
                  <c:v>1.3724034503249287</c:v>
                </c:pt>
                <c:pt idx="12">
                  <c:v>0.39142874659322491</c:v>
                </c:pt>
                <c:pt idx="13">
                  <c:v>0.81056273908009546</c:v>
                </c:pt>
                <c:pt idx="14">
                  <c:v>1.2190156310987637</c:v>
                </c:pt>
                <c:pt idx="15">
                  <c:v>0.41801976674003816</c:v>
                </c:pt>
                <c:pt idx="16">
                  <c:v>0.40563342294440868</c:v>
                </c:pt>
                <c:pt idx="17">
                  <c:v>0.27643923924766689</c:v>
                </c:pt>
                <c:pt idx="18">
                  <c:v>5.174138431909828</c:v>
                </c:pt>
                <c:pt idx="19">
                  <c:v>9.5508062744037119</c:v>
                </c:pt>
                <c:pt idx="20">
                  <c:v>3.8621705901739771</c:v>
                </c:pt>
                <c:pt idx="21">
                  <c:v>4.9120138709596226</c:v>
                </c:pt>
                <c:pt idx="22">
                  <c:v>3.2928881254324347</c:v>
                </c:pt>
                <c:pt idx="23">
                  <c:v>1.0675490547089126</c:v>
                </c:pt>
                <c:pt idx="24">
                  <c:v>1.836188469930667</c:v>
                </c:pt>
                <c:pt idx="25">
                  <c:v>3.0841742808149299</c:v>
                </c:pt>
                <c:pt idx="26">
                  <c:v>6.0645842766837053</c:v>
                </c:pt>
                <c:pt idx="27">
                  <c:v>5.7466196251418662</c:v>
                </c:pt>
                <c:pt idx="28">
                  <c:v>1.9316233989132101</c:v>
                </c:pt>
                <c:pt idx="29">
                  <c:v>2.2021393668468061</c:v>
                </c:pt>
                <c:pt idx="30">
                  <c:v>2.1839184735776889</c:v>
                </c:pt>
                <c:pt idx="31">
                  <c:v>0.32478988882667809</c:v>
                </c:pt>
                <c:pt idx="32">
                  <c:v>5.1299281300431288</c:v>
                </c:pt>
                <c:pt idx="33">
                  <c:v>1.1379969005422654</c:v>
                </c:pt>
                <c:pt idx="34">
                  <c:v>7.205083898543176</c:v>
                </c:pt>
                <c:pt idx="35">
                  <c:v>2.6167825784524545</c:v>
                </c:pt>
                <c:pt idx="36">
                  <c:v>3.8933709171013491</c:v>
                </c:pt>
                <c:pt idx="37">
                  <c:v>0.96668089244286848</c:v>
                </c:pt>
                <c:pt idx="38">
                  <c:v>2.3299956334465528</c:v>
                </c:pt>
                <c:pt idx="39">
                  <c:v>3.5021086680242055</c:v>
                </c:pt>
                <c:pt idx="40">
                  <c:v>4.3683573855730993</c:v>
                </c:pt>
                <c:pt idx="41">
                  <c:v>1.6801276730136534</c:v>
                </c:pt>
                <c:pt idx="42">
                  <c:v>4.5437735389957075</c:v>
                </c:pt>
                <c:pt idx="43">
                  <c:v>0.65490721575647048</c:v>
                </c:pt>
                <c:pt idx="44">
                  <c:v>5.1439495860121216</c:v>
                </c:pt>
                <c:pt idx="45">
                  <c:v>2.0306597063965017</c:v>
                </c:pt>
                <c:pt idx="46">
                  <c:v>2.5530102253267154E-14</c:v>
                </c:pt>
                <c:pt idx="47">
                  <c:v>2.5730335476642745</c:v>
                </c:pt>
                <c:pt idx="48">
                  <c:v>0.33129394268696011</c:v>
                </c:pt>
                <c:pt idx="49">
                  <c:v>2.6818238598004704</c:v>
                </c:pt>
                <c:pt idx="50">
                  <c:v>0.60974358791792271</c:v>
                </c:pt>
                <c:pt idx="51">
                  <c:v>0.64592630128473882</c:v>
                </c:pt>
                <c:pt idx="52">
                  <c:v>0.3237027947192142</c:v>
                </c:pt>
                <c:pt idx="53">
                  <c:v>0.62869678601554257</c:v>
                </c:pt>
                <c:pt idx="54">
                  <c:v>0.27692497067350336</c:v>
                </c:pt>
                <c:pt idx="55">
                  <c:v>0.27060989781261335</c:v>
                </c:pt>
                <c:pt idx="56">
                  <c:v>3.4847923290969551</c:v>
                </c:pt>
                <c:pt idx="57">
                  <c:v>1.1185861505675669</c:v>
                </c:pt>
                <c:pt idx="58">
                  <c:v>5.7854771336836732</c:v>
                </c:pt>
                <c:pt idx="59">
                  <c:v>2.2549104895051109</c:v>
                </c:pt>
                <c:pt idx="60">
                  <c:v>2.6215377969916043</c:v>
                </c:pt>
                <c:pt idx="61">
                  <c:v>2.8411737955592442</c:v>
                </c:pt>
                <c:pt idx="62">
                  <c:v>1.9161117794519109</c:v>
                </c:pt>
                <c:pt idx="63">
                  <c:v>3.4368989149932929</c:v>
                </c:pt>
                <c:pt idx="64">
                  <c:v>4.9203453053276034</c:v>
                </c:pt>
                <c:pt idx="65">
                  <c:v>2.5828780692974695</c:v>
                </c:pt>
                <c:pt idx="66">
                  <c:v>0.4901694983994907</c:v>
                </c:pt>
                <c:pt idx="67">
                  <c:v>1.5557832869559611</c:v>
                </c:pt>
                <c:pt idx="68">
                  <c:v>1.3582094928741795</c:v>
                </c:pt>
                <c:pt idx="69">
                  <c:v>4.3052482170775015</c:v>
                </c:pt>
                <c:pt idx="70">
                  <c:v>24.355373600850626</c:v>
                </c:pt>
                <c:pt idx="71">
                  <c:v>2.7320532001892097</c:v>
                </c:pt>
                <c:pt idx="72">
                  <c:v>0.27303306022085866</c:v>
                </c:pt>
                <c:pt idx="73">
                  <c:v>1.944241710197895</c:v>
                </c:pt>
                <c:pt idx="74">
                  <c:v>5.3506067820898471</c:v>
                </c:pt>
                <c:pt idx="75">
                  <c:v>4.9865753269424937</c:v>
                </c:pt>
                <c:pt idx="76">
                  <c:v>0.12375344069135596</c:v>
                </c:pt>
                <c:pt idx="77">
                  <c:v>0.26335924614848211</c:v>
                </c:pt>
                <c:pt idx="78">
                  <c:v>8.9294003239973847</c:v>
                </c:pt>
                <c:pt idx="79">
                  <c:v>8.8185970473689022</c:v>
                </c:pt>
                <c:pt idx="80">
                  <c:v>2.4924356468262809</c:v>
                </c:pt>
                <c:pt idx="81">
                  <c:v>4.7878014113485561</c:v>
                </c:pt>
                <c:pt idx="82">
                  <c:v>3.0469419439373366</c:v>
                </c:pt>
                <c:pt idx="83">
                  <c:v>1.2119898618519351</c:v>
                </c:pt>
                <c:pt idx="84">
                  <c:v>3.7269663140701641</c:v>
                </c:pt>
                <c:pt idx="85">
                  <c:v>3.1710018712910757</c:v>
                </c:pt>
                <c:pt idx="86">
                  <c:v>4.2017782055163835</c:v>
                </c:pt>
                <c:pt idx="87">
                  <c:v>0.9877325665732456</c:v>
                </c:pt>
                <c:pt idx="88">
                  <c:v>2.5788534893983988</c:v>
                </c:pt>
                <c:pt idx="89">
                  <c:v>0.97422727113180108</c:v>
                </c:pt>
                <c:pt idx="90">
                  <c:v>3.4730523939564586</c:v>
                </c:pt>
                <c:pt idx="91">
                  <c:v>3.4647267449593158</c:v>
                </c:pt>
                <c:pt idx="92">
                  <c:v>5.5332554660314797</c:v>
                </c:pt>
                <c:pt idx="93">
                  <c:v>0.88673761839379772</c:v>
                </c:pt>
                <c:pt idx="94">
                  <c:v>2.8917908045363987</c:v>
                </c:pt>
                <c:pt idx="95">
                  <c:v>2.4124108367526311</c:v>
                </c:pt>
                <c:pt idx="96">
                  <c:v>8.0657329049799245</c:v>
                </c:pt>
                <c:pt idx="97">
                  <c:v>6.5651543745051235</c:v>
                </c:pt>
                <c:pt idx="98">
                  <c:v>2.129522685860441</c:v>
                </c:pt>
                <c:pt idx="99">
                  <c:v>2.2152082793939494</c:v>
                </c:pt>
                <c:pt idx="100">
                  <c:v>3.7418970285379718</c:v>
                </c:pt>
                <c:pt idx="101">
                  <c:v>2.9402757043445815</c:v>
                </c:pt>
                <c:pt idx="102">
                  <c:v>9.3249181139838164</c:v>
                </c:pt>
                <c:pt idx="103">
                  <c:v>2.288013473947959</c:v>
                </c:pt>
                <c:pt idx="104">
                  <c:v>5.5482777577313955</c:v>
                </c:pt>
                <c:pt idx="105">
                  <c:v>5.2821661047604058</c:v>
                </c:pt>
                <c:pt idx="106">
                  <c:v>6.4017652987518883</c:v>
                </c:pt>
                <c:pt idx="107">
                  <c:v>5.3806061691844542</c:v>
                </c:pt>
                <c:pt idx="108">
                  <c:v>1.944241710197895</c:v>
                </c:pt>
                <c:pt idx="109">
                  <c:v>2.0730661113908861</c:v>
                </c:pt>
                <c:pt idx="110">
                  <c:v>7.892590107171789</c:v>
                </c:pt>
                <c:pt idx="111">
                  <c:v>0</c:v>
                </c:pt>
                <c:pt idx="112">
                  <c:v>0</c:v>
                </c:pt>
                <c:pt idx="113">
                  <c:v>0</c:v>
                </c:pt>
                <c:pt idx="114">
                  <c:v>0</c:v>
                </c:pt>
                <c:pt idx="115">
                  <c:v>0</c:v>
                </c:pt>
                <c:pt idx="116">
                  <c:v>0</c:v>
                </c:pt>
                <c:pt idx="117">
                  <c:v>0</c:v>
                </c:pt>
                <c:pt idx="118">
                  <c:v>0</c:v>
                </c:pt>
                <c:pt idx="119">
                  <c:v>0</c:v>
                </c:pt>
                <c:pt idx="120">
                  <c:v>0</c:v>
                </c:pt>
                <c:pt idx="121">
                  <c:v>0</c:v>
                </c:pt>
                <c:pt idx="122">
                  <c:v>65.974943199327782</c:v>
                </c:pt>
                <c:pt idx="123">
                  <c:v>0</c:v>
                </c:pt>
                <c:pt idx="124">
                  <c:v>0</c:v>
                </c:pt>
                <c:pt idx="125">
                  <c:v>0</c:v>
                </c:pt>
                <c:pt idx="126">
                  <c:v>0</c:v>
                </c:pt>
                <c:pt idx="127">
                  <c:v>0</c:v>
                </c:pt>
                <c:pt idx="128">
                  <c:v>0</c:v>
                </c:pt>
                <c:pt idx="129">
                  <c:v>0</c:v>
                </c:pt>
                <c:pt idx="130">
                  <c:v>137.25080347640161</c:v>
                </c:pt>
                <c:pt idx="131">
                  <c:v>0</c:v>
                </c:pt>
                <c:pt idx="132">
                  <c:v>0</c:v>
                </c:pt>
                <c:pt idx="133">
                  <c:v>0</c:v>
                </c:pt>
                <c:pt idx="134">
                  <c:v>0</c:v>
                </c:pt>
                <c:pt idx="135">
                  <c:v>0</c:v>
                </c:pt>
                <c:pt idx="136">
                  <c:v>0</c:v>
                </c:pt>
                <c:pt idx="137">
                  <c:v>0</c:v>
                </c:pt>
                <c:pt idx="138">
                  <c:v>128.09059809943281</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117.27280528076578</c:v>
                </c:pt>
                <c:pt idx="155">
                  <c:v>0</c:v>
                </c:pt>
                <c:pt idx="156">
                  <c:v>0</c:v>
                </c:pt>
                <c:pt idx="157">
                  <c:v>0</c:v>
                </c:pt>
                <c:pt idx="158">
                  <c:v>0</c:v>
                </c:pt>
                <c:pt idx="159">
                  <c:v>0</c:v>
                </c:pt>
                <c:pt idx="160">
                  <c:v>0</c:v>
                </c:pt>
                <c:pt idx="161">
                  <c:v>0</c:v>
                </c:pt>
                <c:pt idx="162">
                  <c:v>0</c:v>
                </c:pt>
                <c:pt idx="163">
                  <c:v>0</c:v>
                </c:pt>
              </c:numCache>
            </c:numRef>
          </c:yVal>
          <c:smooth val="0"/>
          <c:extLst>
            <c:ext xmlns:c16="http://schemas.microsoft.com/office/drawing/2014/chart" uri="{C3380CC4-5D6E-409C-BE32-E72D297353CC}">
              <c16:uniqueId val="{00000000-739A-46F8-B330-8BB130F884F5}"/>
            </c:ext>
          </c:extLst>
        </c:ser>
        <c:dLbls>
          <c:showLegendKey val="0"/>
          <c:showVal val="0"/>
          <c:showCatName val="0"/>
          <c:showSerName val="0"/>
          <c:showPercent val="0"/>
          <c:showBubbleSize val="0"/>
        </c:dLbls>
        <c:axId val="138957568"/>
        <c:axId val="138959488"/>
      </c:scatterChart>
      <c:valAx>
        <c:axId val="138957568"/>
        <c:scaling>
          <c:orientation val="minMax"/>
        </c:scaling>
        <c:delete val="0"/>
        <c:axPos val="b"/>
        <c:title>
          <c:tx>
            <c:rich>
              <a:bodyPr/>
              <a:lstStyle/>
              <a:p>
                <a:pPr>
                  <a:defRPr/>
                </a:pPr>
                <a:r>
                  <a:rPr lang="en-US"/>
                  <a:t>Sample #</a:t>
                </a:r>
              </a:p>
            </c:rich>
          </c:tx>
          <c:overlay val="0"/>
        </c:title>
        <c:numFmt formatCode="General" sourceLinked="1"/>
        <c:majorTickMark val="out"/>
        <c:minorTickMark val="none"/>
        <c:tickLblPos val="nextTo"/>
        <c:crossAx val="138959488"/>
        <c:crosses val="autoZero"/>
        <c:crossBetween val="midCat"/>
      </c:valAx>
      <c:valAx>
        <c:axId val="138959488"/>
        <c:scaling>
          <c:orientation val="minMax"/>
        </c:scaling>
        <c:delete val="0"/>
        <c:axPos val="l"/>
        <c:majorGridlines/>
        <c:title>
          <c:tx>
            <c:rich>
              <a:bodyPr rot="-5400000" vert="horz"/>
              <a:lstStyle/>
              <a:p>
                <a:pPr>
                  <a:defRPr/>
                </a:pPr>
                <a:r>
                  <a:rPr lang="en-US"/>
                  <a:t>%CV</a:t>
                </a:r>
              </a:p>
            </c:rich>
          </c:tx>
          <c:overlay val="0"/>
        </c:title>
        <c:numFmt formatCode="0.00" sourceLinked="1"/>
        <c:majorTickMark val="out"/>
        <c:minorTickMark val="none"/>
        <c:tickLblPos val="nextTo"/>
        <c:crossAx val="138957568"/>
        <c:crosses val="autoZero"/>
        <c:crossBetween val="midCat"/>
      </c:valAx>
    </c:plotArea>
    <c:plotVisOnly val="1"/>
    <c:dispBlanksAs val="gap"/>
    <c:showDLblsOverMax val="0"/>
  </c:chart>
  <c:printSettings>
    <c:headerFooter/>
    <c:pageMargins b="0.75000000000000511" l="0.70000000000000062" r="0.70000000000000062" t="0.75000000000000511"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400"/>
          </a:pPr>
          <a:endParaRPr lang="en-US"/>
        </a:p>
      </c:txPr>
    </c:title>
    <c:autoTitleDeleted val="0"/>
    <c:plotArea>
      <c:layout/>
      <c:scatterChart>
        <c:scatterStyle val="lineMarker"/>
        <c:varyColors val="0"/>
        <c:ser>
          <c:idx val="0"/>
          <c:order val="0"/>
          <c:tx>
            <c:v>Concentration vs CV</c:v>
          </c:tx>
          <c:spPr>
            <a:ln w="28575">
              <a:noFill/>
            </a:ln>
          </c:spPr>
          <c:xVal>
            <c:numRef>
              <c:f>'Analysis Plate'!$L$4:$L$167</c:f>
              <c:numCache>
                <c:formatCode>0.00</c:formatCode>
                <c:ptCount val="164"/>
                <c:pt idx="0">
                  <c:v>781.31128755933514</c:v>
                </c:pt>
                <c:pt idx="1">
                  <c:v>727.13111211219848</c:v>
                </c:pt>
                <c:pt idx="2">
                  <c:v>327.8812392749083</c:v>
                </c:pt>
                <c:pt idx="3">
                  <c:v>773.87291819562915</c:v>
                </c:pt>
                <c:pt idx="4">
                  <c:v>718.25465239015602</c:v>
                </c:pt>
                <c:pt idx="5">
                  <c:v>710.86410667312975</c:v>
                </c:pt>
                <c:pt idx="6">
                  <c:v>732.31401584212381</c:v>
                </c:pt>
                <c:pt idx="7">
                  <c:v>750.8390145393646</c:v>
                </c:pt>
                <c:pt idx="8">
                  <c:v>750.09146844177076</c:v>
                </c:pt>
                <c:pt idx="9">
                  <c:v>772.38834340795347</c:v>
                </c:pt>
                <c:pt idx="10">
                  <c:v>811.14465562616056</c:v>
                </c:pt>
                <c:pt idx="11">
                  <c:v>765.68442607202189</c:v>
                </c:pt>
                <c:pt idx="12">
                  <c:v>809.63553470979309</c:v>
                </c:pt>
                <c:pt idx="13">
                  <c:v>779.0676692894383</c:v>
                </c:pt>
                <c:pt idx="14">
                  <c:v>776.83679707260842</c:v>
                </c:pt>
                <c:pt idx="15">
                  <c:v>753.05887466554282</c:v>
                </c:pt>
                <c:pt idx="16">
                  <c:v>778.32260785874507</c:v>
                </c:pt>
                <c:pt idx="17">
                  <c:v>759.73902792519607</c:v>
                </c:pt>
                <c:pt idx="18">
                  <c:v>641.69966512788415</c:v>
                </c:pt>
                <c:pt idx="19">
                  <c:v>606.58087504676882</c:v>
                </c:pt>
                <c:pt idx="20">
                  <c:v>560.52060903425672</c:v>
                </c:pt>
                <c:pt idx="21">
                  <c:v>655.64733513664328</c:v>
                </c:pt>
                <c:pt idx="22">
                  <c:v>662.98300195355375</c:v>
                </c:pt>
                <c:pt idx="23">
                  <c:v>580.20806542169157</c:v>
                </c:pt>
                <c:pt idx="24">
                  <c:v>620.42146460910772</c:v>
                </c:pt>
                <c:pt idx="25">
                  <c:v>603.5943118956493</c:v>
                </c:pt>
                <c:pt idx="26">
                  <c:v>687.30101684874978</c:v>
                </c:pt>
                <c:pt idx="27">
                  <c:v>650.51432886104817</c:v>
                </c:pt>
                <c:pt idx="28">
                  <c:v>588.24193182395015</c:v>
                </c:pt>
                <c:pt idx="29">
                  <c:v>660.77172118068165</c:v>
                </c:pt>
                <c:pt idx="30">
                  <c:v>666.6529292934357</c:v>
                </c:pt>
                <c:pt idx="31">
                  <c:v>638.74095581866902</c:v>
                </c:pt>
                <c:pt idx="32">
                  <c:v>647.57088142917632</c:v>
                </c:pt>
                <c:pt idx="33">
                  <c:v>638.00857754548497</c:v>
                </c:pt>
                <c:pt idx="34">
                  <c:v>679.21452393509071</c:v>
                </c:pt>
                <c:pt idx="35">
                  <c:v>676.21933172828426</c:v>
                </c:pt>
                <c:pt idx="36">
                  <c:v>314.87814251589975</c:v>
                </c:pt>
                <c:pt idx="37">
                  <c:v>317.04538216210551</c:v>
                </c:pt>
                <c:pt idx="38">
                  <c:v>306.93179745285465</c:v>
                </c:pt>
                <c:pt idx="39">
                  <c:v>291.76011753045066</c:v>
                </c:pt>
                <c:pt idx="40">
                  <c:v>304.04191652999612</c:v>
                </c:pt>
                <c:pt idx="41">
                  <c:v>304.04216318560276</c:v>
                </c:pt>
                <c:pt idx="42">
                  <c:v>337.27271334481509</c:v>
                </c:pt>
                <c:pt idx="43">
                  <c:v>311.9886662482744</c:v>
                </c:pt>
                <c:pt idx="44">
                  <c:v>317.7676889052305</c:v>
                </c:pt>
                <c:pt idx="45">
                  <c:v>301.8748553423942</c:v>
                </c:pt>
                <c:pt idx="46">
                  <c:v>314.87822918657417</c:v>
                </c:pt>
                <c:pt idx="47">
                  <c:v>278.03138732710386</c:v>
                </c:pt>
                <c:pt idx="48">
                  <c:v>308.37667809877109</c:v>
                </c:pt>
                <c:pt idx="49">
                  <c:v>304.76452117950743</c:v>
                </c:pt>
                <c:pt idx="50">
                  <c:v>335.10512484594847</c:v>
                </c:pt>
                <c:pt idx="51">
                  <c:v>316.32299927199324</c:v>
                </c:pt>
                <c:pt idx="52">
                  <c:v>315.6006151391187</c:v>
                </c:pt>
                <c:pt idx="53">
                  <c:v>324.99159789232294</c:v>
                </c:pt>
                <c:pt idx="54">
                  <c:v>369.06368641087511</c:v>
                </c:pt>
                <c:pt idx="55">
                  <c:v>377.73656874298047</c:v>
                </c:pt>
                <c:pt idx="56">
                  <c:v>293.20512510503681</c:v>
                </c:pt>
                <c:pt idx="57">
                  <c:v>365.45043618637942</c:v>
                </c:pt>
                <c:pt idx="58">
                  <c:v>406.66208873220546</c:v>
                </c:pt>
                <c:pt idx="59">
                  <c:v>362.56011731344046</c:v>
                </c:pt>
                <c:pt idx="60">
                  <c:v>390.02636547460025</c:v>
                </c:pt>
                <c:pt idx="61">
                  <c:v>359.66985432581885</c:v>
                </c:pt>
                <c:pt idx="62">
                  <c:v>373.40018521932382</c:v>
                </c:pt>
                <c:pt idx="63">
                  <c:v>356.77971511230885</c:v>
                </c:pt>
                <c:pt idx="64">
                  <c:v>332.21578275851323</c:v>
                </c:pt>
                <c:pt idx="65">
                  <c:v>356.05695050041101</c:v>
                </c:pt>
                <c:pt idx="66">
                  <c:v>417.50952992609234</c:v>
                </c:pt>
                <c:pt idx="67">
                  <c:v>394.36416510364683</c:v>
                </c:pt>
                <c:pt idx="68">
                  <c:v>376.29111184054204</c:v>
                </c:pt>
                <c:pt idx="69">
                  <c:v>379.90637913923871</c:v>
                </c:pt>
                <c:pt idx="70">
                  <c:v>450.21206015089081</c:v>
                </c:pt>
                <c:pt idx="71">
                  <c:v>374.12318055782862</c:v>
                </c:pt>
                <c:pt idx="72">
                  <c:v>770.14079287240463</c:v>
                </c:pt>
                <c:pt idx="73">
                  <c:v>815.62114307151887</c:v>
                </c:pt>
                <c:pt idx="74">
                  <c:v>969.04705681010796</c:v>
                </c:pt>
                <c:pt idx="75">
                  <c:v>900.62715775517336</c:v>
                </c:pt>
                <c:pt idx="76">
                  <c:v>859.09134027947209</c:v>
                </c:pt>
                <c:pt idx="77">
                  <c:v>801.42281391150664</c:v>
                </c:pt>
                <c:pt idx="78">
                  <c:v>884.15758780326632</c:v>
                </c:pt>
                <c:pt idx="79">
                  <c:v>775.48362598375741</c:v>
                </c:pt>
                <c:pt idx="80">
                  <c:v>852.34345677383089</c:v>
                </c:pt>
                <c:pt idx="81">
                  <c:v>817.15661572757779</c:v>
                </c:pt>
                <c:pt idx="82">
                  <c:v>914.20626244927348</c:v>
                </c:pt>
                <c:pt idx="83">
                  <c:v>597.00844111623462</c:v>
                </c:pt>
                <c:pt idx="84">
                  <c:v>855.36729655074907</c:v>
                </c:pt>
                <c:pt idx="85">
                  <c:v>873.41483353291426</c:v>
                </c:pt>
                <c:pt idx="86">
                  <c:v>889.27229332886031</c:v>
                </c:pt>
                <c:pt idx="87">
                  <c:v>861.349369497613</c:v>
                </c:pt>
                <c:pt idx="88">
                  <c:v>866.62966478327758</c:v>
                </c:pt>
                <c:pt idx="89">
                  <c:v>874.89769178439155</c:v>
                </c:pt>
                <c:pt idx="90">
                  <c:v>722.70558331941686</c:v>
                </c:pt>
                <c:pt idx="91">
                  <c:v>757.53117808695606</c:v>
                </c:pt>
                <c:pt idx="92">
                  <c:v>617.51424385351061</c:v>
                </c:pt>
                <c:pt idx="93">
                  <c:v>706.43463307205593</c:v>
                </c:pt>
                <c:pt idx="94">
                  <c:v>646.08581037661111</c:v>
                </c:pt>
                <c:pt idx="95">
                  <c:v>645.34947280292181</c:v>
                </c:pt>
                <c:pt idx="96">
                  <c:v>329.32646997041229</c:v>
                </c:pt>
                <c:pt idx="97">
                  <c:v>665.22227669147253</c:v>
                </c:pt>
                <c:pt idx="98">
                  <c:v>335.82760037429</c:v>
                </c:pt>
                <c:pt idx="99">
                  <c:v>322.82445545878977</c:v>
                </c:pt>
                <c:pt idx="100">
                  <c:v>757.53444107555924</c:v>
                </c:pt>
                <c:pt idx="101">
                  <c:v>312.71099557367029</c:v>
                </c:pt>
                <c:pt idx="102">
                  <c:v>372.68268601929424</c:v>
                </c:pt>
                <c:pt idx="103">
                  <c:v>402.31909318375494</c:v>
                </c:pt>
                <c:pt idx="104">
                  <c:v>294.64968636339034</c:v>
                </c:pt>
                <c:pt idx="105">
                  <c:v>367.61988509901096</c:v>
                </c:pt>
                <c:pt idx="106">
                  <c:v>902.18649797638159</c:v>
                </c:pt>
                <c:pt idx="107">
                  <c:v>939.31846623223646</c:v>
                </c:pt>
                <c:pt idx="108">
                  <c:v>815.62114307151887</c:v>
                </c:pt>
                <c:pt idx="109">
                  <c:v>704.9627361871876</c:v>
                </c:pt>
                <c:pt idx="110">
                  <c:v>246.22082464451245</c:v>
                </c:pt>
                <c:pt idx="111">
                  <c:v>0</c:v>
                </c:pt>
                <c:pt idx="112">
                  <c:v>0</c:v>
                </c:pt>
                <c:pt idx="113">
                  <c:v>0</c:v>
                </c:pt>
                <c:pt idx="114">
                  <c:v>0</c:v>
                </c:pt>
                <c:pt idx="115">
                  <c:v>0</c:v>
                </c:pt>
                <c:pt idx="116">
                  <c:v>0</c:v>
                </c:pt>
                <c:pt idx="117">
                  <c:v>0</c:v>
                </c:pt>
                <c:pt idx="118">
                  <c:v>0</c:v>
                </c:pt>
                <c:pt idx="119">
                  <c:v>0</c:v>
                </c:pt>
                <c:pt idx="120">
                  <c:v>0</c:v>
                </c:pt>
                <c:pt idx="121">
                  <c:v>0</c:v>
                </c:pt>
                <c:pt idx="122">
                  <c:v>17.863053320734728</c:v>
                </c:pt>
                <c:pt idx="123">
                  <c:v>0</c:v>
                </c:pt>
                <c:pt idx="124">
                  <c:v>0</c:v>
                </c:pt>
                <c:pt idx="125">
                  <c:v>0</c:v>
                </c:pt>
                <c:pt idx="126">
                  <c:v>0</c:v>
                </c:pt>
                <c:pt idx="127">
                  <c:v>0</c:v>
                </c:pt>
                <c:pt idx="128">
                  <c:v>0</c:v>
                </c:pt>
                <c:pt idx="129">
                  <c:v>1.773198067525851</c:v>
                </c:pt>
                <c:pt idx="130">
                  <c:v>5.6128453464613921</c:v>
                </c:pt>
                <c:pt idx="131">
                  <c:v>0</c:v>
                </c:pt>
                <c:pt idx="132">
                  <c:v>0</c:v>
                </c:pt>
                <c:pt idx="133">
                  <c:v>0</c:v>
                </c:pt>
                <c:pt idx="134">
                  <c:v>0</c:v>
                </c:pt>
                <c:pt idx="135">
                  <c:v>0</c:v>
                </c:pt>
                <c:pt idx="136">
                  <c:v>0</c:v>
                </c:pt>
                <c:pt idx="137">
                  <c:v>0</c:v>
                </c:pt>
                <c:pt idx="138">
                  <c:v>1.7559892253780345</c:v>
                </c:pt>
                <c:pt idx="139">
                  <c:v>0</c:v>
                </c:pt>
                <c:pt idx="140">
                  <c:v>0</c:v>
                </c:pt>
                <c:pt idx="141">
                  <c:v>0</c:v>
                </c:pt>
                <c:pt idx="142">
                  <c:v>0</c:v>
                </c:pt>
                <c:pt idx="143">
                  <c:v>0</c:v>
                </c:pt>
                <c:pt idx="144">
                  <c:v>0</c:v>
                </c:pt>
                <c:pt idx="145">
                  <c:v>0</c:v>
                </c:pt>
                <c:pt idx="146">
                  <c:v>0</c:v>
                </c:pt>
                <c:pt idx="147">
                  <c:v>0.16552427638263878</c:v>
                </c:pt>
                <c:pt idx="148">
                  <c:v>0</c:v>
                </c:pt>
                <c:pt idx="149">
                  <c:v>0</c:v>
                </c:pt>
                <c:pt idx="150">
                  <c:v>0</c:v>
                </c:pt>
                <c:pt idx="151">
                  <c:v>0</c:v>
                </c:pt>
                <c:pt idx="152">
                  <c:v>0</c:v>
                </c:pt>
                <c:pt idx="153">
                  <c:v>0</c:v>
                </c:pt>
                <c:pt idx="154">
                  <c:v>0.96936117195424487</c:v>
                </c:pt>
                <c:pt idx="155">
                  <c:v>0</c:v>
                </c:pt>
                <c:pt idx="156">
                  <c:v>0</c:v>
                </c:pt>
                <c:pt idx="157">
                  <c:v>0</c:v>
                </c:pt>
                <c:pt idx="158">
                  <c:v>0</c:v>
                </c:pt>
                <c:pt idx="159">
                  <c:v>0</c:v>
                </c:pt>
                <c:pt idx="160">
                  <c:v>0</c:v>
                </c:pt>
                <c:pt idx="161">
                  <c:v>0</c:v>
                </c:pt>
                <c:pt idx="162">
                  <c:v>0</c:v>
                </c:pt>
                <c:pt idx="163">
                  <c:v>0</c:v>
                </c:pt>
              </c:numCache>
            </c:numRef>
          </c:xVal>
          <c:yVal>
            <c:numRef>
              <c:f>'Analysis Plate'!$O$4:$O$167</c:f>
              <c:numCache>
                <c:formatCode>0.00</c:formatCode>
                <c:ptCount val="164"/>
                <c:pt idx="0">
                  <c:v>2.5601061103377143</c:v>
                </c:pt>
                <c:pt idx="1">
                  <c:v>1.7267619138475827</c:v>
                </c:pt>
                <c:pt idx="2">
                  <c:v>3.7389754248337361</c:v>
                </c:pt>
                <c:pt idx="3">
                  <c:v>2.8542872581851757</c:v>
                </c:pt>
                <c:pt idx="4">
                  <c:v>1.1642970343397572</c:v>
                </c:pt>
                <c:pt idx="5">
                  <c:v>0</c:v>
                </c:pt>
                <c:pt idx="6">
                  <c:v>2.1443803648025241</c:v>
                </c:pt>
                <c:pt idx="7">
                  <c:v>1.9560433248955793</c:v>
                </c:pt>
                <c:pt idx="8">
                  <c:v>0.41953322162443013</c:v>
                </c:pt>
                <c:pt idx="9">
                  <c:v>3.1315933369694235</c:v>
                </c:pt>
                <c:pt idx="10">
                  <c:v>2.7354375774909876</c:v>
                </c:pt>
                <c:pt idx="11">
                  <c:v>1.3724034503249287</c:v>
                </c:pt>
                <c:pt idx="12">
                  <c:v>0.39142874659322491</c:v>
                </c:pt>
                <c:pt idx="13">
                  <c:v>0.81056273908009546</c:v>
                </c:pt>
                <c:pt idx="14">
                  <c:v>1.2190156310987637</c:v>
                </c:pt>
                <c:pt idx="15">
                  <c:v>0.41801976674003816</c:v>
                </c:pt>
                <c:pt idx="16">
                  <c:v>0.40563342294440868</c:v>
                </c:pt>
                <c:pt idx="17">
                  <c:v>0.27643923924766689</c:v>
                </c:pt>
                <c:pt idx="18">
                  <c:v>5.174138431909828</c:v>
                </c:pt>
                <c:pt idx="19">
                  <c:v>9.5508062744037119</c:v>
                </c:pt>
                <c:pt idx="20">
                  <c:v>3.8621705901739771</c:v>
                </c:pt>
                <c:pt idx="21">
                  <c:v>4.9120138709596226</c:v>
                </c:pt>
                <c:pt idx="22">
                  <c:v>3.2928881254324347</c:v>
                </c:pt>
                <c:pt idx="23">
                  <c:v>1.0675490547089126</c:v>
                </c:pt>
                <c:pt idx="24">
                  <c:v>1.836188469930667</c:v>
                </c:pt>
                <c:pt idx="25">
                  <c:v>3.0841742808149299</c:v>
                </c:pt>
                <c:pt idx="26">
                  <c:v>6.0645842766837053</c:v>
                </c:pt>
                <c:pt idx="27">
                  <c:v>5.7466196251418662</c:v>
                </c:pt>
                <c:pt idx="28">
                  <c:v>1.9316233989132101</c:v>
                </c:pt>
                <c:pt idx="29">
                  <c:v>2.2021393668468061</c:v>
                </c:pt>
                <c:pt idx="30">
                  <c:v>2.1839184735776889</c:v>
                </c:pt>
                <c:pt idx="31">
                  <c:v>0.32478988882667809</c:v>
                </c:pt>
                <c:pt idx="32">
                  <c:v>5.1299281300431288</c:v>
                </c:pt>
                <c:pt idx="33">
                  <c:v>1.1379969005422654</c:v>
                </c:pt>
                <c:pt idx="34">
                  <c:v>7.205083898543176</c:v>
                </c:pt>
                <c:pt idx="35">
                  <c:v>2.6167825784524545</c:v>
                </c:pt>
                <c:pt idx="36">
                  <c:v>3.8933709171013491</c:v>
                </c:pt>
                <c:pt idx="37">
                  <c:v>0.96668089244286848</c:v>
                </c:pt>
                <c:pt idx="38">
                  <c:v>2.3299956334465528</c:v>
                </c:pt>
                <c:pt idx="39">
                  <c:v>3.5021086680242055</c:v>
                </c:pt>
                <c:pt idx="40">
                  <c:v>4.3683573855730993</c:v>
                </c:pt>
                <c:pt idx="41">
                  <c:v>1.6801276730136534</c:v>
                </c:pt>
                <c:pt idx="42">
                  <c:v>4.5437735389957075</c:v>
                </c:pt>
                <c:pt idx="43">
                  <c:v>0.65490721575647048</c:v>
                </c:pt>
                <c:pt idx="44">
                  <c:v>5.1439495860121216</c:v>
                </c:pt>
                <c:pt idx="45">
                  <c:v>2.0306597063965017</c:v>
                </c:pt>
                <c:pt idx="46">
                  <c:v>2.5530102253267154E-14</c:v>
                </c:pt>
                <c:pt idx="47">
                  <c:v>2.5730335476642745</c:v>
                </c:pt>
                <c:pt idx="48">
                  <c:v>0.33129394268696011</c:v>
                </c:pt>
                <c:pt idx="49">
                  <c:v>2.6818238598004704</c:v>
                </c:pt>
                <c:pt idx="50">
                  <c:v>0.60974358791792271</c:v>
                </c:pt>
                <c:pt idx="51">
                  <c:v>0.64592630128473882</c:v>
                </c:pt>
                <c:pt idx="52">
                  <c:v>0.3237027947192142</c:v>
                </c:pt>
                <c:pt idx="53">
                  <c:v>0.62869678601554257</c:v>
                </c:pt>
                <c:pt idx="54">
                  <c:v>0.27692497067350336</c:v>
                </c:pt>
                <c:pt idx="55">
                  <c:v>0.27060989781261335</c:v>
                </c:pt>
                <c:pt idx="56">
                  <c:v>3.4847923290969551</c:v>
                </c:pt>
                <c:pt idx="57">
                  <c:v>1.1185861505675669</c:v>
                </c:pt>
                <c:pt idx="58">
                  <c:v>5.7854771336836732</c:v>
                </c:pt>
                <c:pt idx="59">
                  <c:v>2.2549104895051109</c:v>
                </c:pt>
                <c:pt idx="60">
                  <c:v>2.6215377969916043</c:v>
                </c:pt>
                <c:pt idx="61">
                  <c:v>2.8411737955592442</c:v>
                </c:pt>
                <c:pt idx="62">
                  <c:v>1.9161117794519109</c:v>
                </c:pt>
                <c:pt idx="63">
                  <c:v>3.4368989149932929</c:v>
                </c:pt>
                <c:pt idx="64">
                  <c:v>4.9203453053276034</c:v>
                </c:pt>
                <c:pt idx="65">
                  <c:v>2.5828780692974695</c:v>
                </c:pt>
                <c:pt idx="66">
                  <c:v>0.4901694983994907</c:v>
                </c:pt>
                <c:pt idx="67">
                  <c:v>1.5557832869559611</c:v>
                </c:pt>
                <c:pt idx="68">
                  <c:v>1.3582094928741795</c:v>
                </c:pt>
                <c:pt idx="69">
                  <c:v>4.3052482170775015</c:v>
                </c:pt>
                <c:pt idx="70">
                  <c:v>24.355373600850626</c:v>
                </c:pt>
                <c:pt idx="71">
                  <c:v>2.7320532001892097</c:v>
                </c:pt>
                <c:pt idx="72">
                  <c:v>0.27303306022085866</c:v>
                </c:pt>
                <c:pt idx="73">
                  <c:v>1.944241710197895</c:v>
                </c:pt>
                <c:pt idx="74">
                  <c:v>5.3506067820898471</c:v>
                </c:pt>
                <c:pt idx="75">
                  <c:v>4.9865753269424937</c:v>
                </c:pt>
                <c:pt idx="76">
                  <c:v>0.12375344069135596</c:v>
                </c:pt>
                <c:pt idx="77">
                  <c:v>0.26335924614848211</c:v>
                </c:pt>
                <c:pt idx="78">
                  <c:v>8.9294003239973847</c:v>
                </c:pt>
                <c:pt idx="79">
                  <c:v>8.8185970473689022</c:v>
                </c:pt>
                <c:pt idx="80">
                  <c:v>2.4924356468262809</c:v>
                </c:pt>
                <c:pt idx="81">
                  <c:v>4.7878014113485561</c:v>
                </c:pt>
                <c:pt idx="82">
                  <c:v>3.0469419439373366</c:v>
                </c:pt>
                <c:pt idx="83">
                  <c:v>1.2119898618519351</c:v>
                </c:pt>
                <c:pt idx="84">
                  <c:v>3.7269663140701641</c:v>
                </c:pt>
                <c:pt idx="85">
                  <c:v>3.1710018712910757</c:v>
                </c:pt>
                <c:pt idx="86">
                  <c:v>4.2017782055163835</c:v>
                </c:pt>
                <c:pt idx="87">
                  <c:v>0.9877325665732456</c:v>
                </c:pt>
                <c:pt idx="88">
                  <c:v>2.5788534893983988</c:v>
                </c:pt>
                <c:pt idx="89">
                  <c:v>0.97422727113180108</c:v>
                </c:pt>
                <c:pt idx="90">
                  <c:v>3.4730523939564586</c:v>
                </c:pt>
                <c:pt idx="91">
                  <c:v>3.4647267449593158</c:v>
                </c:pt>
                <c:pt idx="92">
                  <c:v>5.5332554660314797</c:v>
                </c:pt>
                <c:pt idx="93">
                  <c:v>0.88673761839379772</c:v>
                </c:pt>
                <c:pt idx="94">
                  <c:v>2.8917908045363987</c:v>
                </c:pt>
                <c:pt idx="95">
                  <c:v>2.4124108367526311</c:v>
                </c:pt>
                <c:pt idx="96">
                  <c:v>8.0657329049799245</c:v>
                </c:pt>
                <c:pt idx="97">
                  <c:v>6.5651543745051235</c:v>
                </c:pt>
                <c:pt idx="98">
                  <c:v>2.129522685860441</c:v>
                </c:pt>
                <c:pt idx="99">
                  <c:v>2.2152082793939494</c:v>
                </c:pt>
                <c:pt idx="100">
                  <c:v>3.7418970285379718</c:v>
                </c:pt>
                <c:pt idx="101">
                  <c:v>2.9402757043445815</c:v>
                </c:pt>
                <c:pt idx="102">
                  <c:v>9.3249181139838164</c:v>
                </c:pt>
                <c:pt idx="103">
                  <c:v>2.288013473947959</c:v>
                </c:pt>
                <c:pt idx="104">
                  <c:v>5.5482777577313955</c:v>
                </c:pt>
                <c:pt idx="105">
                  <c:v>5.2821661047604058</c:v>
                </c:pt>
                <c:pt idx="106">
                  <c:v>6.4017652987518883</c:v>
                </c:pt>
                <c:pt idx="107">
                  <c:v>5.3806061691844542</c:v>
                </c:pt>
                <c:pt idx="108">
                  <c:v>1.944241710197895</c:v>
                </c:pt>
                <c:pt idx="109">
                  <c:v>2.0730661113908861</c:v>
                </c:pt>
                <c:pt idx="110">
                  <c:v>7.892590107171789</c:v>
                </c:pt>
                <c:pt idx="111">
                  <c:v>0</c:v>
                </c:pt>
                <c:pt idx="112">
                  <c:v>0</c:v>
                </c:pt>
                <c:pt idx="113">
                  <c:v>0</c:v>
                </c:pt>
                <c:pt idx="114">
                  <c:v>0</c:v>
                </c:pt>
                <c:pt idx="115">
                  <c:v>0</c:v>
                </c:pt>
                <c:pt idx="116">
                  <c:v>0</c:v>
                </c:pt>
                <c:pt idx="117">
                  <c:v>0</c:v>
                </c:pt>
                <c:pt idx="118">
                  <c:v>0</c:v>
                </c:pt>
                <c:pt idx="119">
                  <c:v>0</c:v>
                </c:pt>
                <c:pt idx="120">
                  <c:v>0</c:v>
                </c:pt>
                <c:pt idx="121">
                  <c:v>0</c:v>
                </c:pt>
                <c:pt idx="122">
                  <c:v>65.974943199327782</c:v>
                </c:pt>
                <c:pt idx="123">
                  <c:v>0</c:v>
                </c:pt>
                <c:pt idx="124">
                  <c:v>0</c:v>
                </c:pt>
                <c:pt idx="125">
                  <c:v>0</c:v>
                </c:pt>
                <c:pt idx="126">
                  <c:v>0</c:v>
                </c:pt>
                <c:pt idx="127">
                  <c:v>0</c:v>
                </c:pt>
                <c:pt idx="128">
                  <c:v>0</c:v>
                </c:pt>
                <c:pt idx="129">
                  <c:v>0</c:v>
                </c:pt>
                <c:pt idx="130">
                  <c:v>137.25080347640161</c:v>
                </c:pt>
                <c:pt idx="131">
                  <c:v>0</c:v>
                </c:pt>
                <c:pt idx="132">
                  <c:v>0</c:v>
                </c:pt>
                <c:pt idx="133">
                  <c:v>0</c:v>
                </c:pt>
                <c:pt idx="134">
                  <c:v>0</c:v>
                </c:pt>
                <c:pt idx="135">
                  <c:v>0</c:v>
                </c:pt>
                <c:pt idx="136">
                  <c:v>0</c:v>
                </c:pt>
                <c:pt idx="137">
                  <c:v>0</c:v>
                </c:pt>
                <c:pt idx="138">
                  <c:v>128.09059809943281</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117.27280528076578</c:v>
                </c:pt>
                <c:pt idx="155">
                  <c:v>0</c:v>
                </c:pt>
                <c:pt idx="156">
                  <c:v>0</c:v>
                </c:pt>
                <c:pt idx="157">
                  <c:v>0</c:v>
                </c:pt>
                <c:pt idx="158">
                  <c:v>0</c:v>
                </c:pt>
                <c:pt idx="159">
                  <c:v>0</c:v>
                </c:pt>
                <c:pt idx="160">
                  <c:v>0</c:v>
                </c:pt>
                <c:pt idx="161">
                  <c:v>0</c:v>
                </c:pt>
                <c:pt idx="162">
                  <c:v>0</c:v>
                </c:pt>
                <c:pt idx="163">
                  <c:v>0</c:v>
                </c:pt>
              </c:numCache>
            </c:numRef>
          </c:yVal>
          <c:smooth val="0"/>
          <c:extLst>
            <c:ext xmlns:c16="http://schemas.microsoft.com/office/drawing/2014/chart" uri="{C3380CC4-5D6E-409C-BE32-E72D297353CC}">
              <c16:uniqueId val="{00000000-EE2A-4971-AF63-5806D4B570CB}"/>
            </c:ext>
          </c:extLst>
        </c:ser>
        <c:dLbls>
          <c:showLegendKey val="0"/>
          <c:showVal val="0"/>
          <c:showCatName val="0"/>
          <c:showSerName val="0"/>
          <c:showPercent val="0"/>
          <c:showBubbleSize val="0"/>
        </c:dLbls>
        <c:axId val="138987776"/>
        <c:axId val="138989952"/>
      </c:scatterChart>
      <c:valAx>
        <c:axId val="138987776"/>
        <c:scaling>
          <c:orientation val="minMax"/>
        </c:scaling>
        <c:delete val="0"/>
        <c:axPos val="b"/>
        <c:title>
          <c:tx>
            <c:rich>
              <a:bodyPr/>
              <a:lstStyle/>
              <a:p>
                <a:pPr>
                  <a:defRPr/>
                </a:pPr>
                <a:r>
                  <a:rPr lang="en-US"/>
                  <a:t>[Biomarker] units</a:t>
                </a:r>
              </a:p>
            </c:rich>
          </c:tx>
          <c:overlay val="0"/>
        </c:title>
        <c:numFmt formatCode="0.00E+00" sourceLinked="0"/>
        <c:majorTickMark val="out"/>
        <c:minorTickMark val="none"/>
        <c:tickLblPos val="nextTo"/>
        <c:crossAx val="138989952"/>
        <c:crosses val="autoZero"/>
        <c:crossBetween val="midCat"/>
      </c:valAx>
      <c:valAx>
        <c:axId val="138989952"/>
        <c:scaling>
          <c:orientation val="minMax"/>
        </c:scaling>
        <c:delete val="0"/>
        <c:axPos val="l"/>
        <c:majorGridlines/>
        <c:title>
          <c:tx>
            <c:rich>
              <a:bodyPr rot="-5400000" vert="horz"/>
              <a:lstStyle/>
              <a:p>
                <a:pPr>
                  <a:defRPr/>
                </a:pPr>
                <a:r>
                  <a:rPr lang="en-US"/>
                  <a:t>%CV</a:t>
                </a:r>
              </a:p>
            </c:rich>
          </c:tx>
          <c:overlay val="0"/>
        </c:title>
        <c:numFmt formatCode="0.00" sourceLinked="1"/>
        <c:majorTickMark val="out"/>
        <c:minorTickMark val="none"/>
        <c:tickLblPos val="nextTo"/>
        <c:crossAx val="138987776"/>
        <c:crosses val="autoZero"/>
        <c:crossBetween val="midCat"/>
      </c:valAx>
    </c:plotArea>
    <c:plotVisOnly val="1"/>
    <c:dispBlanksAs val="gap"/>
    <c:showDLblsOverMax val="0"/>
  </c:chart>
  <c:printSettings>
    <c:headerFooter/>
    <c:pageMargins b="0.75000000000000511" l="0.70000000000000062" r="0.70000000000000062" t="0.750000000000005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errBars>
            <c:errBarType val="both"/>
            <c:errValType val="cust"/>
            <c:noEndCap val="0"/>
            <c:plus>
              <c:numRef>
                <c:f>'Analysis Plate'!$N$4:$N$39</c:f>
                <c:numCache>
                  <c:formatCode>General</c:formatCode>
                  <c:ptCount val="36"/>
                  <c:pt idx="0">
                    <c:v>20.002398013564807</c:v>
                  </c:pt>
                  <c:pt idx="1">
                    <c:v>12.555823107689811</c:v>
                  </c:pt>
                  <c:pt idx="2">
                    <c:v>12.259398959129122</c:v>
                  </c:pt>
                  <c:pt idx="3">
                    <c:v>22.088556098603632</c:v>
                  </c:pt>
                  <c:pt idx="4">
                    <c:v>8.3626176167859185</c:v>
                  </c:pt>
                  <c:pt idx="5">
                    <c:v>0</c:v>
                  </c:pt>
                  <c:pt idx="6">
                    <c:v>15.70359796441535</c:v>
                  </c:pt>
                  <c:pt idx="7">
                    <c:v>14.686736424608988</c:v>
                  </c:pt>
                  <c:pt idx="8">
                    <c:v>3.1468829026837564</c:v>
                  </c:pt>
                  <c:pt idx="9">
                    <c:v>24.188061897691981</c:v>
                  </c:pt>
                  <c:pt idx="10">
                    <c:v>22.188355717807859</c:v>
                  </c:pt>
                  <c:pt idx="11">
                    <c:v>10.508279482013057</c:v>
                  </c:pt>
                  <c:pt idx="12">
                    <c:v>3.1691462254878973</c:v>
                  </c:pt>
                  <c:pt idx="13">
                    <c:v>6.314832239479931</c:v>
                  </c:pt>
                  <c:pt idx="14">
                    <c:v>9.4697619844420799</c:v>
                  </c:pt>
                  <c:pt idx="15">
                    <c:v>3.1479349512920587</c:v>
                  </c:pt>
                  <c:pt idx="16">
                    <c:v>3.1571366358076149</c:v>
                  </c:pt>
                  <c:pt idx="17">
                    <c:v>2.1002167890640315</c:v>
                  </c:pt>
                  <c:pt idx="18">
                    <c:v>33.202428990818525</c:v>
                  </c:pt>
                  <c:pt idx="19">
                    <c:v>57.933364273299738</c:v>
                  </c:pt>
                  <c:pt idx="20">
                    <c:v>21.648262113985126</c:v>
                  </c:pt>
                  <c:pt idx="21">
                    <c:v>32.205488046489045</c:v>
                  </c:pt>
                  <c:pt idx="22">
                    <c:v>21.831288544964057</c:v>
                  </c:pt>
                  <c:pt idx="23">
                    <c:v>6.1940057177541377</c:v>
                  </c:pt>
                  <c:pt idx="24">
                    <c:v>11.392107398127409</c:v>
                  </c:pt>
                  <c:pt idx="25">
                    <c:v>18.615900527947467</c:v>
                  </c:pt>
                  <c:pt idx="26">
                    <c:v>41.6819494012965</c:v>
                  </c:pt>
                  <c:pt idx="27">
                    <c:v>37.382584086688894</c:v>
                  </c:pt>
                  <c:pt idx="28">
                    <c:v>11.362618797330514</c:v>
                  </c:pt>
                  <c:pt idx="29">
                    <c:v>14.551114197111005</c:v>
                  </c:pt>
                  <c:pt idx="30">
                    <c:v>14.55915647748615</c:v>
                  </c:pt>
                  <c:pt idx="31">
                    <c:v>2.0745660402939161</c:v>
                  </c:pt>
                  <c:pt idx="32">
                    <c:v>33.21992080840355</c:v>
                  </c:pt>
                  <c:pt idx="33">
                    <c:v>7.260517837661415</c:v>
                  </c:pt>
                  <c:pt idx="34">
                    <c:v>48.937976300613904</c:v>
                  </c:pt>
                  <c:pt idx="35">
                    <c:v>17.695189664793354</c:v>
                  </c:pt>
                </c:numCache>
              </c:numRef>
            </c:plus>
            <c:minus>
              <c:numRef>
                <c:f>'Analysis Plate'!$N$4:$N$39</c:f>
                <c:numCache>
                  <c:formatCode>General</c:formatCode>
                  <c:ptCount val="36"/>
                  <c:pt idx="0">
                    <c:v>20.002398013564807</c:v>
                  </c:pt>
                  <c:pt idx="1">
                    <c:v>12.555823107689811</c:v>
                  </c:pt>
                  <c:pt idx="2">
                    <c:v>12.259398959129122</c:v>
                  </c:pt>
                  <c:pt idx="3">
                    <c:v>22.088556098603632</c:v>
                  </c:pt>
                  <c:pt idx="4">
                    <c:v>8.3626176167859185</c:v>
                  </c:pt>
                  <c:pt idx="5">
                    <c:v>0</c:v>
                  </c:pt>
                  <c:pt idx="6">
                    <c:v>15.70359796441535</c:v>
                  </c:pt>
                  <c:pt idx="7">
                    <c:v>14.686736424608988</c:v>
                  </c:pt>
                  <c:pt idx="8">
                    <c:v>3.1468829026837564</c:v>
                  </c:pt>
                  <c:pt idx="9">
                    <c:v>24.188061897691981</c:v>
                  </c:pt>
                  <c:pt idx="10">
                    <c:v>22.188355717807859</c:v>
                  </c:pt>
                  <c:pt idx="11">
                    <c:v>10.508279482013057</c:v>
                  </c:pt>
                  <c:pt idx="12">
                    <c:v>3.1691462254878973</c:v>
                  </c:pt>
                  <c:pt idx="13">
                    <c:v>6.314832239479931</c:v>
                  </c:pt>
                  <c:pt idx="14">
                    <c:v>9.4697619844420799</c:v>
                  </c:pt>
                  <c:pt idx="15">
                    <c:v>3.1479349512920587</c:v>
                  </c:pt>
                  <c:pt idx="16">
                    <c:v>3.1571366358076149</c:v>
                  </c:pt>
                  <c:pt idx="17">
                    <c:v>2.1002167890640315</c:v>
                  </c:pt>
                  <c:pt idx="18">
                    <c:v>33.202428990818525</c:v>
                  </c:pt>
                  <c:pt idx="19">
                    <c:v>57.933364273299738</c:v>
                  </c:pt>
                  <c:pt idx="20">
                    <c:v>21.648262113985126</c:v>
                  </c:pt>
                  <c:pt idx="21">
                    <c:v>32.205488046489045</c:v>
                  </c:pt>
                  <c:pt idx="22">
                    <c:v>21.831288544964057</c:v>
                  </c:pt>
                  <c:pt idx="23">
                    <c:v>6.1940057177541377</c:v>
                  </c:pt>
                  <c:pt idx="24">
                    <c:v>11.392107398127409</c:v>
                  </c:pt>
                  <c:pt idx="25">
                    <c:v>18.615900527947467</c:v>
                  </c:pt>
                  <c:pt idx="26">
                    <c:v>41.6819494012965</c:v>
                  </c:pt>
                  <c:pt idx="27">
                    <c:v>37.382584086688894</c:v>
                  </c:pt>
                  <c:pt idx="28">
                    <c:v>11.362618797330514</c:v>
                  </c:pt>
                  <c:pt idx="29">
                    <c:v>14.551114197111005</c:v>
                  </c:pt>
                  <c:pt idx="30">
                    <c:v>14.55915647748615</c:v>
                  </c:pt>
                  <c:pt idx="31">
                    <c:v>2.0745660402939161</c:v>
                  </c:pt>
                  <c:pt idx="32">
                    <c:v>33.21992080840355</c:v>
                  </c:pt>
                  <c:pt idx="33">
                    <c:v>7.260517837661415</c:v>
                  </c:pt>
                  <c:pt idx="34">
                    <c:v>48.937976300613904</c:v>
                  </c:pt>
                  <c:pt idx="35">
                    <c:v>17.695189664793354</c:v>
                  </c:pt>
                </c:numCache>
              </c:numRef>
            </c:minus>
          </c:errBars>
          <c:cat>
            <c:strRef>
              <c:f>'Analysis Plate'!$I$4:$I$167</c:f>
              <c:strCache>
                <c:ptCount val="164"/>
                <c:pt idx="0">
                  <c:v>07-026</c:v>
                </c:pt>
                <c:pt idx="1">
                  <c:v>07-027</c:v>
                </c:pt>
                <c:pt idx="2">
                  <c:v>08-002</c:v>
                </c:pt>
                <c:pt idx="3">
                  <c:v>08-003</c:v>
                </c:pt>
                <c:pt idx="4">
                  <c:v>08-005</c:v>
                </c:pt>
                <c:pt idx="5">
                  <c:v>08-006</c:v>
                </c:pt>
                <c:pt idx="6">
                  <c:v>08-007</c:v>
                </c:pt>
                <c:pt idx="7">
                  <c:v>08-011</c:v>
                </c:pt>
                <c:pt idx="8">
                  <c:v>08-014</c:v>
                </c:pt>
                <c:pt idx="9">
                  <c:v>08-017</c:v>
                </c:pt>
                <c:pt idx="10">
                  <c:v>08-020</c:v>
                </c:pt>
                <c:pt idx="11">
                  <c:v>08-021</c:v>
                </c:pt>
                <c:pt idx="12">
                  <c:v>08-023</c:v>
                </c:pt>
                <c:pt idx="13">
                  <c:v>08-025</c:v>
                </c:pt>
                <c:pt idx="14">
                  <c:v>08-027</c:v>
                </c:pt>
                <c:pt idx="15">
                  <c:v>08-028</c:v>
                </c:pt>
                <c:pt idx="16">
                  <c:v>08-030</c:v>
                </c:pt>
                <c:pt idx="17">
                  <c:v>08-031</c:v>
                </c:pt>
                <c:pt idx="18">
                  <c:v>08-033</c:v>
                </c:pt>
                <c:pt idx="19">
                  <c:v>08-035</c:v>
                </c:pt>
                <c:pt idx="20">
                  <c:v>08-036</c:v>
                </c:pt>
                <c:pt idx="21">
                  <c:v>09-005</c:v>
                </c:pt>
                <c:pt idx="22">
                  <c:v>09-006</c:v>
                </c:pt>
                <c:pt idx="23">
                  <c:v>09-008</c:v>
                </c:pt>
                <c:pt idx="24">
                  <c:v>09-011</c:v>
                </c:pt>
                <c:pt idx="25">
                  <c:v>09-012</c:v>
                </c:pt>
                <c:pt idx="26">
                  <c:v>09-013</c:v>
                </c:pt>
                <c:pt idx="27">
                  <c:v>09-014</c:v>
                </c:pt>
                <c:pt idx="28">
                  <c:v>09-019</c:v>
                </c:pt>
                <c:pt idx="29">
                  <c:v>09-021</c:v>
                </c:pt>
                <c:pt idx="30">
                  <c:v>09-023</c:v>
                </c:pt>
                <c:pt idx="31">
                  <c:v>09-041</c:v>
                </c:pt>
                <c:pt idx="32">
                  <c:v>09-042</c:v>
                </c:pt>
                <c:pt idx="33">
                  <c:v>09-043</c:v>
                </c:pt>
                <c:pt idx="34">
                  <c:v>09-044</c:v>
                </c:pt>
                <c:pt idx="35">
                  <c:v>09-045</c:v>
                </c:pt>
                <c:pt idx="36">
                  <c:v>09-046</c:v>
                </c:pt>
                <c:pt idx="37">
                  <c:v>09-047</c:v>
                </c:pt>
                <c:pt idx="38">
                  <c:v>09-048</c:v>
                </c:pt>
                <c:pt idx="39">
                  <c:v>09-049</c:v>
                </c:pt>
                <c:pt idx="40">
                  <c:v>09-050</c:v>
                </c:pt>
                <c:pt idx="41">
                  <c:v>09-051</c:v>
                </c:pt>
                <c:pt idx="42">
                  <c:v>09-052</c:v>
                </c:pt>
                <c:pt idx="43">
                  <c:v>09-053</c:v>
                </c:pt>
                <c:pt idx="44">
                  <c:v>09-054</c:v>
                </c:pt>
                <c:pt idx="45">
                  <c:v>09-055</c:v>
                </c:pt>
                <c:pt idx="46">
                  <c:v>09-056</c:v>
                </c:pt>
                <c:pt idx="47">
                  <c:v>09-057</c:v>
                </c:pt>
                <c:pt idx="48">
                  <c:v>09-058</c:v>
                </c:pt>
                <c:pt idx="49">
                  <c:v>09-059</c:v>
                </c:pt>
                <c:pt idx="50">
                  <c:v>09-060</c:v>
                </c:pt>
                <c:pt idx="51">
                  <c:v>09-061</c:v>
                </c:pt>
                <c:pt idx="52">
                  <c:v>09-062</c:v>
                </c:pt>
                <c:pt idx="53">
                  <c:v>09-063</c:v>
                </c:pt>
                <c:pt idx="54">
                  <c:v>09-064</c:v>
                </c:pt>
                <c:pt idx="55">
                  <c:v>09-065</c:v>
                </c:pt>
                <c:pt idx="56">
                  <c:v>09-066</c:v>
                </c:pt>
                <c:pt idx="57">
                  <c:v>09-067</c:v>
                </c:pt>
                <c:pt idx="58">
                  <c:v>09-068</c:v>
                </c:pt>
                <c:pt idx="59">
                  <c:v>09-069</c:v>
                </c:pt>
                <c:pt idx="60">
                  <c:v>09-070</c:v>
                </c:pt>
                <c:pt idx="61">
                  <c:v>09-071</c:v>
                </c:pt>
                <c:pt idx="62">
                  <c:v>09-072</c:v>
                </c:pt>
                <c:pt idx="63">
                  <c:v>09-073</c:v>
                </c:pt>
                <c:pt idx="64">
                  <c:v>09-074</c:v>
                </c:pt>
                <c:pt idx="65">
                  <c:v>09-075</c:v>
                </c:pt>
                <c:pt idx="66">
                  <c:v>09-076</c:v>
                </c:pt>
                <c:pt idx="67">
                  <c:v>09-077</c:v>
                </c:pt>
                <c:pt idx="68">
                  <c:v>09-078</c:v>
                </c:pt>
                <c:pt idx="69">
                  <c:v>09-079</c:v>
                </c:pt>
                <c:pt idx="70">
                  <c:v>09-080</c:v>
                </c:pt>
                <c:pt idx="71">
                  <c:v>09-081</c:v>
                </c:pt>
                <c:pt idx="72">
                  <c:v>09-082</c:v>
                </c:pt>
                <c:pt idx="73">
                  <c:v>09-083</c:v>
                </c:pt>
                <c:pt idx="74">
                  <c:v>09-084</c:v>
                </c:pt>
                <c:pt idx="75">
                  <c:v>09-085</c:v>
                </c:pt>
                <c:pt idx="76">
                  <c:v>09-086</c:v>
                </c:pt>
                <c:pt idx="77">
                  <c:v>09-087</c:v>
                </c:pt>
                <c:pt idx="78">
                  <c:v>09-088</c:v>
                </c:pt>
                <c:pt idx="79">
                  <c:v>09-089</c:v>
                </c:pt>
                <c:pt idx="80">
                  <c:v>09-090</c:v>
                </c:pt>
                <c:pt idx="81">
                  <c:v>09-091</c:v>
                </c:pt>
                <c:pt idx="82">
                  <c:v>10-001</c:v>
                </c:pt>
                <c:pt idx="83">
                  <c:v>10-002</c:v>
                </c:pt>
                <c:pt idx="84">
                  <c:v>10-003</c:v>
                </c:pt>
                <c:pt idx="85">
                  <c:v>10-004</c:v>
                </c:pt>
                <c:pt idx="86">
                  <c:v>10-005</c:v>
                </c:pt>
                <c:pt idx="87">
                  <c:v>10-006</c:v>
                </c:pt>
                <c:pt idx="88">
                  <c:v>10-007</c:v>
                </c:pt>
                <c:pt idx="89">
                  <c:v>10-008</c:v>
                </c:pt>
                <c:pt idx="90">
                  <c:v>10-009</c:v>
                </c:pt>
                <c:pt idx="91">
                  <c:v>10-010</c:v>
                </c:pt>
                <c:pt idx="92">
                  <c:v>10-011</c:v>
                </c:pt>
                <c:pt idx="93">
                  <c:v>10-012</c:v>
                </c:pt>
                <c:pt idx="94">
                  <c:v>10-013</c:v>
                </c:pt>
                <c:pt idx="95">
                  <c:v>10-014</c:v>
                </c:pt>
                <c:pt idx="96">
                  <c:v>10-015</c:v>
                </c:pt>
                <c:pt idx="97">
                  <c:v>10-016</c:v>
                </c:pt>
                <c:pt idx="98">
                  <c:v>10-017</c:v>
                </c:pt>
                <c:pt idx="99">
                  <c:v>10-018</c:v>
                </c:pt>
                <c:pt idx="100">
                  <c:v>10-019</c:v>
                </c:pt>
                <c:pt idx="101">
                  <c:v>10-020</c:v>
                </c:pt>
                <c:pt idx="102">
                  <c:v>10-021</c:v>
                </c:pt>
                <c:pt idx="103">
                  <c:v>10-022</c:v>
                </c:pt>
                <c:pt idx="104">
                  <c:v>10-023</c:v>
                </c:pt>
                <c:pt idx="105">
                  <c:v>10-024</c:v>
                </c:pt>
                <c:pt idx="106">
                  <c:v>10-025</c:v>
                </c:pt>
                <c:pt idx="107">
                  <c:v>10-026</c:v>
                </c:pt>
                <c:pt idx="108">
                  <c:v>10-027</c:v>
                </c:pt>
                <c:pt idx="109">
                  <c:v>10-028</c:v>
                </c:pt>
                <c:pt idx="110">
                  <c:v>10-029</c:v>
                </c:pt>
                <c:pt idx="111">
                  <c:v>10-030</c:v>
                </c:pt>
                <c:pt idx="112">
                  <c:v>10-031</c:v>
                </c:pt>
                <c:pt idx="113">
                  <c:v>10-032</c:v>
                </c:pt>
                <c:pt idx="114">
                  <c:v>10-033</c:v>
                </c:pt>
                <c:pt idx="115">
                  <c:v>10-034</c:v>
                </c:pt>
                <c:pt idx="116">
                  <c:v>10-035</c:v>
                </c:pt>
                <c:pt idx="117">
                  <c:v>10-036</c:v>
                </c:pt>
                <c:pt idx="118">
                  <c:v>10-037</c:v>
                </c:pt>
                <c:pt idx="119">
                  <c:v>10-038</c:v>
                </c:pt>
                <c:pt idx="120">
                  <c:v>10-039</c:v>
                </c:pt>
                <c:pt idx="121">
                  <c:v>10-040</c:v>
                </c:pt>
                <c:pt idx="122">
                  <c:v>10-041</c:v>
                </c:pt>
                <c:pt idx="123">
                  <c:v>10-042</c:v>
                </c:pt>
                <c:pt idx="124">
                  <c:v>10-043</c:v>
                </c:pt>
                <c:pt idx="125">
                  <c:v>10-044</c:v>
                </c:pt>
                <c:pt idx="126">
                  <c:v>10-045</c:v>
                </c:pt>
                <c:pt idx="127">
                  <c:v>10-046</c:v>
                </c:pt>
                <c:pt idx="128">
                  <c:v>10-047</c:v>
                </c:pt>
                <c:pt idx="129">
                  <c:v>10-048</c:v>
                </c:pt>
                <c:pt idx="130">
                  <c:v>10-049</c:v>
                </c:pt>
                <c:pt idx="131">
                  <c:v>10-050</c:v>
                </c:pt>
                <c:pt idx="132">
                  <c:v>10-051</c:v>
                </c:pt>
                <c:pt idx="133">
                  <c:v>10-052</c:v>
                </c:pt>
                <c:pt idx="134">
                  <c:v>10-053</c:v>
                </c:pt>
                <c:pt idx="135">
                  <c:v>10-054</c:v>
                </c:pt>
                <c:pt idx="136">
                  <c:v>10-055</c:v>
                </c:pt>
                <c:pt idx="137">
                  <c:v>10-056</c:v>
                </c:pt>
                <c:pt idx="138">
                  <c:v>10-057</c:v>
                </c:pt>
                <c:pt idx="139">
                  <c:v>10-058</c:v>
                </c:pt>
                <c:pt idx="140">
                  <c:v>10-059</c:v>
                </c:pt>
                <c:pt idx="141">
                  <c:v>10-060</c:v>
                </c:pt>
                <c:pt idx="142">
                  <c:v>10-061</c:v>
                </c:pt>
                <c:pt idx="143">
                  <c:v>10-062</c:v>
                </c:pt>
                <c:pt idx="144">
                  <c:v>10-063</c:v>
                </c:pt>
                <c:pt idx="145">
                  <c:v>10-064</c:v>
                </c:pt>
                <c:pt idx="146">
                  <c:v>10-065</c:v>
                </c:pt>
                <c:pt idx="147">
                  <c:v>10-066</c:v>
                </c:pt>
                <c:pt idx="148">
                  <c:v>10-067</c:v>
                </c:pt>
                <c:pt idx="149">
                  <c:v>10-068</c:v>
                </c:pt>
                <c:pt idx="150">
                  <c:v>10-069</c:v>
                </c:pt>
                <c:pt idx="151">
                  <c:v>10-070</c:v>
                </c:pt>
                <c:pt idx="152">
                  <c:v>10-071</c:v>
                </c:pt>
                <c:pt idx="153">
                  <c:v>10-072</c:v>
                </c:pt>
                <c:pt idx="154">
                  <c:v>10-073</c:v>
                </c:pt>
                <c:pt idx="155">
                  <c:v>10-074</c:v>
                </c:pt>
                <c:pt idx="156">
                  <c:v>10-075</c:v>
                </c:pt>
                <c:pt idx="157">
                  <c:v>10-076</c:v>
                </c:pt>
                <c:pt idx="158">
                  <c:v>10-077</c:v>
                </c:pt>
                <c:pt idx="159">
                  <c:v>10-078</c:v>
                </c:pt>
                <c:pt idx="160">
                  <c:v>10-079</c:v>
                </c:pt>
                <c:pt idx="161">
                  <c:v>10-080</c:v>
                </c:pt>
                <c:pt idx="162">
                  <c:v>10-081</c:v>
                </c:pt>
                <c:pt idx="163">
                  <c:v>10-082</c:v>
                </c:pt>
              </c:strCache>
            </c:strRef>
          </c:cat>
          <c:val>
            <c:numRef>
              <c:f>'Analysis Plate'!$L$4:$L$167</c:f>
              <c:numCache>
                <c:formatCode>0.00</c:formatCode>
                <c:ptCount val="164"/>
                <c:pt idx="0">
                  <c:v>781.31128755933514</c:v>
                </c:pt>
                <c:pt idx="1">
                  <c:v>727.13111211219848</c:v>
                </c:pt>
                <c:pt idx="2">
                  <c:v>327.8812392749083</c:v>
                </c:pt>
                <c:pt idx="3">
                  <c:v>773.87291819562915</c:v>
                </c:pt>
                <c:pt idx="4">
                  <c:v>718.25465239015602</c:v>
                </c:pt>
                <c:pt idx="5">
                  <c:v>710.86410667312975</c:v>
                </c:pt>
                <c:pt idx="6">
                  <c:v>732.31401584212381</c:v>
                </c:pt>
                <c:pt idx="7">
                  <c:v>750.8390145393646</c:v>
                </c:pt>
                <c:pt idx="8">
                  <c:v>750.09146844177076</c:v>
                </c:pt>
                <c:pt idx="9">
                  <c:v>772.38834340795347</c:v>
                </c:pt>
                <c:pt idx="10">
                  <c:v>811.14465562616056</c:v>
                </c:pt>
                <c:pt idx="11">
                  <c:v>765.68442607202189</c:v>
                </c:pt>
                <c:pt idx="12">
                  <c:v>809.63553470979309</c:v>
                </c:pt>
                <c:pt idx="13">
                  <c:v>779.0676692894383</c:v>
                </c:pt>
                <c:pt idx="14">
                  <c:v>776.83679707260842</c:v>
                </c:pt>
                <c:pt idx="15">
                  <c:v>753.05887466554282</c:v>
                </c:pt>
                <c:pt idx="16">
                  <c:v>778.32260785874507</c:v>
                </c:pt>
                <c:pt idx="17">
                  <c:v>759.73902792519607</c:v>
                </c:pt>
                <c:pt idx="18">
                  <c:v>641.69966512788415</c:v>
                </c:pt>
                <c:pt idx="19">
                  <c:v>606.58087504676882</c:v>
                </c:pt>
                <c:pt idx="20">
                  <c:v>560.52060903425672</c:v>
                </c:pt>
                <c:pt idx="21">
                  <c:v>655.64733513664328</c:v>
                </c:pt>
                <c:pt idx="22">
                  <c:v>662.98300195355375</c:v>
                </c:pt>
                <c:pt idx="23">
                  <c:v>580.20806542169157</c:v>
                </c:pt>
                <c:pt idx="24">
                  <c:v>620.42146460910772</c:v>
                </c:pt>
                <c:pt idx="25">
                  <c:v>603.5943118956493</c:v>
                </c:pt>
                <c:pt idx="26">
                  <c:v>687.30101684874978</c:v>
                </c:pt>
                <c:pt idx="27">
                  <c:v>650.51432886104817</c:v>
                </c:pt>
                <c:pt idx="28">
                  <c:v>588.24193182395015</c:v>
                </c:pt>
                <c:pt idx="29">
                  <c:v>660.77172118068165</c:v>
                </c:pt>
                <c:pt idx="30">
                  <c:v>666.6529292934357</c:v>
                </c:pt>
                <c:pt idx="31">
                  <c:v>638.74095581866902</c:v>
                </c:pt>
                <c:pt idx="32">
                  <c:v>647.57088142917632</c:v>
                </c:pt>
                <c:pt idx="33">
                  <c:v>638.00857754548497</c:v>
                </c:pt>
                <c:pt idx="34">
                  <c:v>679.21452393509071</c:v>
                </c:pt>
                <c:pt idx="35">
                  <c:v>676.21933172828426</c:v>
                </c:pt>
                <c:pt idx="36">
                  <c:v>314.87814251589975</c:v>
                </c:pt>
                <c:pt idx="37">
                  <c:v>317.04538216210551</c:v>
                </c:pt>
                <c:pt idx="38">
                  <c:v>306.93179745285465</c:v>
                </c:pt>
                <c:pt idx="39">
                  <c:v>291.76011753045066</c:v>
                </c:pt>
                <c:pt idx="40">
                  <c:v>304.04191652999612</c:v>
                </c:pt>
                <c:pt idx="41">
                  <c:v>304.04216318560276</c:v>
                </c:pt>
                <c:pt idx="42">
                  <c:v>337.27271334481509</c:v>
                </c:pt>
                <c:pt idx="43">
                  <c:v>311.9886662482744</c:v>
                </c:pt>
                <c:pt idx="44">
                  <c:v>317.7676889052305</c:v>
                </c:pt>
                <c:pt idx="45">
                  <c:v>301.8748553423942</c:v>
                </c:pt>
                <c:pt idx="46">
                  <c:v>314.87822918657417</c:v>
                </c:pt>
                <c:pt idx="47">
                  <c:v>278.03138732710386</c:v>
                </c:pt>
                <c:pt idx="48">
                  <c:v>308.37667809877109</c:v>
                </c:pt>
                <c:pt idx="49">
                  <c:v>304.76452117950743</c:v>
                </c:pt>
                <c:pt idx="50">
                  <c:v>335.10512484594847</c:v>
                </c:pt>
                <c:pt idx="51">
                  <c:v>316.32299927199324</c:v>
                </c:pt>
                <c:pt idx="52">
                  <c:v>315.6006151391187</c:v>
                </c:pt>
                <c:pt idx="53">
                  <c:v>324.99159789232294</c:v>
                </c:pt>
                <c:pt idx="54">
                  <c:v>369.06368641087511</c:v>
                </c:pt>
                <c:pt idx="55">
                  <c:v>377.73656874298047</c:v>
                </c:pt>
                <c:pt idx="56">
                  <c:v>293.20512510503681</c:v>
                </c:pt>
                <c:pt idx="57">
                  <c:v>365.45043618637942</c:v>
                </c:pt>
                <c:pt idx="58">
                  <c:v>406.66208873220546</c:v>
                </c:pt>
                <c:pt idx="59">
                  <c:v>362.56011731344046</c:v>
                </c:pt>
                <c:pt idx="60">
                  <c:v>390.02636547460025</c:v>
                </c:pt>
                <c:pt idx="61">
                  <c:v>359.66985432581885</c:v>
                </c:pt>
                <c:pt idx="62">
                  <c:v>373.40018521932382</c:v>
                </c:pt>
                <c:pt idx="63">
                  <c:v>356.77971511230885</c:v>
                </c:pt>
                <c:pt idx="64">
                  <c:v>332.21578275851323</c:v>
                </c:pt>
                <c:pt idx="65">
                  <c:v>356.05695050041101</c:v>
                </c:pt>
                <c:pt idx="66">
                  <c:v>417.50952992609234</c:v>
                </c:pt>
                <c:pt idx="67">
                  <c:v>394.36416510364683</c:v>
                </c:pt>
                <c:pt idx="68">
                  <c:v>376.29111184054204</c:v>
                </c:pt>
                <c:pt idx="69">
                  <c:v>379.90637913923871</c:v>
                </c:pt>
                <c:pt idx="70">
                  <c:v>450.21206015089081</c:v>
                </c:pt>
                <c:pt idx="71">
                  <c:v>374.12318055782862</c:v>
                </c:pt>
                <c:pt idx="72">
                  <c:v>770.14079287240463</c:v>
                </c:pt>
                <c:pt idx="73">
                  <c:v>815.62114307151887</c:v>
                </c:pt>
                <c:pt idx="74">
                  <c:v>969.04705681010796</c:v>
                </c:pt>
                <c:pt idx="75">
                  <c:v>900.62715775517336</c:v>
                </c:pt>
                <c:pt idx="76">
                  <c:v>859.09134027947209</c:v>
                </c:pt>
                <c:pt idx="77">
                  <c:v>801.42281391150664</c:v>
                </c:pt>
                <c:pt idx="78">
                  <c:v>884.15758780326632</c:v>
                </c:pt>
                <c:pt idx="79">
                  <c:v>775.48362598375741</c:v>
                </c:pt>
                <c:pt idx="80">
                  <c:v>852.34345677383089</c:v>
                </c:pt>
                <c:pt idx="81">
                  <c:v>817.15661572757779</c:v>
                </c:pt>
                <c:pt idx="82">
                  <c:v>914.20626244927348</c:v>
                </c:pt>
                <c:pt idx="83">
                  <c:v>597.00844111623462</c:v>
                </c:pt>
                <c:pt idx="84">
                  <c:v>855.36729655074907</c:v>
                </c:pt>
                <c:pt idx="85">
                  <c:v>873.41483353291426</c:v>
                </c:pt>
                <c:pt idx="86">
                  <c:v>889.27229332886031</c:v>
                </c:pt>
                <c:pt idx="87">
                  <c:v>861.349369497613</c:v>
                </c:pt>
                <c:pt idx="88">
                  <c:v>866.62966478327758</c:v>
                </c:pt>
                <c:pt idx="89">
                  <c:v>874.89769178439155</c:v>
                </c:pt>
                <c:pt idx="90">
                  <c:v>722.70558331941686</c:v>
                </c:pt>
                <c:pt idx="91">
                  <c:v>757.53117808695606</c:v>
                </c:pt>
                <c:pt idx="92">
                  <c:v>617.51424385351061</c:v>
                </c:pt>
                <c:pt idx="93">
                  <c:v>706.43463307205593</c:v>
                </c:pt>
                <c:pt idx="94">
                  <c:v>646.08581037661111</c:v>
                </c:pt>
                <c:pt idx="95">
                  <c:v>645.34947280292181</c:v>
                </c:pt>
                <c:pt idx="96">
                  <c:v>329.32646997041229</c:v>
                </c:pt>
                <c:pt idx="97">
                  <c:v>665.22227669147253</c:v>
                </c:pt>
                <c:pt idx="98">
                  <c:v>335.82760037429</c:v>
                </c:pt>
                <c:pt idx="99">
                  <c:v>322.82445545878977</c:v>
                </c:pt>
                <c:pt idx="100">
                  <c:v>757.53444107555924</c:v>
                </c:pt>
                <c:pt idx="101">
                  <c:v>312.71099557367029</c:v>
                </c:pt>
                <c:pt idx="102">
                  <c:v>372.68268601929424</c:v>
                </c:pt>
                <c:pt idx="103">
                  <c:v>402.31909318375494</c:v>
                </c:pt>
                <c:pt idx="104">
                  <c:v>294.64968636339034</c:v>
                </c:pt>
                <c:pt idx="105">
                  <c:v>367.61988509901096</c:v>
                </c:pt>
                <c:pt idx="106">
                  <c:v>902.18649797638159</c:v>
                </c:pt>
                <c:pt idx="107">
                  <c:v>939.31846623223646</c:v>
                </c:pt>
                <c:pt idx="108">
                  <c:v>815.62114307151887</c:v>
                </c:pt>
                <c:pt idx="109">
                  <c:v>704.9627361871876</c:v>
                </c:pt>
                <c:pt idx="110">
                  <c:v>246.22082464451245</c:v>
                </c:pt>
                <c:pt idx="111">
                  <c:v>0</c:v>
                </c:pt>
                <c:pt idx="112">
                  <c:v>0</c:v>
                </c:pt>
                <c:pt idx="113">
                  <c:v>0</c:v>
                </c:pt>
                <c:pt idx="114">
                  <c:v>0</c:v>
                </c:pt>
                <c:pt idx="115">
                  <c:v>0</c:v>
                </c:pt>
                <c:pt idx="116">
                  <c:v>0</c:v>
                </c:pt>
                <c:pt idx="117">
                  <c:v>0</c:v>
                </c:pt>
                <c:pt idx="118">
                  <c:v>0</c:v>
                </c:pt>
                <c:pt idx="119">
                  <c:v>0</c:v>
                </c:pt>
                <c:pt idx="120">
                  <c:v>0</c:v>
                </c:pt>
                <c:pt idx="121">
                  <c:v>0</c:v>
                </c:pt>
                <c:pt idx="122">
                  <c:v>17.863053320734728</c:v>
                </c:pt>
                <c:pt idx="123">
                  <c:v>0</c:v>
                </c:pt>
                <c:pt idx="124">
                  <c:v>0</c:v>
                </c:pt>
                <c:pt idx="125">
                  <c:v>0</c:v>
                </c:pt>
                <c:pt idx="126">
                  <c:v>0</c:v>
                </c:pt>
                <c:pt idx="127">
                  <c:v>0</c:v>
                </c:pt>
                <c:pt idx="128">
                  <c:v>0</c:v>
                </c:pt>
                <c:pt idx="129">
                  <c:v>1.773198067525851</c:v>
                </c:pt>
                <c:pt idx="130">
                  <c:v>5.6128453464613921</c:v>
                </c:pt>
                <c:pt idx="131">
                  <c:v>0</c:v>
                </c:pt>
                <c:pt idx="132">
                  <c:v>0</c:v>
                </c:pt>
                <c:pt idx="133">
                  <c:v>0</c:v>
                </c:pt>
                <c:pt idx="134">
                  <c:v>0</c:v>
                </c:pt>
                <c:pt idx="135">
                  <c:v>0</c:v>
                </c:pt>
                <c:pt idx="136">
                  <c:v>0</c:v>
                </c:pt>
                <c:pt idx="137">
                  <c:v>0</c:v>
                </c:pt>
                <c:pt idx="138">
                  <c:v>1.7559892253780345</c:v>
                </c:pt>
                <c:pt idx="139">
                  <c:v>0</c:v>
                </c:pt>
                <c:pt idx="140">
                  <c:v>0</c:v>
                </c:pt>
                <c:pt idx="141">
                  <c:v>0</c:v>
                </c:pt>
                <c:pt idx="142">
                  <c:v>0</c:v>
                </c:pt>
                <c:pt idx="143">
                  <c:v>0</c:v>
                </c:pt>
                <c:pt idx="144">
                  <c:v>0</c:v>
                </c:pt>
                <c:pt idx="145">
                  <c:v>0</c:v>
                </c:pt>
                <c:pt idx="146">
                  <c:v>0</c:v>
                </c:pt>
                <c:pt idx="147">
                  <c:v>0.16552427638263878</c:v>
                </c:pt>
                <c:pt idx="148">
                  <c:v>0</c:v>
                </c:pt>
                <c:pt idx="149">
                  <c:v>0</c:v>
                </c:pt>
                <c:pt idx="150">
                  <c:v>0</c:v>
                </c:pt>
                <c:pt idx="151">
                  <c:v>0</c:v>
                </c:pt>
                <c:pt idx="152">
                  <c:v>0</c:v>
                </c:pt>
                <c:pt idx="153">
                  <c:v>0</c:v>
                </c:pt>
                <c:pt idx="154">
                  <c:v>0.96936117195424487</c:v>
                </c:pt>
                <c:pt idx="155">
                  <c:v>0</c:v>
                </c:pt>
                <c:pt idx="156">
                  <c:v>0</c:v>
                </c:pt>
                <c:pt idx="157">
                  <c:v>0</c:v>
                </c:pt>
                <c:pt idx="158">
                  <c:v>0</c:v>
                </c:pt>
                <c:pt idx="159">
                  <c:v>0</c:v>
                </c:pt>
                <c:pt idx="160">
                  <c:v>0</c:v>
                </c:pt>
                <c:pt idx="161">
                  <c:v>0</c:v>
                </c:pt>
                <c:pt idx="162">
                  <c:v>0</c:v>
                </c:pt>
                <c:pt idx="163">
                  <c:v>0</c:v>
                </c:pt>
              </c:numCache>
            </c:numRef>
          </c:val>
          <c:extLst>
            <c:ext xmlns:c16="http://schemas.microsoft.com/office/drawing/2014/chart" uri="{C3380CC4-5D6E-409C-BE32-E72D297353CC}">
              <c16:uniqueId val="{00000000-CB2F-478D-9450-1404B2D609FA}"/>
            </c:ext>
          </c:extLst>
        </c:ser>
        <c:dLbls>
          <c:showLegendKey val="0"/>
          <c:showVal val="0"/>
          <c:showCatName val="0"/>
          <c:showSerName val="0"/>
          <c:showPercent val="0"/>
          <c:showBubbleSize val="0"/>
        </c:dLbls>
        <c:gapWidth val="150"/>
        <c:axId val="139058560"/>
        <c:axId val="140137984"/>
      </c:barChart>
      <c:catAx>
        <c:axId val="139058560"/>
        <c:scaling>
          <c:orientation val="minMax"/>
        </c:scaling>
        <c:delete val="0"/>
        <c:axPos val="b"/>
        <c:title>
          <c:tx>
            <c:rich>
              <a:bodyPr/>
              <a:lstStyle/>
              <a:p>
                <a:pPr>
                  <a:defRPr/>
                </a:pPr>
                <a:r>
                  <a:rPr lang="en-US"/>
                  <a:t>Sample ID #</a:t>
                </a:r>
              </a:p>
            </c:rich>
          </c:tx>
          <c:overlay val="0"/>
        </c:title>
        <c:numFmt formatCode="General" sourceLinked="1"/>
        <c:majorTickMark val="out"/>
        <c:minorTickMark val="none"/>
        <c:tickLblPos val="nextTo"/>
        <c:txPr>
          <a:bodyPr rot="-5400000" vert="horz"/>
          <a:lstStyle/>
          <a:p>
            <a:pPr>
              <a:defRPr sz="800"/>
            </a:pPr>
            <a:endParaRPr lang="en-US"/>
          </a:p>
        </c:txPr>
        <c:crossAx val="140137984"/>
        <c:crosses val="autoZero"/>
        <c:auto val="1"/>
        <c:lblAlgn val="ctr"/>
        <c:lblOffset val="100"/>
        <c:noMultiLvlLbl val="0"/>
      </c:catAx>
      <c:valAx>
        <c:axId val="140137984"/>
        <c:scaling>
          <c:orientation val="minMax"/>
        </c:scaling>
        <c:delete val="0"/>
        <c:axPos val="l"/>
        <c:majorGridlines/>
        <c:title>
          <c:tx>
            <c:rich>
              <a:bodyPr rot="-5400000" vert="horz"/>
              <a:lstStyle/>
              <a:p>
                <a:pPr>
                  <a:defRPr/>
                </a:pPr>
                <a:r>
                  <a:rPr lang="en-US"/>
                  <a:t>[biomaker] units</a:t>
                </a:r>
              </a:p>
            </c:rich>
          </c:tx>
          <c:layout>
            <c:manualLayout>
              <c:xMode val="edge"/>
              <c:yMode val="edge"/>
              <c:x val="1.3505790589735608E-2"/>
              <c:y val="0.27899722392166793"/>
            </c:manualLayout>
          </c:layout>
          <c:overlay val="0"/>
        </c:title>
        <c:numFmt formatCode="0.00E+00" sourceLinked="0"/>
        <c:majorTickMark val="out"/>
        <c:minorTickMark val="none"/>
        <c:tickLblPos val="nextTo"/>
        <c:crossAx val="139058560"/>
        <c:crosses val="autoZero"/>
        <c:crossBetween val="between"/>
      </c:valAx>
    </c:plotArea>
    <c:plotVisOnly val="1"/>
    <c:dispBlanksAs val="gap"/>
    <c:showDLblsOverMax val="0"/>
  </c:chart>
  <c:printSettings>
    <c:headerFooter/>
    <c:pageMargins b="0.75000000000000511" l="0.70000000000000062" r="0.70000000000000062" t="0.7500000000000051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BioScale_Internal!$J$25</c:f>
          <c:strCache>
            <c:ptCount val="1"/>
            <c:pt idx="0">
              <c:v>GDF-15 Calibration Curve</c:v>
            </c:pt>
          </c:strCache>
        </c:strRef>
      </c:tx>
      <c:layout>
        <c:manualLayout>
          <c:xMode val="edge"/>
          <c:yMode val="edge"/>
          <c:x val="0.39299276052031956"/>
          <c:y val="1.8714576354715781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0212681126301998"/>
          <c:y val="0.11760038125315637"/>
          <c:w val="0.60979943544792747"/>
          <c:h val="0.74037642446592911"/>
        </c:manualLayout>
      </c:layout>
      <c:scatterChart>
        <c:scatterStyle val="lineMarker"/>
        <c:varyColors val="0"/>
        <c:ser>
          <c:idx val="0"/>
          <c:order val="0"/>
          <c:tx>
            <c:strRef>
              <c:f>Calculations!$A$42</c:f>
              <c:strCache>
                <c:ptCount val="1"/>
                <c:pt idx="0">
                  <c:v>Section 1 Standards</c:v>
                </c:pt>
              </c:strCache>
            </c:strRef>
          </c:tx>
          <c:spPr>
            <a:ln w="28575">
              <a:noFill/>
            </a:ln>
          </c:spPr>
          <c:marker>
            <c:symbol val="diamond"/>
            <c:size val="8"/>
            <c:spPr>
              <a:noFill/>
              <a:ln w="15875">
                <a:solidFill>
                  <a:schemeClr val="tx2"/>
                </a:solidFill>
                <a:prstDash val="solid"/>
              </a:ln>
            </c:spPr>
          </c:marker>
          <c:errBars>
            <c:errDir val="y"/>
            <c:errBarType val="both"/>
            <c:errValType val="cust"/>
            <c:noEndCap val="0"/>
            <c:plus>
              <c:numRef>
                <c:f>Calculations!$S$63:$S$78</c:f>
                <c:numCache>
                  <c:formatCode>General</c:formatCode>
                  <c:ptCount val="16"/>
                  <c:pt idx="0">
                    <c:v>2.9881711240601187E-2</c:v>
                  </c:pt>
                  <c:pt idx="1">
                    <c:v>3.4903438226054399E-2</c:v>
                  </c:pt>
                  <c:pt idx="2">
                    <c:v>1.626857912254992E-2</c:v>
                  </c:pt>
                  <c:pt idx="3">
                    <c:v>8.4261497731763658E-3</c:v>
                  </c:pt>
                  <c:pt idx="4">
                    <c:v>1.212091855705119E-2</c:v>
                  </c:pt>
                  <c:pt idx="5">
                    <c:v>2.3629078131263029E-3</c:v>
                  </c:pt>
                  <c:pt idx="6">
                    <c:v>2.7537852736430517E-3</c:v>
                  </c:pt>
                  <c:pt idx="7">
                    <c:v>#N/A</c:v>
                  </c:pt>
                  <c:pt idx="8">
                    <c:v>#N/A</c:v>
                  </c:pt>
                  <c:pt idx="9">
                    <c:v>#N/A</c:v>
                  </c:pt>
                  <c:pt idx="10">
                    <c:v>#N/A</c:v>
                  </c:pt>
                  <c:pt idx="11">
                    <c:v>#N/A</c:v>
                  </c:pt>
                  <c:pt idx="12">
                    <c:v>#N/A</c:v>
                  </c:pt>
                  <c:pt idx="13">
                    <c:v>#N/A</c:v>
                  </c:pt>
                  <c:pt idx="14">
                    <c:v>#N/A</c:v>
                  </c:pt>
                  <c:pt idx="15">
                    <c:v>#N/A</c:v>
                  </c:pt>
                </c:numCache>
              </c:numRef>
            </c:plus>
            <c:minus>
              <c:numRef>
                <c:f>Calculations!$S$63:$S$78</c:f>
                <c:numCache>
                  <c:formatCode>General</c:formatCode>
                  <c:ptCount val="16"/>
                  <c:pt idx="0">
                    <c:v>2.9881711240601187E-2</c:v>
                  </c:pt>
                  <c:pt idx="1">
                    <c:v>3.4903438226054399E-2</c:v>
                  </c:pt>
                  <c:pt idx="2">
                    <c:v>1.626857912254992E-2</c:v>
                  </c:pt>
                  <c:pt idx="3">
                    <c:v>8.4261497731763658E-3</c:v>
                  </c:pt>
                  <c:pt idx="4">
                    <c:v>1.212091855705119E-2</c:v>
                  </c:pt>
                  <c:pt idx="5">
                    <c:v>2.3629078131263029E-3</c:v>
                  </c:pt>
                  <c:pt idx="6">
                    <c:v>2.7537852736430517E-3</c:v>
                  </c:pt>
                  <c:pt idx="7">
                    <c:v>#N/A</c:v>
                  </c:pt>
                  <c:pt idx="8">
                    <c:v>#N/A</c:v>
                  </c:pt>
                  <c:pt idx="9">
                    <c:v>#N/A</c:v>
                  </c:pt>
                  <c:pt idx="10">
                    <c:v>#N/A</c:v>
                  </c:pt>
                  <c:pt idx="11">
                    <c:v>#N/A</c:v>
                  </c:pt>
                  <c:pt idx="12">
                    <c:v>#N/A</c:v>
                  </c:pt>
                  <c:pt idx="13">
                    <c:v>#N/A</c:v>
                  </c:pt>
                  <c:pt idx="14">
                    <c:v>#N/A</c:v>
                  </c:pt>
                  <c:pt idx="15">
                    <c:v>#N/A</c:v>
                  </c:pt>
                </c:numCache>
              </c:numRef>
            </c:minus>
            <c:spPr>
              <a:ln w="3175">
                <a:solidFill>
                  <a:srgbClr val="333399"/>
                </a:solidFill>
                <a:prstDash val="solid"/>
              </a:ln>
            </c:spPr>
          </c:errBars>
          <c:xVal>
            <c:numRef>
              <c:f>Calculations!$Q$63:$Q$78</c:f>
              <c:numCache>
                <c:formatCode>General</c:formatCode>
                <c:ptCount val="16"/>
                <c:pt idx="0">
                  <c:v>1000</c:v>
                </c:pt>
                <c:pt idx="1">
                  <c:v>333.33333333333331</c:v>
                </c:pt>
                <c:pt idx="2">
                  <c:v>111.11111111111111</c:v>
                </c:pt>
                <c:pt idx="3">
                  <c:v>37.037037037037038</c:v>
                </c:pt>
                <c:pt idx="4">
                  <c:v>12.345679012345679</c:v>
                </c:pt>
                <c:pt idx="5">
                  <c:v>4.1152263374485596</c:v>
                </c:pt>
                <c:pt idx="6">
                  <c:v>1.3717421124828533</c:v>
                </c:pt>
                <c:pt idx="7">
                  <c:v>#N/A</c:v>
                </c:pt>
                <c:pt idx="8">
                  <c:v>#N/A</c:v>
                </c:pt>
                <c:pt idx="9">
                  <c:v>#N/A</c:v>
                </c:pt>
                <c:pt idx="10">
                  <c:v>#N/A</c:v>
                </c:pt>
                <c:pt idx="11">
                  <c:v>#N/A</c:v>
                </c:pt>
                <c:pt idx="12">
                  <c:v>#N/A</c:v>
                </c:pt>
                <c:pt idx="13">
                  <c:v>#N/A</c:v>
                </c:pt>
                <c:pt idx="14">
                  <c:v>#N/A</c:v>
                </c:pt>
                <c:pt idx="15">
                  <c:v>#N/A</c:v>
                </c:pt>
              </c:numCache>
            </c:numRef>
          </c:xVal>
          <c:yVal>
            <c:numRef>
              <c:f>Calculations!$R$63:$R$78</c:f>
              <c:numCache>
                <c:formatCode>0.00</c:formatCode>
                <c:ptCount val="16"/>
                <c:pt idx="0">
                  <c:v>2.6552500000000001</c:v>
                </c:pt>
                <c:pt idx="1">
                  <c:v>1.8472500000000001</c:v>
                </c:pt>
                <c:pt idx="2">
                  <c:v>0.74299999999999999</c:v>
                </c:pt>
                <c:pt idx="3">
                  <c:v>0.27050000000000002</c:v>
                </c:pt>
                <c:pt idx="4">
                  <c:v>9.8250000000000004E-2</c:v>
                </c:pt>
                <c:pt idx="5">
                  <c:v>3.5250000000000004E-2</c:v>
                </c:pt>
                <c:pt idx="6">
                  <c:v>1.7750000000000002E-2</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0-5102-40FA-B26C-D15065191567}"/>
            </c:ext>
          </c:extLst>
        </c:ser>
        <c:ser>
          <c:idx val="5"/>
          <c:order val="1"/>
          <c:tx>
            <c:strRef>
              <c:f>Calculations!$O$42</c:f>
              <c:strCache>
                <c:ptCount val="1"/>
                <c:pt idx="0">
                  <c:v>Section 2 Standards</c:v>
                </c:pt>
              </c:strCache>
            </c:strRef>
          </c:tx>
          <c:spPr>
            <a:ln w="28575">
              <a:noFill/>
            </a:ln>
          </c:spPr>
          <c:marker>
            <c:symbol val="diamond"/>
            <c:size val="7"/>
            <c:spPr>
              <a:noFill/>
              <a:ln w="15875">
                <a:solidFill>
                  <a:schemeClr val="accent2"/>
                </a:solidFill>
              </a:ln>
            </c:spPr>
          </c:marker>
          <c:errBars>
            <c:errDir val="y"/>
            <c:errBarType val="both"/>
            <c:errValType val="cust"/>
            <c:noEndCap val="0"/>
            <c:plus>
              <c:numRef>
                <c:f>Calculations!$V$63:$V$78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plus>
            <c:minus>
              <c:numRef>
                <c:f>Calculations!$V$63:$V$78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minus>
            <c:spPr>
              <a:ln w="3175">
                <a:solidFill>
                  <a:srgbClr val="993366"/>
                </a:solidFill>
                <a:prstDash val="solid"/>
              </a:ln>
            </c:spPr>
          </c:errBars>
          <c:xVal>
            <c:numRef>
              <c:f>Calculations!$T$63:$T$78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Calculations!$U$63:$U$78</c:f>
              <c:numCache>
                <c:formatCode>0.00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1-5102-40FA-B26C-D15065191567}"/>
            </c:ext>
          </c:extLst>
        </c:ser>
        <c:ser>
          <c:idx val="10"/>
          <c:order val="2"/>
          <c:tx>
            <c:strRef>
              <c:f>Calculations!$AC$42</c:f>
              <c:strCache>
                <c:ptCount val="1"/>
                <c:pt idx="0">
                  <c:v>Section 3 Standards</c:v>
                </c:pt>
              </c:strCache>
            </c:strRef>
          </c:tx>
          <c:spPr>
            <a:ln w="28575">
              <a:noFill/>
            </a:ln>
          </c:spPr>
          <c:marker>
            <c:symbol val="diamond"/>
            <c:size val="7"/>
            <c:spPr>
              <a:noFill/>
              <a:ln w="15875">
                <a:solidFill>
                  <a:schemeClr val="accent3">
                    <a:lumMod val="50000"/>
                  </a:schemeClr>
                </a:solidFill>
              </a:ln>
            </c:spPr>
          </c:marker>
          <c:errBars>
            <c:errDir val="y"/>
            <c:errBarType val="both"/>
            <c:errValType val="cust"/>
            <c:noEndCap val="0"/>
            <c:plus>
              <c:numRef>
                <c:f>Calculations!$Y$63:$Y$78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plus>
            <c:minus>
              <c:numRef>
                <c:f>Calculations!$Y$63:$Y$78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minus>
            <c:spPr>
              <a:ln w="3175">
                <a:solidFill>
                  <a:srgbClr val="333300"/>
                </a:solidFill>
                <a:prstDash val="solid"/>
              </a:ln>
            </c:spPr>
          </c:errBars>
          <c:xVal>
            <c:numRef>
              <c:f>Calculations!$W$63:$W$78</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Calculations!$X$63:$X$78</c:f>
              <c:numCache>
                <c:formatCode>0.00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yVal>
          <c:smooth val="0"/>
          <c:extLst>
            <c:ext xmlns:c16="http://schemas.microsoft.com/office/drawing/2014/chart" uri="{C3380CC4-5D6E-409C-BE32-E72D297353CC}">
              <c16:uniqueId val="{00000002-5102-40FA-B26C-D15065191567}"/>
            </c:ext>
          </c:extLst>
        </c:ser>
        <c:ser>
          <c:idx val="1"/>
          <c:order val="3"/>
          <c:tx>
            <c:v>5PL Standard Curve</c:v>
          </c:tx>
          <c:spPr>
            <a:ln w="12700">
              <a:solidFill>
                <a:schemeClr val="tx2"/>
              </a:solidFill>
              <a:prstDash val="solid"/>
            </a:ln>
          </c:spPr>
          <c:marker>
            <c:symbol val="none"/>
          </c:marker>
          <c:xVal>
            <c:numRef>
              <c:f>Calculations!$AB$63:$AB$88</c:f>
              <c:numCache>
                <c:formatCode>0.00</c:formatCode>
                <c:ptCount val="26"/>
                <c:pt idx="0">
                  <c:v>1.3717421124828533</c:v>
                </c:pt>
                <c:pt idx="1">
                  <c:v>1.7855892918763501</c:v>
                </c:pt>
                <c:pt idx="2">
                  <c:v>2.3242919279430807</c:v>
                </c:pt>
                <c:pt idx="3">
                  <c:v>3.0255182369650249</c:v>
                </c:pt>
                <c:pt idx="4">
                  <c:v>3.9383007324336918</c:v>
                </c:pt>
                <c:pt idx="5">
                  <c:v>5.12646477208032</c:v>
                </c:pt>
                <c:pt idx="6">
                  <c:v>6.6730914790095959</c:v>
                </c:pt>
                <c:pt idx="7">
                  <c:v>8.6863271020118908</c:v>
                </c:pt>
                <c:pt idx="8">
                  <c:v>11.306945028474971</c:v>
                </c:pt>
                <c:pt idx="9">
                  <c:v>14.718189215709312</c:v>
                </c:pt>
                <c:pt idx="10">
                  <c:v>19.158587332288402</c:v>
                </c:pt>
                <c:pt idx="11">
                  <c:v>24.938629554860793</c:v>
                </c:pt>
                <c:pt idx="12">
                  <c:v>32.462479267791004</c:v>
                </c:pt>
                <c:pt idx="13">
                  <c:v>42.256233763509385</c:v>
                </c:pt>
                <c:pt idx="14">
                  <c:v>55.004711043373611</c:v>
                </c:pt>
                <c:pt idx="15">
                  <c:v>71.599334997472738</c:v>
                </c:pt>
                <c:pt idx="16">
                  <c:v>93.200467284300132</c:v>
                </c:pt>
                <c:pt idx="17">
                  <c:v>121.31854440154372</c:v>
                </c:pt>
                <c:pt idx="18">
                  <c:v>157.9196933724885</c:v>
                </c:pt>
                <c:pt idx="19">
                  <c:v>205.56321111402551</c:v>
                </c:pt>
                <c:pt idx="20">
                  <c:v>267.58052058674372</c:v>
                </c:pt>
                <c:pt idx="21">
                  <c:v>348.30811704802949</c:v>
                </c:pt>
                <c:pt idx="22">
                  <c:v>453.39079293036576</c:v>
                </c:pt>
                <c:pt idx="23">
                  <c:v>590.17634402611338</c:v>
                </c:pt>
                <c:pt idx="24">
                  <c:v>768.22935639437378</c:v>
                </c:pt>
                <c:pt idx="25">
                  <c:v>1000</c:v>
                </c:pt>
              </c:numCache>
            </c:numRef>
          </c:xVal>
          <c:yVal>
            <c:numRef>
              <c:f>Calculations!$AC$63:$AC$88</c:f>
              <c:numCache>
                <c:formatCode>0.000</c:formatCode>
                <c:ptCount val="26"/>
                <c:pt idx="0">
                  <c:v>1.8742513597752104E-2</c:v>
                </c:pt>
                <c:pt idx="1">
                  <c:v>2.1469199736427635E-2</c:v>
                </c:pt>
                <c:pt idx="2">
                  <c:v>2.5036851759591291E-2</c:v>
                </c:pt>
                <c:pt idx="3">
                  <c:v>2.9704786352249601E-2</c:v>
                </c:pt>
                <c:pt idx="4">
                  <c:v>3.5812215855402035E-2</c:v>
                </c:pt>
                <c:pt idx="5">
                  <c:v>4.3802783803172332E-2</c:v>
                </c:pt>
                <c:pt idx="6">
                  <c:v>5.4256537502371457E-2</c:v>
                </c:pt>
                <c:pt idx="7">
                  <c:v>6.7931472929456269E-2</c:v>
                </c:pt>
                <c:pt idx="8">
                  <c:v>8.5817253850335631E-2</c:v>
                </c:pt>
                <c:pt idx="9">
                  <c:v>0.10920408651335736</c:v>
                </c:pt>
                <c:pt idx="10">
                  <c:v>0.13976972178353569</c:v>
                </c:pt>
                <c:pt idx="11">
                  <c:v>0.17968644574307185</c:v>
                </c:pt>
                <c:pt idx="12">
                  <c:v>0.23174611595802591</c:v>
                </c:pt>
                <c:pt idx="13">
                  <c:v>0.29949142114937394</c:v>
                </c:pt>
                <c:pt idx="14">
                  <c:v>0.38731885301927105</c:v>
                </c:pt>
                <c:pt idx="15">
                  <c:v>0.5004714180827472</c:v>
                </c:pt>
                <c:pt idx="16">
                  <c:v>0.64475053039574826</c:v>
                </c:pt>
                <c:pt idx="17">
                  <c:v>0.82564153522385209</c:v>
                </c:pt>
                <c:pt idx="18">
                  <c:v>1.0464322216120718</c:v>
                </c:pt>
                <c:pt idx="19">
                  <c:v>1.3050817339015153</c:v>
                </c:pt>
                <c:pt idx="20">
                  <c:v>1.590613462308939</c:v>
                </c:pt>
                <c:pt idx="21">
                  <c:v>1.8817913250475999</c:v>
                </c:pt>
                <c:pt idx="22">
                  <c:v>2.1516655143588599</c:v>
                </c:pt>
                <c:pt idx="23">
                  <c:v>2.3775208161414758</c:v>
                </c:pt>
                <c:pt idx="24">
                  <c:v>2.5492338838923123</c:v>
                </c:pt>
                <c:pt idx="25">
                  <c:v>2.6697462797913998</c:v>
                </c:pt>
              </c:numCache>
            </c:numRef>
          </c:yVal>
          <c:smooth val="0"/>
          <c:extLst>
            <c:ext xmlns:c16="http://schemas.microsoft.com/office/drawing/2014/chart" uri="{C3380CC4-5D6E-409C-BE32-E72D297353CC}">
              <c16:uniqueId val="{00000003-5102-40FA-B26C-D15065191567}"/>
            </c:ext>
          </c:extLst>
        </c:ser>
        <c:ser>
          <c:idx val="2"/>
          <c:order val="4"/>
          <c:tx>
            <c:v>Background</c:v>
          </c:tx>
          <c:spPr>
            <a:ln w="19050">
              <a:solidFill>
                <a:schemeClr val="tx2"/>
              </a:solidFill>
              <a:prstDash val="sysDot"/>
            </a:ln>
          </c:spPr>
          <c:marker>
            <c:symbol val="none"/>
          </c:marker>
          <c:xVal>
            <c:numRef>
              <c:f>Calculations!$AM$62:$AN$62</c:f>
              <c:numCache>
                <c:formatCode>0.00</c:formatCode>
                <c:ptCount val="2"/>
                <c:pt idx="0">
                  <c:v>1.3717421124828533</c:v>
                </c:pt>
                <c:pt idx="1">
                  <c:v>1000</c:v>
                </c:pt>
              </c:numCache>
            </c:numRef>
          </c:xVal>
          <c:yVal>
            <c:numRef>
              <c:f>Calculations!$AM$63:$AN$63</c:f>
              <c:numCache>
                <c:formatCode>0.000</c:formatCode>
                <c:ptCount val="2"/>
                <c:pt idx="0">
                  <c:v>1.2500000000000001E-2</c:v>
                </c:pt>
                <c:pt idx="1">
                  <c:v>1.2500000000000001E-2</c:v>
                </c:pt>
              </c:numCache>
            </c:numRef>
          </c:yVal>
          <c:smooth val="0"/>
          <c:extLst>
            <c:ext xmlns:c16="http://schemas.microsoft.com/office/drawing/2014/chart" uri="{C3380CC4-5D6E-409C-BE32-E72D297353CC}">
              <c16:uniqueId val="{00000004-5102-40FA-B26C-D15065191567}"/>
            </c:ext>
          </c:extLst>
        </c:ser>
        <c:ser>
          <c:idx val="3"/>
          <c:order val="5"/>
          <c:tx>
            <c:v>Background +/- 2 StDev</c:v>
          </c:tx>
          <c:spPr>
            <a:ln w="9525">
              <a:solidFill>
                <a:schemeClr val="tx2"/>
              </a:solidFill>
              <a:prstDash val="dash"/>
            </a:ln>
          </c:spPr>
          <c:marker>
            <c:symbol val="none"/>
          </c:marker>
          <c:xVal>
            <c:numRef>
              <c:f>Calculations!$AM$62:$AN$62</c:f>
              <c:numCache>
                <c:formatCode>0.00</c:formatCode>
                <c:ptCount val="2"/>
                <c:pt idx="0">
                  <c:v>1.3717421124828533</c:v>
                </c:pt>
                <c:pt idx="1">
                  <c:v>1000</c:v>
                </c:pt>
              </c:numCache>
            </c:numRef>
          </c:xVal>
          <c:yVal>
            <c:numRef>
              <c:f>Calculations!$AM$64:$AN$64</c:f>
              <c:numCache>
                <c:formatCode>0.000</c:formatCode>
                <c:ptCount val="2"/>
                <c:pt idx="0">
                  <c:v>1.0500000000000001E-2</c:v>
                </c:pt>
                <c:pt idx="1">
                  <c:v>1.0500000000000001E-2</c:v>
                </c:pt>
              </c:numCache>
            </c:numRef>
          </c:yVal>
          <c:smooth val="0"/>
          <c:extLst>
            <c:ext xmlns:c16="http://schemas.microsoft.com/office/drawing/2014/chart" uri="{C3380CC4-5D6E-409C-BE32-E72D297353CC}">
              <c16:uniqueId val="{00000005-5102-40FA-B26C-D15065191567}"/>
            </c:ext>
          </c:extLst>
        </c:ser>
        <c:ser>
          <c:idx val="4"/>
          <c:order val="6"/>
          <c:tx>
            <c:v>Background 1 +</c:v>
          </c:tx>
          <c:spPr>
            <a:ln w="9525">
              <a:solidFill>
                <a:schemeClr val="tx2"/>
              </a:solidFill>
              <a:prstDash val="dash"/>
            </a:ln>
          </c:spPr>
          <c:marker>
            <c:symbol val="none"/>
          </c:marker>
          <c:xVal>
            <c:numRef>
              <c:f>Calculations!$AM$62:$AN$62</c:f>
              <c:numCache>
                <c:formatCode>0.00</c:formatCode>
                <c:ptCount val="2"/>
                <c:pt idx="0">
                  <c:v>1.3717421124828533</c:v>
                </c:pt>
                <c:pt idx="1">
                  <c:v>1000</c:v>
                </c:pt>
              </c:numCache>
            </c:numRef>
          </c:xVal>
          <c:yVal>
            <c:numRef>
              <c:f>Calculations!$AM$65:$AN$65</c:f>
              <c:numCache>
                <c:formatCode>0.000</c:formatCode>
                <c:ptCount val="2"/>
                <c:pt idx="0">
                  <c:v>1.4500000000000001E-2</c:v>
                </c:pt>
                <c:pt idx="1">
                  <c:v>1.4500000000000001E-2</c:v>
                </c:pt>
              </c:numCache>
            </c:numRef>
          </c:yVal>
          <c:smooth val="0"/>
          <c:extLst>
            <c:ext xmlns:c16="http://schemas.microsoft.com/office/drawing/2014/chart" uri="{C3380CC4-5D6E-409C-BE32-E72D297353CC}">
              <c16:uniqueId val="{00000006-5102-40FA-B26C-D15065191567}"/>
            </c:ext>
          </c:extLst>
        </c:ser>
        <c:ser>
          <c:idx val="6"/>
          <c:order val="7"/>
          <c:tx>
            <c:v>5PL Curve 2</c:v>
          </c:tx>
          <c:spPr>
            <a:ln w="9525">
              <a:solidFill>
                <a:srgbClr val="C0504D"/>
              </a:solidFill>
            </a:ln>
          </c:spPr>
          <c:marker>
            <c:symbol val="none"/>
          </c:marker>
          <c:xVal>
            <c:numRef>
              <c:f>Calculations!$AD$63:$AD$88</c:f>
              <c:numCache>
                <c:formatCode>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Calculations!$AE$63:$AE$88</c:f>
              <c:numCache>
                <c:formatCode>0.000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0"/>
          <c:extLst>
            <c:ext xmlns:c16="http://schemas.microsoft.com/office/drawing/2014/chart" uri="{C3380CC4-5D6E-409C-BE32-E72D297353CC}">
              <c16:uniqueId val="{00000007-5102-40FA-B26C-D15065191567}"/>
            </c:ext>
          </c:extLst>
        </c:ser>
        <c:ser>
          <c:idx val="7"/>
          <c:order val="8"/>
          <c:tx>
            <c:v>Background 2</c:v>
          </c:tx>
          <c:spPr>
            <a:ln w="19050">
              <a:solidFill>
                <a:srgbClr val="C0504D"/>
              </a:solidFill>
              <a:prstDash val="sysDot"/>
            </a:ln>
          </c:spPr>
          <c:marker>
            <c:symbol val="none"/>
          </c:marker>
          <c:xVal>
            <c:numRef>
              <c:f>Calculations!$AM$66:$AN$66</c:f>
              <c:numCache>
                <c:formatCode>0.00</c:formatCode>
                <c:ptCount val="2"/>
                <c:pt idx="0">
                  <c:v>#N/A</c:v>
                </c:pt>
                <c:pt idx="1">
                  <c:v>#N/A</c:v>
                </c:pt>
              </c:numCache>
            </c:numRef>
          </c:xVal>
          <c:yVal>
            <c:numRef>
              <c:f>Calculations!$AM$67:$AN$67</c:f>
              <c:numCache>
                <c:formatCode>0.000</c:formatCode>
                <c:ptCount val="2"/>
                <c:pt idx="0" formatCode="0.00">
                  <c:v>#N/A</c:v>
                </c:pt>
                <c:pt idx="1">
                  <c:v>#N/A</c:v>
                </c:pt>
              </c:numCache>
            </c:numRef>
          </c:yVal>
          <c:smooth val="0"/>
          <c:extLst>
            <c:ext xmlns:c16="http://schemas.microsoft.com/office/drawing/2014/chart" uri="{C3380CC4-5D6E-409C-BE32-E72D297353CC}">
              <c16:uniqueId val="{00000008-5102-40FA-B26C-D15065191567}"/>
            </c:ext>
          </c:extLst>
        </c:ser>
        <c:ser>
          <c:idx val="8"/>
          <c:order val="9"/>
          <c:tx>
            <c:v>Background 2-</c:v>
          </c:tx>
          <c:spPr>
            <a:ln w="9525">
              <a:solidFill>
                <a:srgbClr val="C0504D"/>
              </a:solidFill>
              <a:prstDash val="dash"/>
            </a:ln>
          </c:spPr>
          <c:marker>
            <c:symbol val="none"/>
          </c:marker>
          <c:xVal>
            <c:numRef>
              <c:f>Calculations!$AM$66:$AN$66</c:f>
              <c:numCache>
                <c:formatCode>0.00</c:formatCode>
                <c:ptCount val="2"/>
                <c:pt idx="0">
                  <c:v>#N/A</c:v>
                </c:pt>
                <c:pt idx="1">
                  <c:v>#N/A</c:v>
                </c:pt>
              </c:numCache>
            </c:numRef>
          </c:xVal>
          <c:yVal>
            <c:numRef>
              <c:f>Calculations!$AM$68:$AN$68</c:f>
              <c:numCache>
                <c:formatCode>0.000</c:formatCode>
                <c:ptCount val="2"/>
                <c:pt idx="0">
                  <c:v>#N/A</c:v>
                </c:pt>
                <c:pt idx="1">
                  <c:v>#N/A</c:v>
                </c:pt>
              </c:numCache>
            </c:numRef>
          </c:yVal>
          <c:smooth val="0"/>
          <c:extLst>
            <c:ext xmlns:c16="http://schemas.microsoft.com/office/drawing/2014/chart" uri="{C3380CC4-5D6E-409C-BE32-E72D297353CC}">
              <c16:uniqueId val="{00000009-5102-40FA-B26C-D15065191567}"/>
            </c:ext>
          </c:extLst>
        </c:ser>
        <c:ser>
          <c:idx val="9"/>
          <c:order val="10"/>
          <c:tx>
            <c:v>Background 2+</c:v>
          </c:tx>
          <c:spPr>
            <a:ln w="9525">
              <a:solidFill>
                <a:srgbClr val="C0504D"/>
              </a:solidFill>
              <a:prstDash val="dash"/>
            </a:ln>
          </c:spPr>
          <c:marker>
            <c:symbol val="none"/>
          </c:marker>
          <c:xVal>
            <c:numRef>
              <c:f>Calculations!$AM$66:$AN$66</c:f>
              <c:numCache>
                <c:formatCode>0.00</c:formatCode>
                <c:ptCount val="2"/>
                <c:pt idx="0">
                  <c:v>#N/A</c:v>
                </c:pt>
                <c:pt idx="1">
                  <c:v>#N/A</c:v>
                </c:pt>
              </c:numCache>
            </c:numRef>
          </c:xVal>
          <c:yVal>
            <c:numRef>
              <c:f>Calculations!$AM$69:$AN$69</c:f>
              <c:numCache>
                <c:formatCode>0.000</c:formatCode>
                <c:ptCount val="2"/>
                <c:pt idx="0">
                  <c:v>#N/A</c:v>
                </c:pt>
                <c:pt idx="1">
                  <c:v>#N/A</c:v>
                </c:pt>
              </c:numCache>
            </c:numRef>
          </c:yVal>
          <c:smooth val="0"/>
          <c:extLst>
            <c:ext xmlns:c16="http://schemas.microsoft.com/office/drawing/2014/chart" uri="{C3380CC4-5D6E-409C-BE32-E72D297353CC}">
              <c16:uniqueId val="{0000000A-5102-40FA-B26C-D15065191567}"/>
            </c:ext>
          </c:extLst>
        </c:ser>
        <c:ser>
          <c:idx val="11"/>
          <c:order val="11"/>
          <c:tx>
            <c:v>Background 3</c:v>
          </c:tx>
          <c:spPr>
            <a:ln w="19050">
              <a:solidFill>
                <a:schemeClr val="accent3">
                  <a:lumMod val="50000"/>
                </a:schemeClr>
              </a:solidFill>
              <a:prstDash val="sysDot"/>
            </a:ln>
          </c:spPr>
          <c:marker>
            <c:symbol val="none"/>
          </c:marker>
          <c:xVal>
            <c:numRef>
              <c:f>Calculations!$AM$70:$AN$70</c:f>
              <c:numCache>
                <c:formatCode>0.00</c:formatCode>
                <c:ptCount val="2"/>
                <c:pt idx="0">
                  <c:v>#N/A</c:v>
                </c:pt>
                <c:pt idx="1">
                  <c:v>#N/A</c:v>
                </c:pt>
              </c:numCache>
            </c:numRef>
          </c:xVal>
          <c:yVal>
            <c:numRef>
              <c:f>Calculations!$AM$71:$AN$71</c:f>
              <c:numCache>
                <c:formatCode>0.000</c:formatCode>
                <c:ptCount val="2"/>
                <c:pt idx="0">
                  <c:v>#N/A</c:v>
                </c:pt>
                <c:pt idx="1">
                  <c:v>#N/A</c:v>
                </c:pt>
              </c:numCache>
            </c:numRef>
          </c:yVal>
          <c:smooth val="0"/>
          <c:extLst>
            <c:ext xmlns:c16="http://schemas.microsoft.com/office/drawing/2014/chart" uri="{C3380CC4-5D6E-409C-BE32-E72D297353CC}">
              <c16:uniqueId val="{0000000B-5102-40FA-B26C-D15065191567}"/>
            </c:ext>
          </c:extLst>
        </c:ser>
        <c:ser>
          <c:idx val="12"/>
          <c:order val="12"/>
          <c:tx>
            <c:v>Background 3-</c:v>
          </c:tx>
          <c:spPr>
            <a:ln w="9525">
              <a:solidFill>
                <a:srgbClr val="9BBB59">
                  <a:lumMod val="50000"/>
                </a:srgbClr>
              </a:solidFill>
              <a:prstDash val="dash"/>
            </a:ln>
          </c:spPr>
          <c:marker>
            <c:symbol val="none"/>
          </c:marker>
          <c:xVal>
            <c:numRef>
              <c:f>Calculations!$AM$70:$AN$70</c:f>
              <c:numCache>
                <c:formatCode>0.00</c:formatCode>
                <c:ptCount val="2"/>
                <c:pt idx="0">
                  <c:v>#N/A</c:v>
                </c:pt>
                <c:pt idx="1">
                  <c:v>#N/A</c:v>
                </c:pt>
              </c:numCache>
            </c:numRef>
          </c:xVal>
          <c:yVal>
            <c:numRef>
              <c:f>Calculations!$AM$72:$AN$72</c:f>
              <c:numCache>
                <c:formatCode>0.000</c:formatCode>
                <c:ptCount val="2"/>
                <c:pt idx="0">
                  <c:v>#N/A</c:v>
                </c:pt>
                <c:pt idx="1">
                  <c:v>#N/A</c:v>
                </c:pt>
              </c:numCache>
            </c:numRef>
          </c:yVal>
          <c:smooth val="0"/>
          <c:extLst>
            <c:ext xmlns:c16="http://schemas.microsoft.com/office/drawing/2014/chart" uri="{C3380CC4-5D6E-409C-BE32-E72D297353CC}">
              <c16:uniqueId val="{0000000C-5102-40FA-B26C-D15065191567}"/>
            </c:ext>
          </c:extLst>
        </c:ser>
        <c:ser>
          <c:idx val="13"/>
          <c:order val="13"/>
          <c:tx>
            <c:v>Background 3+</c:v>
          </c:tx>
          <c:spPr>
            <a:ln w="9525">
              <a:solidFill>
                <a:srgbClr val="9BBB59">
                  <a:lumMod val="50000"/>
                </a:srgbClr>
              </a:solidFill>
              <a:prstDash val="dash"/>
            </a:ln>
          </c:spPr>
          <c:marker>
            <c:symbol val="none"/>
          </c:marker>
          <c:xVal>
            <c:numRef>
              <c:f>Calculations!$AM$70:$AN$70</c:f>
              <c:numCache>
                <c:formatCode>0.00</c:formatCode>
                <c:ptCount val="2"/>
                <c:pt idx="0">
                  <c:v>#N/A</c:v>
                </c:pt>
                <c:pt idx="1">
                  <c:v>#N/A</c:v>
                </c:pt>
              </c:numCache>
            </c:numRef>
          </c:xVal>
          <c:yVal>
            <c:numRef>
              <c:f>Calculations!$AM$73:$AN$73</c:f>
              <c:numCache>
                <c:formatCode>0.000</c:formatCode>
                <c:ptCount val="2"/>
                <c:pt idx="0">
                  <c:v>#N/A</c:v>
                </c:pt>
                <c:pt idx="1">
                  <c:v>#N/A</c:v>
                </c:pt>
              </c:numCache>
            </c:numRef>
          </c:yVal>
          <c:smooth val="0"/>
          <c:extLst>
            <c:ext xmlns:c16="http://schemas.microsoft.com/office/drawing/2014/chart" uri="{C3380CC4-5D6E-409C-BE32-E72D297353CC}">
              <c16:uniqueId val="{0000000D-5102-40FA-B26C-D15065191567}"/>
            </c:ext>
          </c:extLst>
        </c:ser>
        <c:ser>
          <c:idx val="14"/>
          <c:order val="14"/>
          <c:tx>
            <c:v>5PL Curve 3</c:v>
          </c:tx>
          <c:spPr>
            <a:ln w="9525">
              <a:solidFill>
                <a:srgbClr val="9BBB59">
                  <a:lumMod val="50000"/>
                </a:srgbClr>
              </a:solidFill>
            </a:ln>
          </c:spPr>
          <c:marker>
            <c:symbol val="none"/>
          </c:marker>
          <c:xVal>
            <c:numRef>
              <c:f>Calculations!$AF$63:$AF$88</c:f>
              <c:numCache>
                <c:formatCode>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xVal>
          <c:yVal>
            <c:numRef>
              <c:f>Calculations!$AG$63:$AG$88</c:f>
              <c:numCache>
                <c:formatCode>0.000</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Cache>
            </c:numRef>
          </c:yVal>
          <c:smooth val="0"/>
          <c:extLst>
            <c:ext xmlns:c16="http://schemas.microsoft.com/office/drawing/2014/chart" uri="{C3380CC4-5D6E-409C-BE32-E72D297353CC}">
              <c16:uniqueId val="{0000000E-5102-40FA-B26C-D15065191567}"/>
            </c:ext>
          </c:extLst>
        </c:ser>
        <c:ser>
          <c:idx val="15"/>
          <c:order val="15"/>
          <c:tx>
            <c:v>Spike Low</c:v>
          </c:tx>
          <c:spPr>
            <a:ln w="28575">
              <a:noFill/>
            </a:ln>
          </c:spPr>
          <c:marker>
            <c:symbol val="diamond"/>
            <c:size val="10"/>
            <c:spPr>
              <a:solidFill>
                <a:srgbClr val="FF0000"/>
              </a:solidFill>
              <a:ln>
                <a:solidFill>
                  <a:srgbClr val="FF0000"/>
                </a:solidFill>
              </a:ln>
            </c:spPr>
          </c:marker>
          <c:xVal>
            <c:numRef>
              <c:f>Report!$L$43</c:f>
              <c:numCache>
                <c:formatCode>0.00</c:formatCode>
                <c:ptCount val="1"/>
                <c:pt idx="0">
                  <c:v>12.264912161636683</c:v>
                </c:pt>
              </c:numCache>
            </c:numRef>
          </c:xVal>
          <c:yVal>
            <c:numRef>
              <c:f>Report!$K$43</c:f>
              <c:numCache>
                <c:formatCode>0.00</c:formatCode>
                <c:ptCount val="1"/>
                <c:pt idx="0">
                  <c:v>9.2374999999999985E-2</c:v>
                </c:pt>
              </c:numCache>
            </c:numRef>
          </c:yVal>
          <c:smooth val="0"/>
          <c:extLst>
            <c:ext xmlns:c16="http://schemas.microsoft.com/office/drawing/2014/chart" uri="{C3380CC4-5D6E-409C-BE32-E72D297353CC}">
              <c16:uniqueId val="{0000000F-5102-40FA-B26C-D15065191567}"/>
            </c:ext>
          </c:extLst>
        </c:ser>
        <c:ser>
          <c:idx val="16"/>
          <c:order val="16"/>
          <c:tx>
            <c:v>Spike High</c:v>
          </c:tx>
          <c:spPr>
            <a:ln w="28575">
              <a:noFill/>
            </a:ln>
          </c:spPr>
          <c:marker>
            <c:symbol val="triangle"/>
            <c:size val="10"/>
            <c:spPr>
              <a:solidFill>
                <a:srgbClr val="FF0000"/>
              </a:solidFill>
              <a:ln>
                <a:solidFill>
                  <a:srgbClr val="FF0000"/>
                </a:solidFill>
              </a:ln>
            </c:spPr>
          </c:marker>
          <c:xVal>
            <c:numRef>
              <c:f>Report!$L$42</c:f>
              <c:numCache>
                <c:formatCode>0.00</c:formatCode>
                <c:ptCount val="1"/>
                <c:pt idx="0">
                  <c:v>318.01720578415024</c:v>
                </c:pt>
              </c:numCache>
            </c:numRef>
          </c:xVal>
          <c:yVal>
            <c:numRef>
              <c:f>Report!$K$42</c:f>
              <c:numCache>
                <c:formatCode>0.00</c:formatCode>
                <c:ptCount val="1"/>
                <c:pt idx="0">
                  <c:v>1.7817499999999999</c:v>
                </c:pt>
              </c:numCache>
            </c:numRef>
          </c:yVal>
          <c:smooth val="0"/>
          <c:extLst>
            <c:ext xmlns:c16="http://schemas.microsoft.com/office/drawing/2014/chart" uri="{C3380CC4-5D6E-409C-BE32-E72D297353CC}">
              <c16:uniqueId val="{00000010-5102-40FA-B26C-D15065191567}"/>
            </c:ext>
          </c:extLst>
        </c:ser>
        <c:ser>
          <c:idx val="17"/>
          <c:order val="17"/>
          <c:tx>
            <c:v>Process Control</c:v>
          </c:tx>
          <c:spPr>
            <a:ln w="28575">
              <a:noFill/>
            </a:ln>
          </c:spPr>
          <c:marker>
            <c:symbol val="square"/>
            <c:size val="10"/>
            <c:spPr>
              <a:solidFill>
                <a:srgbClr val="FF0000"/>
              </a:solidFill>
              <a:ln>
                <a:solidFill>
                  <a:srgbClr val="FF0000"/>
                </a:solidFill>
              </a:ln>
            </c:spPr>
          </c:marker>
          <c:xVal>
            <c:numRef>
              <c:f>Report!$L$41</c:f>
              <c:numCache>
                <c:formatCode>0.00</c:formatCode>
                <c:ptCount val="1"/>
                <c:pt idx="0">
                  <c:v>53.776716416420612</c:v>
                </c:pt>
              </c:numCache>
            </c:numRef>
          </c:xVal>
          <c:yVal>
            <c:numRef>
              <c:f>Report!$K$41</c:f>
              <c:numCache>
                <c:formatCode>0.00</c:formatCode>
                <c:ptCount val="1"/>
                <c:pt idx="0">
                  <c:v>0.37887500000000007</c:v>
                </c:pt>
              </c:numCache>
            </c:numRef>
          </c:yVal>
          <c:smooth val="0"/>
          <c:extLst>
            <c:ext xmlns:c16="http://schemas.microsoft.com/office/drawing/2014/chart" uri="{C3380CC4-5D6E-409C-BE32-E72D297353CC}">
              <c16:uniqueId val="{00000011-5102-40FA-B26C-D15065191567}"/>
            </c:ext>
          </c:extLst>
        </c:ser>
        <c:ser>
          <c:idx val="18"/>
          <c:order val="18"/>
          <c:tx>
            <c:v>Samples</c:v>
          </c:tx>
          <c:spPr>
            <a:ln w="28575">
              <a:noFill/>
            </a:ln>
          </c:spPr>
          <c:marker>
            <c:symbol val="circle"/>
            <c:size val="7"/>
            <c:spPr>
              <a:solidFill>
                <a:srgbClr val="00FF00"/>
              </a:solidFill>
              <a:ln w="19050">
                <a:noFill/>
              </a:ln>
            </c:spPr>
          </c:marker>
          <c:xVal>
            <c:numRef>
              <c:f>Report!$L$44:$L$207</c:f>
              <c:numCache>
                <c:formatCode>0.00</c:formatCode>
                <c:ptCount val="164"/>
                <c:pt idx="0">
                  <c:v>78.131128755933545</c:v>
                </c:pt>
                <c:pt idx="1">
                  <c:v>72.713111211219854</c:v>
                </c:pt>
                <c:pt idx="2">
                  <c:v>32.788123927490822</c:v>
                </c:pt>
                <c:pt idx="3">
                  <c:v>77.387291819562932</c:v>
                </c:pt>
                <c:pt idx="4">
                  <c:v>71.825465239015585</c:v>
                </c:pt>
                <c:pt idx="5">
                  <c:v>71.086410667312975</c:v>
                </c:pt>
                <c:pt idx="6">
                  <c:v>73.231401584212392</c:v>
                </c:pt>
                <c:pt idx="7">
                  <c:v>75.083901453936477</c:v>
                </c:pt>
                <c:pt idx="8">
                  <c:v>75.009146844177081</c:v>
                </c:pt>
                <c:pt idx="9">
                  <c:v>77.23883434079535</c:v>
                </c:pt>
                <c:pt idx="10">
                  <c:v>81.114465562616061</c:v>
                </c:pt>
                <c:pt idx="11">
                  <c:v>76.568442607202201</c:v>
                </c:pt>
                <c:pt idx="12">
                  <c:v>80.963553470979321</c:v>
                </c:pt>
                <c:pt idx="13">
                  <c:v>77.906766928943853</c:v>
                </c:pt>
                <c:pt idx="14">
                  <c:v>77.683679707260865</c:v>
                </c:pt>
                <c:pt idx="15">
                  <c:v>75.305887466554282</c:v>
                </c:pt>
                <c:pt idx="16">
                  <c:v>77.832260785874524</c:v>
                </c:pt>
                <c:pt idx="17">
                  <c:v>75.973902792519624</c:v>
                </c:pt>
                <c:pt idx="18">
                  <c:v>64.16996651278842</c:v>
                </c:pt>
                <c:pt idx="19">
                  <c:v>60.658087504676878</c:v>
                </c:pt>
                <c:pt idx="20">
                  <c:v>56.052060903425662</c:v>
                </c:pt>
                <c:pt idx="21">
                  <c:v>65.564733513664322</c:v>
                </c:pt>
                <c:pt idx="22">
                  <c:v>66.298300195355367</c:v>
                </c:pt>
                <c:pt idx="23">
                  <c:v>58.020806542169154</c:v>
                </c:pt>
                <c:pt idx="24">
                  <c:v>62.042146460910764</c:v>
                </c:pt>
                <c:pt idx="25">
                  <c:v>60.359431189564923</c:v>
                </c:pt>
                <c:pt idx="26">
                  <c:v>68.730101684874995</c:v>
                </c:pt>
                <c:pt idx="27">
                  <c:v>65.051432886104806</c:v>
                </c:pt>
                <c:pt idx="28">
                  <c:v>58.824193182395007</c:v>
                </c:pt>
                <c:pt idx="29">
                  <c:v>66.077172118068162</c:v>
                </c:pt>
                <c:pt idx="30">
                  <c:v>66.665292929343551</c:v>
                </c:pt>
                <c:pt idx="31">
                  <c:v>63.874095581866904</c:v>
                </c:pt>
                <c:pt idx="32">
                  <c:v>64.757088142917638</c:v>
                </c:pt>
                <c:pt idx="33">
                  <c:v>63.800857754548488</c:v>
                </c:pt>
                <c:pt idx="34">
                  <c:v>67.921452393509071</c:v>
                </c:pt>
                <c:pt idx="35">
                  <c:v>67.62193317282842</c:v>
                </c:pt>
                <c:pt idx="36">
                  <c:v>31.487814251589974</c:v>
                </c:pt>
                <c:pt idx="37">
                  <c:v>31.704538216210551</c:v>
                </c:pt>
                <c:pt idx="38">
                  <c:v>30.693179745285462</c:v>
                </c:pt>
                <c:pt idx="39">
                  <c:v>29.176011753045067</c:v>
                </c:pt>
                <c:pt idx="40">
                  <c:v>30.404191652999607</c:v>
                </c:pt>
                <c:pt idx="41">
                  <c:v>30.404216318560273</c:v>
                </c:pt>
                <c:pt idx="42">
                  <c:v>33.727271334481514</c:v>
                </c:pt>
                <c:pt idx="43">
                  <c:v>31.198866624827438</c:v>
                </c:pt>
                <c:pt idx="44">
                  <c:v>31.776768890523051</c:v>
                </c:pt>
                <c:pt idx="45">
                  <c:v>30.187485534239407</c:v>
                </c:pt>
                <c:pt idx="46">
                  <c:v>31.487822918657422</c:v>
                </c:pt>
                <c:pt idx="47">
                  <c:v>27.803138732710387</c:v>
                </c:pt>
                <c:pt idx="48">
                  <c:v>30.837667809877111</c:v>
                </c:pt>
                <c:pt idx="49">
                  <c:v>30.476452117950739</c:v>
                </c:pt>
                <c:pt idx="50">
                  <c:v>33.510512484594855</c:v>
                </c:pt>
                <c:pt idx="51">
                  <c:v>31.632299927199327</c:v>
                </c:pt>
                <c:pt idx="52">
                  <c:v>31.560061513911869</c:v>
                </c:pt>
                <c:pt idx="53">
                  <c:v>32.499159789232294</c:v>
                </c:pt>
                <c:pt idx="54">
                  <c:v>36.906368641087511</c:v>
                </c:pt>
                <c:pt idx="55">
                  <c:v>37.773656874298041</c:v>
                </c:pt>
                <c:pt idx="56">
                  <c:v>29.320512510503672</c:v>
                </c:pt>
                <c:pt idx="57">
                  <c:v>36.545043618637948</c:v>
                </c:pt>
                <c:pt idx="58">
                  <c:v>40.666208873220548</c:v>
                </c:pt>
                <c:pt idx="59">
                  <c:v>36.256011731344046</c:v>
                </c:pt>
                <c:pt idx="60">
                  <c:v>39.002636547460021</c:v>
                </c:pt>
                <c:pt idx="61">
                  <c:v>35.966985432581879</c:v>
                </c:pt>
                <c:pt idx="62">
                  <c:v>37.340018521932379</c:v>
                </c:pt>
                <c:pt idx="63">
                  <c:v>35.677971511230893</c:v>
                </c:pt>
                <c:pt idx="64">
                  <c:v>33.221578275851328</c:v>
                </c:pt>
                <c:pt idx="65">
                  <c:v>35.605695050041106</c:v>
                </c:pt>
                <c:pt idx="66">
                  <c:v>41.750952992609228</c:v>
                </c:pt>
                <c:pt idx="67">
                  <c:v>39.43641651036468</c:v>
                </c:pt>
                <c:pt idx="68">
                  <c:v>37.629111184054203</c:v>
                </c:pt>
                <c:pt idx="69">
                  <c:v>37.990637913923877</c:v>
                </c:pt>
                <c:pt idx="70">
                  <c:v>45.021206015089085</c:v>
                </c:pt>
                <c:pt idx="71">
                  <c:v>37.412318055782862</c:v>
                </c:pt>
                <c:pt idx="72">
                  <c:v>77.014079287240477</c:v>
                </c:pt>
                <c:pt idx="73">
                  <c:v>81.562114307151887</c:v>
                </c:pt>
                <c:pt idx="74">
                  <c:v>96.904705681010796</c:v>
                </c:pt>
                <c:pt idx="75">
                  <c:v>90.062715775517347</c:v>
                </c:pt>
                <c:pt idx="76">
                  <c:v>85.909134027947204</c:v>
                </c:pt>
                <c:pt idx="77">
                  <c:v>80.142281391150675</c:v>
                </c:pt>
                <c:pt idx="78">
                  <c:v>88.415758780326627</c:v>
                </c:pt>
                <c:pt idx="79">
                  <c:v>77.548362598375746</c:v>
                </c:pt>
                <c:pt idx="80">
                  <c:v>85.234345677383089</c:v>
                </c:pt>
                <c:pt idx="81">
                  <c:v>81.715661572757796</c:v>
                </c:pt>
                <c:pt idx="82">
                  <c:v>91.420626244927348</c:v>
                </c:pt>
                <c:pt idx="83">
                  <c:v>59.700844111623461</c:v>
                </c:pt>
                <c:pt idx="84">
                  <c:v>85.536729655074907</c:v>
                </c:pt>
                <c:pt idx="85">
                  <c:v>87.341483353291437</c:v>
                </c:pt>
                <c:pt idx="86">
                  <c:v>88.927229332886029</c:v>
                </c:pt>
                <c:pt idx="87">
                  <c:v>86.134936949761311</c:v>
                </c:pt>
                <c:pt idx="88">
                  <c:v>86.662966478327746</c:v>
                </c:pt>
                <c:pt idx="89">
                  <c:v>87.489769178439161</c:v>
                </c:pt>
                <c:pt idx="90">
                  <c:v>72.270558331941686</c:v>
                </c:pt>
                <c:pt idx="91">
                  <c:v>75.753117808695606</c:v>
                </c:pt>
                <c:pt idx="92">
                  <c:v>61.751424385351058</c:v>
                </c:pt>
                <c:pt idx="93">
                  <c:v>70.643463307205593</c:v>
                </c:pt>
                <c:pt idx="94">
                  <c:v>64.608581037661111</c:v>
                </c:pt>
                <c:pt idx="95">
                  <c:v>64.534947280292187</c:v>
                </c:pt>
                <c:pt idx="96">
                  <c:v>32.932646997041225</c:v>
                </c:pt>
                <c:pt idx="97">
                  <c:v>66.522227669147242</c:v>
                </c:pt>
                <c:pt idx="98">
                  <c:v>33.582760037428997</c:v>
                </c:pt>
                <c:pt idx="99">
                  <c:v>32.282445545878971</c:v>
                </c:pt>
                <c:pt idx="100">
                  <c:v>75.753444107555936</c:v>
                </c:pt>
                <c:pt idx="101">
                  <c:v>31.271099557367023</c:v>
                </c:pt>
                <c:pt idx="102">
                  <c:v>37.268268601929421</c:v>
                </c:pt>
                <c:pt idx="103">
                  <c:v>40.2319093183755</c:v>
                </c:pt>
                <c:pt idx="104">
                  <c:v>29.46496863633903</c:v>
                </c:pt>
                <c:pt idx="105">
                  <c:v>36.761988509901094</c:v>
                </c:pt>
                <c:pt idx="106">
                  <c:v>90.218649797638165</c:v>
                </c:pt>
                <c:pt idx="107">
                  <c:v>93.931846623223649</c:v>
                </c:pt>
                <c:pt idx="108">
                  <c:v>81.562114307151887</c:v>
                </c:pt>
                <c:pt idx="109">
                  <c:v>70.49627361871876</c:v>
                </c:pt>
                <c:pt idx="110">
                  <c:v>24.622082464451246</c:v>
                </c:pt>
                <c:pt idx="111">
                  <c:v>0</c:v>
                </c:pt>
                <c:pt idx="112">
                  <c:v>0</c:v>
                </c:pt>
                <c:pt idx="113">
                  <c:v>0</c:v>
                </c:pt>
                <c:pt idx="114">
                  <c:v>0</c:v>
                </c:pt>
                <c:pt idx="115">
                  <c:v>0</c:v>
                </c:pt>
                <c:pt idx="116">
                  <c:v>0</c:v>
                </c:pt>
                <c:pt idx="117">
                  <c:v>0</c:v>
                </c:pt>
                <c:pt idx="118">
                  <c:v>0</c:v>
                </c:pt>
                <c:pt idx="119">
                  <c:v>0</c:v>
                </c:pt>
                <c:pt idx="120">
                  <c:v>0</c:v>
                </c:pt>
                <c:pt idx="121">
                  <c:v>0</c:v>
                </c:pt>
                <c:pt idx="122">
                  <c:v>2.6196405224279276</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1.8659192735965175</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numCache>
            </c:numRef>
          </c:xVal>
          <c:yVal>
            <c:numRef>
              <c:f>Report!$K$44:$K$207</c:f>
              <c:numCache>
                <c:formatCode>0.00</c:formatCode>
                <c:ptCount val="164"/>
                <c:pt idx="0">
                  <c:v>0.54449999999999998</c:v>
                </c:pt>
                <c:pt idx="1">
                  <c:v>0.50800000000000001</c:v>
                </c:pt>
                <c:pt idx="2">
                  <c:v>0.23400000000000004</c:v>
                </c:pt>
                <c:pt idx="3">
                  <c:v>0.53949999999999987</c:v>
                </c:pt>
                <c:pt idx="4">
                  <c:v>0.502</c:v>
                </c:pt>
                <c:pt idx="5">
                  <c:v>0.49700000000000005</c:v>
                </c:pt>
                <c:pt idx="6">
                  <c:v>0.51149999999999995</c:v>
                </c:pt>
                <c:pt idx="7">
                  <c:v>0.52399999999999991</c:v>
                </c:pt>
                <c:pt idx="8">
                  <c:v>0.52349999999999985</c:v>
                </c:pt>
                <c:pt idx="9">
                  <c:v>0.53849999999999998</c:v>
                </c:pt>
                <c:pt idx="10">
                  <c:v>0.5645</c:v>
                </c:pt>
                <c:pt idx="11">
                  <c:v>0.53399999999999992</c:v>
                </c:pt>
                <c:pt idx="12">
                  <c:v>0.56349999999999989</c:v>
                </c:pt>
                <c:pt idx="13">
                  <c:v>0.54299999999999993</c:v>
                </c:pt>
                <c:pt idx="14">
                  <c:v>0.54149999999999987</c:v>
                </c:pt>
                <c:pt idx="15">
                  <c:v>0.52549999999999986</c:v>
                </c:pt>
                <c:pt idx="16">
                  <c:v>0.54249999999999998</c:v>
                </c:pt>
                <c:pt idx="17">
                  <c:v>0.52999999999999992</c:v>
                </c:pt>
                <c:pt idx="18">
                  <c:v>0.45</c:v>
                </c:pt>
                <c:pt idx="19">
                  <c:v>0.42600000000000005</c:v>
                </c:pt>
                <c:pt idx="20">
                  <c:v>0.39450000000000002</c:v>
                </c:pt>
                <c:pt idx="21">
                  <c:v>0.45950000000000002</c:v>
                </c:pt>
                <c:pt idx="22">
                  <c:v>0.46450000000000002</c:v>
                </c:pt>
                <c:pt idx="23">
                  <c:v>0.40800000000000003</c:v>
                </c:pt>
                <c:pt idx="24">
                  <c:v>0.4355</c:v>
                </c:pt>
                <c:pt idx="25">
                  <c:v>0.42400000000000004</c:v>
                </c:pt>
                <c:pt idx="26">
                  <c:v>0.48099999999999998</c:v>
                </c:pt>
                <c:pt idx="27">
                  <c:v>0.45600000000000002</c:v>
                </c:pt>
                <c:pt idx="28">
                  <c:v>0.41349999999999998</c:v>
                </c:pt>
                <c:pt idx="29">
                  <c:v>0.46300000000000002</c:v>
                </c:pt>
                <c:pt idx="30">
                  <c:v>0.46700000000000003</c:v>
                </c:pt>
                <c:pt idx="31">
                  <c:v>0.44800000000000001</c:v>
                </c:pt>
                <c:pt idx="32">
                  <c:v>0.45400000000000001</c:v>
                </c:pt>
                <c:pt idx="33">
                  <c:v>0.44750000000000001</c:v>
                </c:pt>
                <c:pt idx="34">
                  <c:v>0.47550000000000003</c:v>
                </c:pt>
                <c:pt idx="35">
                  <c:v>0.47350000000000003</c:v>
                </c:pt>
                <c:pt idx="36">
                  <c:v>0.22500000000000001</c:v>
                </c:pt>
                <c:pt idx="37">
                  <c:v>0.22650000000000001</c:v>
                </c:pt>
                <c:pt idx="38">
                  <c:v>0.21950000000000003</c:v>
                </c:pt>
                <c:pt idx="39">
                  <c:v>0.20899999999999999</c:v>
                </c:pt>
                <c:pt idx="40">
                  <c:v>0.21750000000000003</c:v>
                </c:pt>
                <c:pt idx="41">
                  <c:v>0.21750000000000003</c:v>
                </c:pt>
                <c:pt idx="42">
                  <c:v>0.24049999999999999</c:v>
                </c:pt>
                <c:pt idx="43">
                  <c:v>0.22300000000000003</c:v>
                </c:pt>
                <c:pt idx="44">
                  <c:v>0.22699999999999998</c:v>
                </c:pt>
                <c:pt idx="45">
                  <c:v>0.21600000000000003</c:v>
                </c:pt>
                <c:pt idx="46">
                  <c:v>0.22500000000000001</c:v>
                </c:pt>
                <c:pt idx="47">
                  <c:v>0.19950000000000001</c:v>
                </c:pt>
                <c:pt idx="48">
                  <c:v>0.22050000000000003</c:v>
                </c:pt>
                <c:pt idx="49">
                  <c:v>0.21800000000000003</c:v>
                </c:pt>
                <c:pt idx="50">
                  <c:v>0.23899999999999999</c:v>
                </c:pt>
                <c:pt idx="51">
                  <c:v>0.22600000000000003</c:v>
                </c:pt>
                <c:pt idx="52">
                  <c:v>0.22550000000000001</c:v>
                </c:pt>
                <c:pt idx="53">
                  <c:v>0.23200000000000001</c:v>
                </c:pt>
                <c:pt idx="54">
                  <c:v>0.26250000000000001</c:v>
                </c:pt>
                <c:pt idx="55">
                  <c:v>0.26850000000000002</c:v>
                </c:pt>
                <c:pt idx="56">
                  <c:v>0.21000000000000002</c:v>
                </c:pt>
                <c:pt idx="57">
                  <c:v>0.26</c:v>
                </c:pt>
                <c:pt idx="58">
                  <c:v>0.28849999999999998</c:v>
                </c:pt>
                <c:pt idx="59">
                  <c:v>0.25800000000000001</c:v>
                </c:pt>
                <c:pt idx="60">
                  <c:v>0.27700000000000002</c:v>
                </c:pt>
                <c:pt idx="61">
                  <c:v>0.25600000000000001</c:v>
                </c:pt>
                <c:pt idx="62">
                  <c:v>0.26550000000000001</c:v>
                </c:pt>
                <c:pt idx="63">
                  <c:v>0.254</c:v>
                </c:pt>
                <c:pt idx="64">
                  <c:v>0.23699999999999999</c:v>
                </c:pt>
                <c:pt idx="65">
                  <c:v>0.2535</c:v>
                </c:pt>
                <c:pt idx="66">
                  <c:v>0.29600000000000004</c:v>
                </c:pt>
                <c:pt idx="67">
                  <c:v>0.28000000000000003</c:v>
                </c:pt>
                <c:pt idx="68">
                  <c:v>0.26750000000000002</c:v>
                </c:pt>
                <c:pt idx="69">
                  <c:v>0.27</c:v>
                </c:pt>
                <c:pt idx="70">
                  <c:v>0.31850000000000001</c:v>
                </c:pt>
                <c:pt idx="71">
                  <c:v>0.26600000000000001</c:v>
                </c:pt>
                <c:pt idx="72">
                  <c:v>0.53699999999999992</c:v>
                </c:pt>
                <c:pt idx="73">
                  <c:v>0.56749999999999989</c:v>
                </c:pt>
                <c:pt idx="74">
                  <c:v>0.66900000000000004</c:v>
                </c:pt>
                <c:pt idx="75">
                  <c:v>0.62399999999999989</c:v>
                </c:pt>
                <c:pt idx="76">
                  <c:v>0.59650000000000003</c:v>
                </c:pt>
                <c:pt idx="77">
                  <c:v>0.55799999999999994</c:v>
                </c:pt>
                <c:pt idx="78">
                  <c:v>0.61299999999999999</c:v>
                </c:pt>
                <c:pt idx="79">
                  <c:v>0.54049999999999998</c:v>
                </c:pt>
                <c:pt idx="80">
                  <c:v>0.59199999999999997</c:v>
                </c:pt>
                <c:pt idx="81">
                  <c:v>0.56850000000000001</c:v>
                </c:pt>
                <c:pt idx="82">
                  <c:v>0.63300000000000001</c:v>
                </c:pt>
                <c:pt idx="83">
                  <c:v>0.41949999999999998</c:v>
                </c:pt>
                <c:pt idx="84">
                  <c:v>0.59399999999999997</c:v>
                </c:pt>
                <c:pt idx="85">
                  <c:v>0.60599999999999998</c:v>
                </c:pt>
                <c:pt idx="86">
                  <c:v>0.61650000000000005</c:v>
                </c:pt>
                <c:pt idx="87">
                  <c:v>0.59799999999999998</c:v>
                </c:pt>
                <c:pt idx="88">
                  <c:v>0.60149999999999992</c:v>
                </c:pt>
                <c:pt idx="89">
                  <c:v>0.60699999999999998</c:v>
                </c:pt>
                <c:pt idx="90">
                  <c:v>0.505</c:v>
                </c:pt>
                <c:pt idx="91">
                  <c:v>0.52849999999999997</c:v>
                </c:pt>
                <c:pt idx="92">
                  <c:v>0.4335</c:v>
                </c:pt>
                <c:pt idx="93">
                  <c:v>0.49400000000000005</c:v>
                </c:pt>
                <c:pt idx="94">
                  <c:v>0.45300000000000001</c:v>
                </c:pt>
                <c:pt idx="95">
                  <c:v>0.45250000000000001</c:v>
                </c:pt>
                <c:pt idx="96">
                  <c:v>0.23500000000000001</c:v>
                </c:pt>
                <c:pt idx="97">
                  <c:v>0.46600000000000003</c:v>
                </c:pt>
                <c:pt idx="98">
                  <c:v>0.23950000000000002</c:v>
                </c:pt>
                <c:pt idx="99">
                  <c:v>0.23050000000000004</c:v>
                </c:pt>
                <c:pt idx="100">
                  <c:v>0.52849999999999997</c:v>
                </c:pt>
                <c:pt idx="101">
                  <c:v>0.22350000000000003</c:v>
                </c:pt>
                <c:pt idx="102">
                  <c:v>0.26500000000000001</c:v>
                </c:pt>
                <c:pt idx="103">
                  <c:v>0.28549999999999998</c:v>
                </c:pt>
                <c:pt idx="104">
                  <c:v>0.21100000000000002</c:v>
                </c:pt>
                <c:pt idx="105">
                  <c:v>0.26150000000000001</c:v>
                </c:pt>
                <c:pt idx="106">
                  <c:v>0.625</c:v>
                </c:pt>
                <c:pt idx="107">
                  <c:v>0.64949999999999997</c:v>
                </c:pt>
                <c:pt idx="108">
                  <c:v>0.56749999999999989</c:v>
                </c:pt>
                <c:pt idx="109">
                  <c:v>0.49299999999999999</c:v>
                </c:pt>
                <c:pt idx="110">
                  <c:v>0.17749999999999999</c:v>
                </c:pt>
                <c:pt idx="111">
                  <c:v>1.0999999999999999E-2</c:v>
                </c:pt>
                <c:pt idx="112">
                  <c:v>1.2500000000000004E-2</c:v>
                </c:pt>
                <c:pt idx="113">
                  <c:v>1.2999999999999998E-2</c:v>
                </c:pt>
                <c:pt idx="114">
                  <c:v>1.2499999999999997E-2</c:v>
                </c:pt>
                <c:pt idx="115">
                  <c:v>7.9999999999999967E-3</c:v>
                </c:pt>
                <c:pt idx="116">
                  <c:v>8.0000000000000036E-3</c:v>
                </c:pt>
                <c:pt idx="117">
                  <c:v>9.0000000000000011E-3</c:v>
                </c:pt>
                <c:pt idx="118">
                  <c:v>1.0500000000000002E-2</c:v>
                </c:pt>
                <c:pt idx="119">
                  <c:v>8.0000000000000036E-3</c:v>
                </c:pt>
                <c:pt idx="120">
                  <c:v>9.5000000000000015E-3</c:v>
                </c:pt>
                <c:pt idx="121">
                  <c:v>1.15E-2</c:v>
                </c:pt>
                <c:pt idx="122">
                  <c:v>2.1500000000000002E-2</c:v>
                </c:pt>
                <c:pt idx="123">
                  <c:v>8.5000000000000006E-3</c:v>
                </c:pt>
                <c:pt idx="124">
                  <c:v>9.0000000000000011E-3</c:v>
                </c:pt>
                <c:pt idx="125">
                  <c:v>8.5000000000000006E-3</c:v>
                </c:pt>
                <c:pt idx="126">
                  <c:v>9.5000000000000015E-3</c:v>
                </c:pt>
                <c:pt idx="127">
                  <c:v>9.9999999999999985E-3</c:v>
                </c:pt>
                <c:pt idx="128">
                  <c:v>1.1500000000000003E-2</c:v>
                </c:pt>
                <c:pt idx="129">
                  <c:v>1.1000000000000003E-2</c:v>
                </c:pt>
                <c:pt idx="130">
                  <c:v>1.3500000000000009E-2</c:v>
                </c:pt>
                <c:pt idx="131">
                  <c:v>9.9999999999999985E-3</c:v>
                </c:pt>
                <c:pt idx="132">
                  <c:v>8.9999999999999976E-3</c:v>
                </c:pt>
                <c:pt idx="133">
                  <c:v>6.9999999999999993E-3</c:v>
                </c:pt>
                <c:pt idx="134">
                  <c:v>1.1000000000000006E-2</c:v>
                </c:pt>
                <c:pt idx="135">
                  <c:v>6.9999999999999993E-3</c:v>
                </c:pt>
                <c:pt idx="136">
                  <c:v>6.9999999999999993E-3</c:v>
                </c:pt>
                <c:pt idx="137">
                  <c:v>8.5000000000000006E-3</c:v>
                </c:pt>
                <c:pt idx="138">
                  <c:v>1.1000000000000003E-2</c:v>
                </c:pt>
                <c:pt idx="139">
                  <c:v>8.9999999999999976E-3</c:v>
                </c:pt>
                <c:pt idx="140">
                  <c:v>9.0000000000000011E-3</c:v>
                </c:pt>
                <c:pt idx="141">
                  <c:v>7.4999999999999997E-3</c:v>
                </c:pt>
                <c:pt idx="142">
                  <c:v>7.4999999999999997E-3</c:v>
                </c:pt>
                <c:pt idx="143">
                  <c:v>6.5000000000000023E-3</c:v>
                </c:pt>
                <c:pt idx="144">
                  <c:v>1.4999999999999996E-2</c:v>
                </c:pt>
                <c:pt idx="145">
                  <c:v>7.4999999999999997E-3</c:v>
                </c:pt>
                <c:pt idx="146">
                  <c:v>9.5000000000000015E-3</c:v>
                </c:pt>
                <c:pt idx="147">
                  <c:v>1.0000000000000002E-2</c:v>
                </c:pt>
                <c:pt idx="148">
                  <c:v>7.4999999999999997E-3</c:v>
                </c:pt>
                <c:pt idx="149">
                  <c:v>8.0000000000000002E-3</c:v>
                </c:pt>
                <c:pt idx="150">
                  <c:v>6.9999999999999958E-3</c:v>
                </c:pt>
                <c:pt idx="151">
                  <c:v>6.9999999999999993E-3</c:v>
                </c:pt>
                <c:pt idx="152">
                  <c:v>8.0000000000000002E-3</c:v>
                </c:pt>
                <c:pt idx="153">
                  <c:v>8.0000000000000002E-3</c:v>
                </c:pt>
                <c:pt idx="154">
                  <c:v>1.0500000000000002E-2</c:v>
                </c:pt>
                <c:pt idx="155">
                  <c:v>1.2000000000000004E-2</c:v>
                </c:pt>
                <c:pt idx="156">
                  <c:v>8.5000000000000006E-3</c:v>
                </c:pt>
                <c:pt idx="157">
                  <c:v>1.0499999999999999E-2</c:v>
                </c:pt>
                <c:pt idx="158">
                  <c:v>8.0000000000000036E-3</c:v>
                </c:pt>
                <c:pt idx="159">
                  <c:v>7.4999999999999963E-3</c:v>
                </c:pt>
                <c:pt idx="160">
                  <c:v>1.2000000000000004E-2</c:v>
                </c:pt>
                <c:pt idx="161">
                  <c:v>8.5000000000000006E-3</c:v>
                </c:pt>
                <c:pt idx="162">
                  <c:v>9.5000000000000015E-3</c:v>
                </c:pt>
                <c:pt idx="163">
                  <c:v>9.9999999999999985E-3</c:v>
                </c:pt>
              </c:numCache>
            </c:numRef>
          </c:yVal>
          <c:smooth val="0"/>
          <c:extLst>
            <c:ext xmlns:c16="http://schemas.microsoft.com/office/drawing/2014/chart" uri="{C3380CC4-5D6E-409C-BE32-E72D297353CC}">
              <c16:uniqueId val="{00000012-5102-40FA-B26C-D15065191567}"/>
            </c:ext>
          </c:extLst>
        </c:ser>
        <c:dLbls>
          <c:showLegendKey val="0"/>
          <c:showVal val="0"/>
          <c:showCatName val="0"/>
          <c:showSerName val="0"/>
          <c:showPercent val="0"/>
          <c:showBubbleSize val="0"/>
        </c:dLbls>
        <c:axId val="133935104"/>
        <c:axId val="133937024"/>
      </c:scatterChart>
      <c:valAx>
        <c:axId val="133935104"/>
        <c:scaling>
          <c:logBase val="10"/>
          <c:orientation val="minMax"/>
        </c:scaling>
        <c:delete val="0"/>
        <c:axPos val="b"/>
        <c:title>
          <c:tx>
            <c:strRef>
              <c:f>BioScale_Internal!$J$26</c:f>
              <c:strCache>
                <c:ptCount val="1"/>
                <c:pt idx="0">
                  <c:v>[GDF-15] (pg/mL)</c:v>
                </c:pt>
              </c:strCache>
            </c:strRef>
          </c:tx>
          <c:layout>
            <c:manualLayout>
              <c:xMode val="edge"/>
              <c:yMode val="edge"/>
              <c:x val="0.32640509987709515"/>
              <c:y val="0.92616033755274263"/>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numFmt formatCode="General" sourceLinked="1"/>
        <c:majorTickMark val="out"/>
        <c:minorTickMark val="out"/>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33937024"/>
        <c:crossesAt val="1.0000000000000041E-3"/>
        <c:crossBetween val="midCat"/>
      </c:valAx>
      <c:valAx>
        <c:axId val="133937024"/>
        <c:scaling>
          <c:logBase val="10"/>
          <c:orientation val="minMax"/>
        </c:scaling>
        <c:delete val="0"/>
        <c:axPos val="l"/>
        <c:title>
          <c:tx>
            <c:rich>
              <a:bodyPr/>
              <a:lstStyle/>
              <a:p>
                <a:pPr>
                  <a:defRPr sz="800" b="0" i="0" u="none" strike="noStrike" baseline="0">
                    <a:solidFill>
                      <a:srgbClr val="000000"/>
                    </a:solidFill>
                    <a:latin typeface="Arial"/>
                    <a:ea typeface="Arial"/>
                    <a:cs typeface="Arial"/>
                  </a:defRPr>
                </a:pPr>
                <a:r>
                  <a:rPr lang="en-US" sz="800"/>
                  <a:t>(OD@450nm)</a:t>
                </a:r>
              </a:p>
            </c:rich>
          </c:tx>
          <c:layout>
            <c:manualLayout>
              <c:xMode val="edge"/>
              <c:yMode val="edge"/>
              <c:x val="1.0256410256410263E-2"/>
              <c:y val="0.35889086701795125"/>
            </c:manualLayout>
          </c:layout>
          <c:overlay val="0"/>
          <c:spPr>
            <a:noFill/>
            <a:ln w="25400">
              <a:noFill/>
            </a:ln>
          </c:spPr>
        </c:title>
        <c:numFmt formatCode="#,##0.0" sourceLinked="0"/>
        <c:majorTickMark val="out"/>
        <c:minorTickMark val="out"/>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33935104"/>
        <c:crossesAt val="1.0000000000000041E-3"/>
        <c:crossBetween val="midCat"/>
      </c:valAx>
      <c:spPr>
        <a:noFill/>
        <a:ln w="3175">
          <a:solidFill>
            <a:srgbClr val="000000"/>
          </a:solidFill>
          <a:prstDash val="solid"/>
        </a:ln>
      </c:spPr>
    </c:plotArea>
    <c:legend>
      <c:legendPos val="r"/>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ayout>
        <c:manualLayout>
          <c:xMode val="edge"/>
          <c:yMode val="edge"/>
          <c:x val="0.72320327026017117"/>
          <c:y val="0.1359593341971494"/>
          <c:w val="0.25270532725697847"/>
          <c:h val="0.74569819595335396"/>
        </c:manualLayout>
      </c:layout>
      <c:overlay val="0"/>
      <c:spPr>
        <a:noFill/>
        <a:ln w="25400">
          <a:noFill/>
        </a:ln>
      </c:spPr>
      <c:txPr>
        <a:bodyPr/>
        <a:lstStyle/>
        <a:p>
          <a:pPr>
            <a:defRPr sz="7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solidFill>
        <a:schemeClr val="tx1"/>
      </a:solidFill>
    </a:ln>
  </c:spPr>
  <c:txPr>
    <a:bodyPr/>
    <a:lstStyle/>
    <a:p>
      <a:pPr>
        <a:defRPr sz="85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1"/>
  <sheetViews>
    <sheetView zoomScale="8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2" dropStyle="combo" dx="22" fmlaLink="Internal!$AI$20" fmlaRange="Internal!$AH$20:$AH$21" noThreeD="1" sel="2" val="0"/>
</file>

<file path=xl/ctrlProps/ctrlProp3.xml><?xml version="1.0" encoding="utf-8"?>
<formControlPr xmlns="http://schemas.microsoft.com/office/spreadsheetml/2009/9/main" objectType="Drop" dropStyle="combo" dx="22" fmlaLink="Internal!$AE$20" fmlaRange="Internal!$AD$20:$AD$119" noThreeD="1" sel="55" val="54"/>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Radio" firstButton="1" fmlaLink="Internal!$AM$20" lockText="1"/>
</file>

<file path=xl/ctrlProps/ctrlProp6.xml><?xml version="1.0" encoding="utf-8"?>
<formControlPr xmlns="http://schemas.microsoft.com/office/spreadsheetml/2009/9/main" objectType="Radio" checked="Checked"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Drop" dropStyle="combo" dx="22" fmlaLink="Internal!$AF$20" fmlaRange="Internal!$AD$20:$AD$119" noThreeD="1" sel="56" val="48"/>
</file>

<file path=xl/ctrlProps/ctrlProp12.xml><?xml version="1.0" encoding="utf-8"?>
<formControlPr xmlns="http://schemas.microsoft.com/office/spreadsheetml/2009/9/main" objectType="Drop" dropStyle="combo" dx="22" fmlaLink="Internal!$AA$20" fmlaRange="Internal!$Y$20:$Y$23" noThreeD="1" sel="1" val="0"/>
</file>

<file path=xl/ctrlProps/ctrlProp13.xml><?xml version="1.0" encoding="utf-8"?>
<formControlPr xmlns="http://schemas.microsoft.com/office/spreadsheetml/2009/9/main" objectType="Drop" dropStyle="combo" dx="22" fmlaLink="Internal!$V$20" fmlaRange="Internal!$U$20:$U$21" noThreeD="1" sel="2"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Radio"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Radio" lockText="1"/>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Radio" lockText="1"/>
</file>

<file path=xl/ctrlProps/ctrlProp23.xml><?xml version="1.0" encoding="utf-8"?>
<formControlPr xmlns="http://schemas.microsoft.com/office/spreadsheetml/2009/9/main" objectType="Radio"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Drop" dropLines="4" dropStyle="combo" dx="16" fmlaLink="BioScale_Internal!$I$33" fmlaRange="BioScale_Internal!$A$32:$E$35" noThreeD="1" sel="1" val="0"/>
</file>

<file path=xl/ctrlProps/ctrlProp27.xml><?xml version="1.0" encoding="utf-8"?>
<formControlPr xmlns="http://schemas.microsoft.com/office/spreadsheetml/2009/9/main" objectType="CheckBox" checked="Checked" fmlaLink="BioScale_Internal!$A$15" lockText="1" noThreeD="1"/>
</file>

<file path=xl/ctrlProps/ctrlProp28.xml><?xml version="1.0" encoding="utf-8"?>
<formControlPr xmlns="http://schemas.microsoft.com/office/spreadsheetml/2009/9/main" objectType="Drop" dropLines="4" dropStyle="combo" dx="16" fmlaLink="BioScale_Internal!$C$12" fmlaRange="BioScale_Internal!$E$3:$H$4" noThreeD="1" sel="2" val="0"/>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624418</xdr:colOff>
      <xdr:row>30</xdr:row>
      <xdr:rowOff>21167</xdr:rowOff>
    </xdr:from>
    <xdr:to>
      <xdr:col>10</xdr:col>
      <xdr:colOff>337446</xdr:colOff>
      <xdr:row>30</xdr:row>
      <xdr:rowOff>2317753</xdr:rowOff>
    </xdr:to>
    <xdr:grpSp>
      <xdr:nvGrpSpPr>
        <xdr:cNvPr id="14" name="Group 13">
          <a:extLst>
            <a:ext uri="{FF2B5EF4-FFF2-40B4-BE49-F238E27FC236}">
              <a16:creationId xmlns:a16="http://schemas.microsoft.com/office/drawing/2014/main" id="{00000000-0008-0000-0200-00000E000000}"/>
            </a:ext>
          </a:extLst>
        </xdr:cNvPr>
        <xdr:cNvGrpSpPr>
          <a:grpSpLocks noChangeAspect="1"/>
        </xdr:cNvGrpSpPr>
      </xdr:nvGrpSpPr>
      <xdr:grpSpPr>
        <a:xfrm>
          <a:off x="3714751" y="4783667"/>
          <a:ext cx="3332528" cy="2296586"/>
          <a:chOff x="2423586" y="3788834"/>
          <a:chExt cx="2523779" cy="1682750"/>
        </a:xfrm>
      </xdr:grpSpPr>
      <xdr:grpSp>
        <xdr:nvGrpSpPr>
          <xdr:cNvPr id="13" name="Group 12">
            <a:extLst>
              <a:ext uri="{FF2B5EF4-FFF2-40B4-BE49-F238E27FC236}">
                <a16:creationId xmlns:a16="http://schemas.microsoft.com/office/drawing/2014/main" id="{00000000-0008-0000-0200-00000D000000}"/>
              </a:ext>
            </a:extLst>
          </xdr:cNvPr>
          <xdr:cNvGrpSpPr/>
        </xdr:nvGrpSpPr>
        <xdr:grpSpPr>
          <a:xfrm>
            <a:off x="2423586" y="3788834"/>
            <a:ext cx="2523779" cy="1682750"/>
            <a:chOff x="2423586" y="3788834"/>
            <a:chExt cx="2523779" cy="1682750"/>
          </a:xfrm>
        </xdr:grpSpPr>
        <xdr:pic>
          <xdr:nvPicPr>
            <xdr:cNvPr id="28" name="Picture 27" descr="Related image">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3586" y="3788834"/>
              <a:ext cx="2523779" cy="1682750"/>
            </a:xfrm>
            <a:prstGeom prst="rect">
              <a:avLst/>
            </a:prstGeom>
            <a:noFill/>
            <a:ln w="12700" cap="flat" cmpd="sng" algn="ctr">
              <a:noFill/>
              <a:prstDash val="solid"/>
              <a:round/>
              <a:headEnd type="none" w="med" len="med"/>
              <a:tailEnd type="none" w="med" len="med"/>
            </a:ln>
            <a:effectLst/>
            <a:extLst>
              <a:ext uri="{909E8E84-426E-40DD-AFC4-6F175D3DCCD1}">
                <a14:hiddenFill xmlns:a14="http://schemas.microsoft.com/office/drawing/2010/main">
                  <a:solidFill>
                    <a:srgbClr val="FFFFFF"/>
                  </a:solidFill>
                </a14:hiddenFill>
              </a:ext>
            </a:extLst>
          </xdr:spPr>
        </xdr:pic>
        <xdr:sp macro="" textlink="">
          <xdr:nvSpPr>
            <xdr:cNvPr id="35" name="Rectangle 34">
              <a:extLst>
                <a:ext uri="{FF2B5EF4-FFF2-40B4-BE49-F238E27FC236}">
                  <a16:creationId xmlns:a16="http://schemas.microsoft.com/office/drawing/2014/main" id="{00000000-0008-0000-0200-000023000000}"/>
                </a:ext>
              </a:extLst>
            </xdr:cNvPr>
            <xdr:cNvSpPr/>
          </xdr:nvSpPr>
          <xdr:spPr>
            <a:xfrm>
              <a:off x="2639486" y="3920065"/>
              <a:ext cx="2110315" cy="1413935"/>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3086103" y="4182534"/>
            <a:ext cx="1228724" cy="867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5400" b="1">
                <a:solidFill>
                  <a:schemeClr val="bg1">
                    <a:lumMod val="95000"/>
                  </a:schemeClr>
                </a:solidFill>
              </a:rPr>
              <a:t>96</a:t>
            </a:r>
          </a:p>
        </xdr:txBody>
      </xdr:sp>
      <xdr:sp macro="" textlink="">
        <xdr:nvSpPr>
          <xdr:cNvPr id="47" name="TextBox 46">
            <a:extLst>
              <a:ext uri="{FF2B5EF4-FFF2-40B4-BE49-F238E27FC236}">
                <a16:creationId xmlns:a16="http://schemas.microsoft.com/office/drawing/2014/main" id="{00000000-0008-0000-0200-00002F000000}"/>
              </a:ext>
            </a:extLst>
          </xdr:cNvPr>
          <xdr:cNvSpPr txBox="1"/>
        </xdr:nvSpPr>
        <xdr:spPr>
          <a:xfrm>
            <a:off x="2625726" y="3951818"/>
            <a:ext cx="879876" cy="270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Lot-A</a:t>
            </a:r>
          </a:p>
        </xdr:txBody>
      </xdr:sp>
    </xdr:grpSp>
    <xdr:clientData/>
  </xdr:twoCellAnchor>
  <mc:AlternateContent xmlns:mc="http://schemas.openxmlformats.org/markup-compatibility/2006">
    <mc:Choice xmlns:a14="http://schemas.microsoft.com/office/drawing/2010/main" Requires="a14">
      <xdr:twoCellAnchor>
        <xdr:from>
          <xdr:col>14</xdr:col>
          <xdr:colOff>19050</xdr:colOff>
          <xdr:row>6</xdr:row>
          <xdr:rowOff>161925</xdr:rowOff>
        </xdr:from>
        <xdr:to>
          <xdr:col>16</xdr:col>
          <xdr:colOff>0</xdr:colOff>
          <xdr:row>8</xdr:row>
          <xdr:rowOff>38100</xdr:rowOff>
        </xdr:to>
        <xdr:sp macro="" textlink="">
          <xdr:nvSpPr>
            <xdr:cNvPr id="3267585" name="Button 1" hidden="1">
              <a:extLst>
                <a:ext uri="{63B3BB69-23CF-44E3-9099-C40C66FF867C}">
                  <a14:compatExt spid="_x0000_s3267585"/>
                </a:ext>
                <a:ext uri="{FF2B5EF4-FFF2-40B4-BE49-F238E27FC236}">
                  <a16:creationId xmlns:a16="http://schemas.microsoft.com/office/drawing/2014/main" id="{00000000-0008-0000-0200-000001DC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180975</xdr:rowOff>
        </xdr:from>
        <xdr:to>
          <xdr:col>12</xdr:col>
          <xdr:colOff>171450</xdr:colOff>
          <xdr:row>29</xdr:row>
          <xdr:rowOff>19050</xdr:rowOff>
        </xdr:to>
        <xdr:sp macro="" textlink="">
          <xdr:nvSpPr>
            <xdr:cNvPr id="3267588" name="Drop Down 4" hidden="1">
              <a:extLst>
                <a:ext uri="{63B3BB69-23CF-44E3-9099-C40C66FF867C}">
                  <a14:compatExt spid="_x0000_s3267588"/>
                </a:ext>
                <a:ext uri="{FF2B5EF4-FFF2-40B4-BE49-F238E27FC236}">
                  <a16:creationId xmlns:a16="http://schemas.microsoft.com/office/drawing/2014/main" id="{00000000-0008-0000-0200-000004DC3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54</xdr:row>
          <xdr:rowOff>0</xdr:rowOff>
        </xdr:from>
        <xdr:to>
          <xdr:col>8</xdr:col>
          <xdr:colOff>0</xdr:colOff>
          <xdr:row>55</xdr:row>
          <xdr:rowOff>19050</xdr:rowOff>
        </xdr:to>
        <xdr:sp macro="" textlink="">
          <xdr:nvSpPr>
            <xdr:cNvPr id="3267594" name="Drop Down 10" hidden="1">
              <a:extLst>
                <a:ext uri="{63B3BB69-23CF-44E3-9099-C40C66FF867C}">
                  <a14:compatExt spid="_x0000_s3267594"/>
                </a:ext>
                <a:ext uri="{FF2B5EF4-FFF2-40B4-BE49-F238E27FC236}">
                  <a16:creationId xmlns:a16="http://schemas.microsoft.com/office/drawing/2014/main" id="{00000000-0008-0000-0200-00000ADC3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28575</xdr:colOff>
          <xdr:row>31</xdr:row>
          <xdr:rowOff>171450</xdr:rowOff>
        </xdr:from>
        <xdr:to>
          <xdr:col>16</xdr:col>
          <xdr:colOff>76200</xdr:colOff>
          <xdr:row>33</xdr:row>
          <xdr:rowOff>28575</xdr:rowOff>
        </xdr:to>
        <xdr:sp macro="" textlink="">
          <xdr:nvSpPr>
            <xdr:cNvPr id="3267595" name="Button 11" hidden="1">
              <a:extLst>
                <a:ext uri="{63B3BB69-23CF-44E3-9099-C40C66FF867C}">
                  <a14:compatExt spid="_x0000_s3267595"/>
                </a:ext>
                <a:ext uri="{FF2B5EF4-FFF2-40B4-BE49-F238E27FC236}">
                  <a16:creationId xmlns:a16="http://schemas.microsoft.com/office/drawing/2014/main" id="{00000000-0008-0000-0200-00000BDC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9</xdr:row>
          <xdr:rowOff>276225</xdr:rowOff>
        </xdr:from>
        <xdr:to>
          <xdr:col>4</xdr:col>
          <xdr:colOff>581025</xdr:colOff>
          <xdr:row>11</xdr:row>
          <xdr:rowOff>19050</xdr:rowOff>
        </xdr:to>
        <xdr:sp macro="" textlink="">
          <xdr:nvSpPr>
            <xdr:cNvPr id="3267598" name="Option Button 14" hidden="1">
              <a:extLst>
                <a:ext uri="{63B3BB69-23CF-44E3-9099-C40C66FF867C}">
                  <a14:compatExt spid="_x0000_s3267598"/>
                </a:ext>
                <a:ext uri="{FF2B5EF4-FFF2-40B4-BE49-F238E27FC236}">
                  <a16:creationId xmlns:a16="http://schemas.microsoft.com/office/drawing/2014/main" id="{00000000-0008-0000-0200-00000E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10</xdr:row>
          <xdr:rowOff>180975</xdr:rowOff>
        </xdr:from>
        <xdr:to>
          <xdr:col>4</xdr:col>
          <xdr:colOff>542925</xdr:colOff>
          <xdr:row>12</xdr:row>
          <xdr:rowOff>19050</xdr:rowOff>
        </xdr:to>
        <xdr:sp macro="" textlink="">
          <xdr:nvSpPr>
            <xdr:cNvPr id="3267599" name="Option Button 15" hidden="1">
              <a:extLst>
                <a:ext uri="{63B3BB69-23CF-44E3-9099-C40C66FF867C}">
                  <a14:compatExt spid="_x0000_s3267599"/>
                </a:ext>
                <a:ext uri="{FF2B5EF4-FFF2-40B4-BE49-F238E27FC236}">
                  <a16:creationId xmlns:a16="http://schemas.microsoft.com/office/drawing/2014/main" id="{00000000-0008-0000-0200-00000F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11</xdr:row>
          <xdr:rowOff>180975</xdr:rowOff>
        </xdr:from>
        <xdr:to>
          <xdr:col>4</xdr:col>
          <xdr:colOff>542925</xdr:colOff>
          <xdr:row>13</xdr:row>
          <xdr:rowOff>19050</xdr:rowOff>
        </xdr:to>
        <xdr:sp macro="" textlink="">
          <xdr:nvSpPr>
            <xdr:cNvPr id="3267600" name="Option Button 16" hidden="1">
              <a:extLst>
                <a:ext uri="{63B3BB69-23CF-44E3-9099-C40C66FF867C}">
                  <a14:compatExt spid="_x0000_s3267600"/>
                </a:ext>
                <a:ext uri="{FF2B5EF4-FFF2-40B4-BE49-F238E27FC236}">
                  <a16:creationId xmlns:a16="http://schemas.microsoft.com/office/drawing/2014/main" id="{00000000-0008-0000-0200-000010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12</xdr:row>
          <xdr:rowOff>171450</xdr:rowOff>
        </xdr:from>
        <xdr:to>
          <xdr:col>4</xdr:col>
          <xdr:colOff>542925</xdr:colOff>
          <xdr:row>14</xdr:row>
          <xdr:rowOff>9525</xdr:rowOff>
        </xdr:to>
        <xdr:sp macro="" textlink="">
          <xdr:nvSpPr>
            <xdr:cNvPr id="3267601" name="Option Button 17" hidden="1">
              <a:extLst>
                <a:ext uri="{63B3BB69-23CF-44E3-9099-C40C66FF867C}">
                  <a14:compatExt spid="_x0000_s3267601"/>
                </a:ext>
                <a:ext uri="{FF2B5EF4-FFF2-40B4-BE49-F238E27FC236}">
                  <a16:creationId xmlns:a16="http://schemas.microsoft.com/office/drawing/2014/main" id="{00000000-0008-0000-0200-000011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13</xdr:row>
          <xdr:rowOff>161925</xdr:rowOff>
        </xdr:from>
        <xdr:to>
          <xdr:col>4</xdr:col>
          <xdr:colOff>533400</xdr:colOff>
          <xdr:row>15</xdr:row>
          <xdr:rowOff>0</xdr:rowOff>
        </xdr:to>
        <xdr:sp macro="" textlink="">
          <xdr:nvSpPr>
            <xdr:cNvPr id="3267602" name="Option Button 18" hidden="1">
              <a:extLst>
                <a:ext uri="{63B3BB69-23CF-44E3-9099-C40C66FF867C}">
                  <a14:compatExt spid="_x0000_s3267602"/>
                </a:ext>
                <a:ext uri="{FF2B5EF4-FFF2-40B4-BE49-F238E27FC236}">
                  <a16:creationId xmlns:a16="http://schemas.microsoft.com/office/drawing/2014/main" id="{00000000-0008-0000-0200-000012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14</xdr:row>
          <xdr:rowOff>161925</xdr:rowOff>
        </xdr:from>
        <xdr:to>
          <xdr:col>4</xdr:col>
          <xdr:colOff>533400</xdr:colOff>
          <xdr:row>16</xdr:row>
          <xdr:rowOff>0</xdr:rowOff>
        </xdr:to>
        <xdr:sp macro="" textlink="">
          <xdr:nvSpPr>
            <xdr:cNvPr id="3267603" name="Option Button 19" hidden="1">
              <a:extLst>
                <a:ext uri="{63B3BB69-23CF-44E3-9099-C40C66FF867C}">
                  <a14:compatExt spid="_x0000_s3267603"/>
                </a:ext>
                <a:ext uri="{FF2B5EF4-FFF2-40B4-BE49-F238E27FC236}">
                  <a16:creationId xmlns:a16="http://schemas.microsoft.com/office/drawing/2014/main" id="{00000000-0008-0000-0200-000013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211668</xdr:colOff>
      <xdr:row>9</xdr:row>
      <xdr:rowOff>169334</xdr:rowOff>
    </xdr:from>
    <xdr:to>
      <xdr:col>7</xdr:col>
      <xdr:colOff>391583</xdr:colOff>
      <xdr:row>16</xdr:row>
      <xdr:rowOff>31750</xdr:rowOff>
    </xdr:to>
    <xdr:sp macro="" textlink="">
      <xdr:nvSpPr>
        <xdr:cNvPr id="24" name="Arrow: Right 23">
          <a:extLst>
            <a:ext uri="{FF2B5EF4-FFF2-40B4-BE49-F238E27FC236}">
              <a16:creationId xmlns:a16="http://schemas.microsoft.com/office/drawing/2014/main" id="{00000000-0008-0000-0200-000018000000}"/>
            </a:ext>
          </a:extLst>
        </xdr:cNvPr>
        <xdr:cNvSpPr/>
      </xdr:nvSpPr>
      <xdr:spPr>
        <a:xfrm>
          <a:off x="4243918" y="1883834"/>
          <a:ext cx="740832" cy="1195916"/>
        </a:xfrm>
        <a:prstGeom prst="rightArrow">
          <a:avLst/>
        </a:prstGeom>
        <a:solidFill>
          <a:schemeClr val="bg1">
            <a:lumMod val="75000"/>
          </a:schemeClr>
        </a:solidFill>
        <a:ln w="63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8</xdr:col>
          <xdr:colOff>942975</xdr:colOff>
          <xdr:row>53</xdr:row>
          <xdr:rowOff>180975</xdr:rowOff>
        </xdr:from>
        <xdr:to>
          <xdr:col>12</xdr:col>
          <xdr:colOff>419100</xdr:colOff>
          <xdr:row>55</xdr:row>
          <xdr:rowOff>9525</xdr:rowOff>
        </xdr:to>
        <xdr:sp macro="" textlink="">
          <xdr:nvSpPr>
            <xdr:cNvPr id="3267605" name="Drop Down 21" hidden="1">
              <a:extLst>
                <a:ext uri="{63B3BB69-23CF-44E3-9099-C40C66FF867C}">
                  <a14:compatExt spid="_x0000_s3267605"/>
                </a:ext>
                <a:ext uri="{FF2B5EF4-FFF2-40B4-BE49-F238E27FC236}">
                  <a16:creationId xmlns:a16="http://schemas.microsoft.com/office/drawing/2014/main" id="{00000000-0008-0000-0200-000015DC3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465667</xdr:colOff>
      <xdr:row>55</xdr:row>
      <xdr:rowOff>31752</xdr:rowOff>
    </xdr:from>
    <xdr:to>
      <xdr:col>6</xdr:col>
      <xdr:colOff>116417</xdr:colOff>
      <xdr:row>55</xdr:row>
      <xdr:rowOff>267760</xdr:rowOff>
    </xdr:to>
    <xdr:sp macro="" textlink="">
      <xdr:nvSpPr>
        <xdr:cNvPr id="15" name="Arrow: Down 14">
          <a:extLst>
            <a:ext uri="{FF2B5EF4-FFF2-40B4-BE49-F238E27FC236}">
              <a16:creationId xmlns:a16="http://schemas.microsoft.com/office/drawing/2014/main" id="{00000000-0008-0000-0200-00000F000000}"/>
            </a:ext>
          </a:extLst>
        </xdr:cNvPr>
        <xdr:cNvSpPr/>
      </xdr:nvSpPr>
      <xdr:spPr>
        <a:xfrm>
          <a:off x="3556000" y="7461252"/>
          <a:ext cx="592667" cy="236008"/>
        </a:xfrm>
        <a:prstGeom prst="downArrow">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501651</xdr:colOff>
      <xdr:row>55</xdr:row>
      <xdr:rowOff>14819</xdr:rowOff>
    </xdr:from>
    <xdr:to>
      <xdr:col>11</xdr:col>
      <xdr:colOff>374651</xdr:colOff>
      <xdr:row>55</xdr:row>
      <xdr:rowOff>260352</xdr:rowOff>
    </xdr:to>
    <xdr:sp macro="" textlink="">
      <xdr:nvSpPr>
        <xdr:cNvPr id="41" name="Arrow: Down 40">
          <a:extLst>
            <a:ext uri="{FF2B5EF4-FFF2-40B4-BE49-F238E27FC236}">
              <a16:creationId xmlns:a16="http://schemas.microsoft.com/office/drawing/2014/main" id="{00000000-0008-0000-0200-000029000000}"/>
            </a:ext>
          </a:extLst>
        </xdr:cNvPr>
        <xdr:cNvSpPr/>
      </xdr:nvSpPr>
      <xdr:spPr>
        <a:xfrm>
          <a:off x="7211484" y="7444319"/>
          <a:ext cx="592667" cy="245533"/>
        </a:xfrm>
        <a:prstGeom prst="downArrow">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12</xdr:col>
          <xdr:colOff>276225</xdr:colOff>
          <xdr:row>2</xdr:row>
          <xdr:rowOff>9525</xdr:rowOff>
        </xdr:to>
        <xdr:sp macro="" textlink="">
          <xdr:nvSpPr>
            <xdr:cNvPr id="3267606" name="Drop Down 22" hidden="1">
              <a:extLst>
                <a:ext uri="{63B3BB69-23CF-44E3-9099-C40C66FF867C}">
                  <a14:compatExt spid="_x0000_s3267606"/>
                </a:ext>
                <a:ext uri="{FF2B5EF4-FFF2-40B4-BE49-F238E27FC236}">
                  <a16:creationId xmlns:a16="http://schemas.microsoft.com/office/drawing/2014/main" id="{00000000-0008-0000-0200-000016DC3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4</xdr:row>
          <xdr:rowOff>171450</xdr:rowOff>
        </xdr:from>
        <xdr:to>
          <xdr:col>12</xdr:col>
          <xdr:colOff>285750</xdr:colOff>
          <xdr:row>6</xdr:row>
          <xdr:rowOff>19050</xdr:rowOff>
        </xdr:to>
        <xdr:sp macro="" textlink="">
          <xdr:nvSpPr>
            <xdr:cNvPr id="3267607" name="Drop Down 23" hidden="1">
              <a:extLst>
                <a:ext uri="{63B3BB69-23CF-44E3-9099-C40C66FF867C}">
                  <a14:compatExt spid="_x0000_s3267607"/>
                </a:ext>
                <a:ext uri="{FF2B5EF4-FFF2-40B4-BE49-F238E27FC236}">
                  <a16:creationId xmlns:a16="http://schemas.microsoft.com/office/drawing/2014/main" id="{00000000-0008-0000-0200-000017DC3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142875</xdr:colOff>
          <xdr:row>0</xdr:row>
          <xdr:rowOff>123825</xdr:rowOff>
        </xdr:from>
        <xdr:to>
          <xdr:col>20</xdr:col>
          <xdr:colOff>495300</xdr:colOff>
          <xdr:row>14</xdr:row>
          <xdr:rowOff>38100</xdr:rowOff>
        </xdr:to>
        <xdr:sp macro="" textlink="">
          <xdr:nvSpPr>
            <xdr:cNvPr id="3267608" name="Button 24" hidden="1">
              <a:extLst>
                <a:ext uri="{63B3BB69-23CF-44E3-9099-C40C66FF867C}">
                  <a14:compatExt spid="_x0000_s3267608"/>
                </a:ext>
                <a:ext uri="{FF2B5EF4-FFF2-40B4-BE49-F238E27FC236}">
                  <a16:creationId xmlns:a16="http://schemas.microsoft.com/office/drawing/2014/main" id="{00000000-0008-0000-0200-000018DC3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Load </a:t>
              </a:r>
            </a:p>
            <a:p>
              <a:pPr algn="ctr" rtl="0">
                <a:defRPr sz="1000"/>
              </a:pPr>
              <a:r>
                <a:rPr lang="en-US" sz="2000" b="1" i="0" u="none" strike="noStrike" baseline="0">
                  <a:solidFill>
                    <a:srgbClr val="000000"/>
                  </a:solidFill>
                  <a:latin typeface="Calibri"/>
                </a:rPr>
                <a:t>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15</xdr:row>
          <xdr:rowOff>161925</xdr:rowOff>
        </xdr:from>
        <xdr:to>
          <xdr:col>4</xdr:col>
          <xdr:colOff>533400</xdr:colOff>
          <xdr:row>17</xdr:row>
          <xdr:rowOff>0</xdr:rowOff>
        </xdr:to>
        <xdr:sp macro="" textlink="">
          <xdr:nvSpPr>
            <xdr:cNvPr id="3267609" name="Option Button 25" hidden="1">
              <a:extLst>
                <a:ext uri="{63B3BB69-23CF-44E3-9099-C40C66FF867C}">
                  <a14:compatExt spid="_x0000_s3267609"/>
                </a:ext>
                <a:ext uri="{FF2B5EF4-FFF2-40B4-BE49-F238E27FC236}">
                  <a16:creationId xmlns:a16="http://schemas.microsoft.com/office/drawing/2014/main" id="{00000000-0008-0000-0200-000019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16</xdr:row>
          <xdr:rowOff>161925</xdr:rowOff>
        </xdr:from>
        <xdr:to>
          <xdr:col>4</xdr:col>
          <xdr:colOff>533400</xdr:colOff>
          <xdr:row>18</xdr:row>
          <xdr:rowOff>0</xdr:rowOff>
        </xdr:to>
        <xdr:sp macro="" textlink="">
          <xdr:nvSpPr>
            <xdr:cNvPr id="3267610" name="Option Button 26" hidden="1">
              <a:extLst>
                <a:ext uri="{63B3BB69-23CF-44E3-9099-C40C66FF867C}">
                  <a14:compatExt spid="_x0000_s3267610"/>
                </a:ext>
                <a:ext uri="{FF2B5EF4-FFF2-40B4-BE49-F238E27FC236}">
                  <a16:creationId xmlns:a16="http://schemas.microsoft.com/office/drawing/2014/main" id="{00000000-0008-0000-0200-00001A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17</xdr:row>
          <xdr:rowOff>161925</xdr:rowOff>
        </xdr:from>
        <xdr:to>
          <xdr:col>4</xdr:col>
          <xdr:colOff>533400</xdr:colOff>
          <xdr:row>19</xdr:row>
          <xdr:rowOff>0</xdr:rowOff>
        </xdr:to>
        <xdr:sp macro="" textlink="">
          <xdr:nvSpPr>
            <xdr:cNvPr id="3267611" name="Option Button 27" hidden="1">
              <a:extLst>
                <a:ext uri="{63B3BB69-23CF-44E3-9099-C40C66FF867C}">
                  <a14:compatExt spid="_x0000_s3267611"/>
                </a:ext>
                <a:ext uri="{FF2B5EF4-FFF2-40B4-BE49-F238E27FC236}">
                  <a16:creationId xmlns:a16="http://schemas.microsoft.com/office/drawing/2014/main" id="{00000000-0008-0000-0200-00001B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17</xdr:row>
          <xdr:rowOff>161925</xdr:rowOff>
        </xdr:from>
        <xdr:to>
          <xdr:col>4</xdr:col>
          <xdr:colOff>533400</xdr:colOff>
          <xdr:row>19</xdr:row>
          <xdr:rowOff>0</xdr:rowOff>
        </xdr:to>
        <xdr:sp macro="" textlink="">
          <xdr:nvSpPr>
            <xdr:cNvPr id="3267612" name="Option Button 28" hidden="1">
              <a:extLst>
                <a:ext uri="{63B3BB69-23CF-44E3-9099-C40C66FF867C}">
                  <a14:compatExt spid="_x0000_s3267612"/>
                </a:ext>
                <a:ext uri="{FF2B5EF4-FFF2-40B4-BE49-F238E27FC236}">
                  <a16:creationId xmlns:a16="http://schemas.microsoft.com/office/drawing/2014/main" id="{00000000-0008-0000-0200-00001C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18</xdr:row>
          <xdr:rowOff>161925</xdr:rowOff>
        </xdr:from>
        <xdr:to>
          <xdr:col>4</xdr:col>
          <xdr:colOff>533400</xdr:colOff>
          <xdr:row>20</xdr:row>
          <xdr:rowOff>0</xdr:rowOff>
        </xdr:to>
        <xdr:sp macro="" textlink="">
          <xdr:nvSpPr>
            <xdr:cNvPr id="3267613" name="Option Button 29" hidden="1">
              <a:extLst>
                <a:ext uri="{63B3BB69-23CF-44E3-9099-C40C66FF867C}">
                  <a14:compatExt spid="_x0000_s3267613"/>
                </a:ext>
                <a:ext uri="{FF2B5EF4-FFF2-40B4-BE49-F238E27FC236}">
                  <a16:creationId xmlns:a16="http://schemas.microsoft.com/office/drawing/2014/main" id="{00000000-0008-0000-0200-00001D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18</xdr:row>
          <xdr:rowOff>161925</xdr:rowOff>
        </xdr:from>
        <xdr:to>
          <xdr:col>4</xdr:col>
          <xdr:colOff>533400</xdr:colOff>
          <xdr:row>20</xdr:row>
          <xdr:rowOff>0</xdr:rowOff>
        </xdr:to>
        <xdr:sp macro="" textlink="">
          <xdr:nvSpPr>
            <xdr:cNvPr id="3267614" name="Option Button 30" hidden="1">
              <a:extLst>
                <a:ext uri="{63B3BB69-23CF-44E3-9099-C40C66FF867C}">
                  <a14:compatExt spid="_x0000_s3267614"/>
                </a:ext>
                <a:ext uri="{FF2B5EF4-FFF2-40B4-BE49-F238E27FC236}">
                  <a16:creationId xmlns:a16="http://schemas.microsoft.com/office/drawing/2014/main" id="{00000000-0008-0000-0200-00001E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19</xdr:row>
          <xdr:rowOff>161925</xdr:rowOff>
        </xdr:from>
        <xdr:to>
          <xdr:col>4</xdr:col>
          <xdr:colOff>533400</xdr:colOff>
          <xdr:row>21</xdr:row>
          <xdr:rowOff>0</xdr:rowOff>
        </xdr:to>
        <xdr:sp macro="" textlink="">
          <xdr:nvSpPr>
            <xdr:cNvPr id="3267615" name="Option Button 31" hidden="1">
              <a:extLst>
                <a:ext uri="{63B3BB69-23CF-44E3-9099-C40C66FF867C}">
                  <a14:compatExt spid="_x0000_s3267615"/>
                </a:ext>
                <a:ext uri="{FF2B5EF4-FFF2-40B4-BE49-F238E27FC236}">
                  <a16:creationId xmlns:a16="http://schemas.microsoft.com/office/drawing/2014/main" id="{00000000-0008-0000-0200-00001F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19</xdr:row>
          <xdr:rowOff>161925</xdr:rowOff>
        </xdr:from>
        <xdr:to>
          <xdr:col>4</xdr:col>
          <xdr:colOff>533400</xdr:colOff>
          <xdr:row>21</xdr:row>
          <xdr:rowOff>0</xdr:rowOff>
        </xdr:to>
        <xdr:sp macro="" textlink="">
          <xdr:nvSpPr>
            <xdr:cNvPr id="3267616" name="Option Button 32" hidden="1">
              <a:extLst>
                <a:ext uri="{63B3BB69-23CF-44E3-9099-C40C66FF867C}">
                  <a14:compatExt spid="_x0000_s3267616"/>
                </a:ext>
                <a:ext uri="{FF2B5EF4-FFF2-40B4-BE49-F238E27FC236}">
                  <a16:creationId xmlns:a16="http://schemas.microsoft.com/office/drawing/2014/main" id="{00000000-0008-0000-0200-000020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20</xdr:row>
          <xdr:rowOff>161925</xdr:rowOff>
        </xdr:from>
        <xdr:to>
          <xdr:col>4</xdr:col>
          <xdr:colOff>533400</xdr:colOff>
          <xdr:row>26</xdr:row>
          <xdr:rowOff>0</xdr:rowOff>
        </xdr:to>
        <xdr:sp macro="" textlink="">
          <xdr:nvSpPr>
            <xdr:cNvPr id="3267617" name="Option Button 33" hidden="1">
              <a:extLst>
                <a:ext uri="{63B3BB69-23CF-44E3-9099-C40C66FF867C}">
                  <a14:compatExt spid="_x0000_s3267617"/>
                </a:ext>
                <a:ext uri="{FF2B5EF4-FFF2-40B4-BE49-F238E27FC236}">
                  <a16:creationId xmlns:a16="http://schemas.microsoft.com/office/drawing/2014/main" id="{00000000-0008-0000-0200-000021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20</xdr:row>
          <xdr:rowOff>161925</xdr:rowOff>
        </xdr:from>
        <xdr:to>
          <xdr:col>4</xdr:col>
          <xdr:colOff>533400</xdr:colOff>
          <xdr:row>26</xdr:row>
          <xdr:rowOff>0</xdr:rowOff>
        </xdr:to>
        <xdr:sp macro="" textlink="">
          <xdr:nvSpPr>
            <xdr:cNvPr id="3267618" name="Option Button 34" hidden="1">
              <a:extLst>
                <a:ext uri="{63B3BB69-23CF-44E3-9099-C40C66FF867C}">
                  <a14:compatExt spid="_x0000_s3267618"/>
                </a:ext>
                <a:ext uri="{FF2B5EF4-FFF2-40B4-BE49-F238E27FC236}">
                  <a16:creationId xmlns:a16="http://schemas.microsoft.com/office/drawing/2014/main" id="{00000000-0008-0000-0200-000022DC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5</xdr:col>
      <xdr:colOff>625482</xdr:colOff>
      <xdr:row>30</xdr:row>
      <xdr:rowOff>16938</xdr:rowOff>
    </xdr:from>
    <xdr:to>
      <xdr:col>10</xdr:col>
      <xdr:colOff>337370</xdr:colOff>
      <xdr:row>30</xdr:row>
      <xdr:rowOff>2326435</xdr:rowOff>
    </xdr:to>
    <xdr:grpSp>
      <xdr:nvGrpSpPr>
        <xdr:cNvPr id="16" name="Group 15">
          <a:extLst>
            <a:ext uri="{FF2B5EF4-FFF2-40B4-BE49-F238E27FC236}">
              <a16:creationId xmlns:a16="http://schemas.microsoft.com/office/drawing/2014/main" id="{00000000-0008-0000-0200-000010000000}"/>
            </a:ext>
          </a:extLst>
        </xdr:cNvPr>
        <xdr:cNvGrpSpPr>
          <a:grpSpLocks noChangeAspect="1"/>
        </xdr:cNvGrpSpPr>
      </xdr:nvGrpSpPr>
      <xdr:grpSpPr>
        <a:xfrm>
          <a:off x="3715815" y="4779438"/>
          <a:ext cx="3331388" cy="2309497"/>
          <a:chOff x="5409150" y="3735921"/>
          <a:chExt cx="2495542" cy="1725642"/>
        </a:xfrm>
      </xdr:grpSpPr>
      <xdr:pic>
        <xdr:nvPicPr>
          <xdr:cNvPr id="27" name="Picture 26" descr="Image result for 384 well plate">
            <a:extLst>
              <a:ext uri="{FF2B5EF4-FFF2-40B4-BE49-F238E27FC236}">
                <a16:creationId xmlns:a16="http://schemas.microsoft.com/office/drawing/2014/main" id="{00000000-0008-0000-0200-00001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09150" y="3735921"/>
            <a:ext cx="2495542" cy="1725642"/>
          </a:xfrm>
          <a:prstGeom prst="rect">
            <a:avLst/>
          </a:prstGeom>
          <a:noFill/>
          <a:ln w="63500" cap="flat" cmpd="sng" algn="ctr">
            <a:noFill/>
            <a:prstDash val="solid"/>
            <a:round/>
            <a:headEnd type="none" w="med" len="med"/>
            <a:tailEnd type="none" w="med" len="med"/>
          </a:ln>
          <a:effectLst/>
        </xdr:spPr>
      </xdr:pic>
      <xdr:sp macro="" textlink="">
        <xdr:nvSpPr>
          <xdr:cNvPr id="10" name="Rectangle 9">
            <a:extLst>
              <a:ext uri="{FF2B5EF4-FFF2-40B4-BE49-F238E27FC236}">
                <a16:creationId xmlns:a16="http://schemas.microsoft.com/office/drawing/2014/main" id="{00000000-0008-0000-0200-00000A000000}"/>
              </a:ext>
            </a:extLst>
          </xdr:cNvPr>
          <xdr:cNvSpPr/>
        </xdr:nvSpPr>
        <xdr:spPr>
          <a:xfrm>
            <a:off x="5546727" y="3873500"/>
            <a:ext cx="1114423" cy="719668"/>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ectangle 39">
            <a:extLst>
              <a:ext uri="{FF2B5EF4-FFF2-40B4-BE49-F238E27FC236}">
                <a16:creationId xmlns:a16="http://schemas.microsoft.com/office/drawing/2014/main" id="{00000000-0008-0000-0200-000028000000}"/>
              </a:ext>
            </a:extLst>
          </xdr:cNvPr>
          <xdr:cNvSpPr/>
        </xdr:nvSpPr>
        <xdr:spPr>
          <a:xfrm>
            <a:off x="6661151" y="4605867"/>
            <a:ext cx="1110193" cy="719668"/>
          </a:xfrm>
          <a:prstGeom prst="rect">
            <a:avLst/>
          </a:prstGeom>
          <a:solidFill>
            <a:srgbClr val="FFFF00">
              <a:alpha val="5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5826126" y="4085168"/>
            <a:ext cx="555624" cy="270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Lot-A</a:t>
            </a:r>
          </a:p>
        </xdr:txBody>
      </xdr:sp>
      <xdr:sp macro="" textlink="">
        <xdr:nvSpPr>
          <xdr:cNvPr id="42" name="Rectangle 41">
            <a:extLst>
              <a:ext uri="{FF2B5EF4-FFF2-40B4-BE49-F238E27FC236}">
                <a16:creationId xmlns:a16="http://schemas.microsoft.com/office/drawing/2014/main" id="{00000000-0008-0000-0200-00002A000000}"/>
              </a:ext>
            </a:extLst>
          </xdr:cNvPr>
          <xdr:cNvSpPr/>
        </xdr:nvSpPr>
        <xdr:spPr>
          <a:xfrm>
            <a:off x="6654800" y="3877736"/>
            <a:ext cx="1112308" cy="719668"/>
          </a:xfrm>
          <a:prstGeom prst="rect">
            <a:avLst/>
          </a:prstGeom>
          <a:solidFill>
            <a:schemeClr val="accent6">
              <a:lumMod val="75000"/>
              <a:alpha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00000000-0008-0000-0200-00002B000000}"/>
              </a:ext>
            </a:extLst>
          </xdr:cNvPr>
          <xdr:cNvSpPr/>
        </xdr:nvSpPr>
        <xdr:spPr>
          <a:xfrm>
            <a:off x="5546727" y="4599520"/>
            <a:ext cx="1114423" cy="719668"/>
          </a:xfrm>
          <a:prstGeom prst="rect">
            <a:avLst/>
          </a:prstGeom>
          <a:solidFill>
            <a:schemeClr val="accent6">
              <a:lumMod val="75000"/>
              <a:alpha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6918326" y="4039577"/>
            <a:ext cx="575733" cy="458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Lot-B</a:t>
            </a:r>
          </a:p>
          <a:p>
            <a:pPr algn="ctr"/>
            <a:r>
              <a:rPr lang="en-US" sz="1100"/>
              <a:t>Replicate</a:t>
            </a:r>
          </a:p>
        </xdr:txBody>
      </xdr:sp>
      <xdr:sp macro="" textlink="">
        <xdr:nvSpPr>
          <xdr:cNvPr id="45" name="TextBox 44">
            <a:extLst>
              <a:ext uri="{FF2B5EF4-FFF2-40B4-BE49-F238E27FC236}">
                <a16:creationId xmlns:a16="http://schemas.microsoft.com/office/drawing/2014/main" id="{00000000-0008-0000-0200-00002D000000}"/>
              </a:ext>
            </a:extLst>
          </xdr:cNvPr>
          <xdr:cNvSpPr txBox="1"/>
        </xdr:nvSpPr>
        <xdr:spPr>
          <a:xfrm>
            <a:off x="6823076" y="4834468"/>
            <a:ext cx="734484" cy="436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Lot-A Replicate</a:t>
            </a:r>
          </a:p>
        </xdr:txBody>
      </xdr:sp>
      <xdr:sp macro="" textlink="">
        <xdr:nvSpPr>
          <xdr:cNvPr id="46" name="TextBox 45">
            <a:extLst>
              <a:ext uri="{FF2B5EF4-FFF2-40B4-BE49-F238E27FC236}">
                <a16:creationId xmlns:a16="http://schemas.microsoft.com/office/drawing/2014/main" id="{00000000-0008-0000-0200-00002E000000}"/>
              </a:ext>
            </a:extLst>
          </xdr:cNvPr>
          <xdr:cNvSpPr txBox="1"/>
        </xdr:nvSpPr>
        <xdr:spPr>
          <a:xfrm>
            <a:off x="5743576" y="4925251"/>
            <a:ext cx="731309" cy="345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Lot-B </a:t>
            </a:r>
          </a:p>
        </xdr:txBody>
      </xdr:sp>
      <xdr:sp macro="" textlink="">
        <xdr:nvSpPr>
          <xdr:cNvPr id="39" name="TextBox 38">
            <a:extLst>
              <a:ext uri="{FF2B5EF4-FFF2-40B4-BE49-F238E27FC236}">
                <a16:creationId xmlns:a16="http://schemas.microsoft.com/office/drawing/2014/main" id="{00000000-0008-0000-0200-000027000000}"/>
              </a:ext>
            </a:extLst>
          </xdr:cNvPr>
          <xdr:cNvSpPr txBox="1"/>
        </xdr:nvSpPr>
        <xdr:spPr>
          <a:xfrm>
            <a:off x="6027213" y="4131733"/>
            <a:ext cx="1231900" cy="867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5400" b="1">
                <a:solidFill>
                  <a:schemeClr val="bg1">
                    <a:lumMod val="95000"/>
                  </a:schemeClr>
                </a:solidFill>
              </a:rPr>
              <a:t>384</a:t>
            </a: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2</xdr:row>
          <xdr:rowOff>180975</xdr:rowOff>
        </xdr:from>
        <xdr:to>
          <xdr:col>2</xdr:col>
          <xdr:colOff>495300</xdr:colOff>
          <xdr:row>2</xdr:row>
          <xdr:rowOff>533400</xdr:rowOff>
        </xdr:to>
        <xdr:sp macro="" textlink="">
          <xdr:nvSpPr>
            <xdr:cNvPr id="845827" name="Serial_Dilution" hidden="1">
              <a:extLst>
                <a:ext uri="{63B3BB69-23CF-44E3-9099-C40C66FF867C}">
                  <a14:compatExt spid="_x0000_s845827"/>
                </a:ext>
                <a:ext uri="{FF2B5EF4-FFF2-40B4-BE49-F238E27FC236}">
                  <a16:creationId xmlns:a16="http://schemas.microsoft.com/office/drawing/2014/main" id="{00000000-0008-0000-0400-000003E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36</xdr:row>
          <xdr:rowOff>9525</xdr:rowOff>
        </xdr:from>
        <xdr:to>
          <xdr:col>15</xdr:col>
          <xdr:colOff>0</xdr:colOff>
          <xdr:row>38</xdr:row>
          <xdr:rowOff>152400</xdr:rowOff>
        </xdr:to>
        <xdr:sp macro="" textlink="">
          <xdr:nvSpPr>
            <xdr:cNvPr id="845828" name="Button 4" hidden="1">
              <a:extLst>
                <a:ext uri="{63B3BB69-23CF-44E3-9099-C40C66FF867C}">
                  <a14:compatExt spid="_x0000_s845828"/>
                </a:ext>
                <a:ext uri="{FF2B5EF4-FFF2-40B4-BE49-F238E27FC236}">
                  <a16:creationId xmlns:a16="http://schemas.microsoft.com/office/drawing/2014/main" id="{00000000-0008-0000-0400-000004E80C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Analyze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6</xdr:col>
          <xdr:colOff>0</xdr:colOff>
          <xdr:row>5</xdr:row>
          <xdr:rowOff>0</xdr:rowOff>
        </xdr:to>
        <xdr:sp macro="" textlink="">
          <xdr:nvSpPr>
            <xdr:cNvPr id="3259394" name="Drop Down 2" hidden="1">
              <a:extLst>
                <a:ext uri="{63B3BB69-23CF-44E3-9099-C40C66FF867C}">
                  <a14:compatExt spid="_x0000_s3259394"/>
                </a:ext>
                <a:ext uri="{FF2B5EF4-FFF2-40B4-BE49-F238E27FC236}">
                  <a16:creationId xmlns:a16="http://schemas.microsoft.com/office/drawing/2014/main" id="{00000000-0008-0000-0500-000002BC3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6</xdr:col>
          <xdr:colOff>0</xdr:colOff>
          <xdr:row>9</xdr:row>
          <xdr:rowOff>0</xdr:rowOff>
        </xdr:to>
        <xdr:sp macro="" textlink="">
          <xdr:nvSpPr>
            <xdr:cNvPr id="3259395" name="Check Box 3" hidden="1">
              <a:extLst>
                <a:ext uri="{63B3BB69-23CF-44E3-9099-C40C66FF867C}">
                  <a14:compatExt spid="_x0000_s3259395"/>
                </a:ext>
                <a:ext uri="{FF2B5EF4-FFF2-40B4-BE49-F238E27FC236}">
                  <a16:creationId xmlns:a16="http://schemas.microsoft.com/office/drawing/2014/main" id="{00000000-0008-0000-0500-000003BC3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Run Condition Sensor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6</xdr:col>
          <xdr:colOff>0</xdr:colOff>
          <xdr:row>7</xdr:row>
          <xdr:rowOff>0</xdr:rowOff>
        </xdr:to>
        <xdr:sp macro="" textlink="">
          <xdr:nvSpPr>
            <xdr:cNvPr id="3259397" name="Drop Down 5" hidden="1">
              <a:extLst>
                <a:ext uri="{63B3BB69-23CF-44E3-9099-C40C66FF867C}">
                  <a14:compatExt spid="_x0000_s3259397"/>
                </a:ext>
                <a:ext uri="{FF2B5EF4-FFF2-40B4-BE49-F238E27FC236}">
                  <a16:creationId xmlns:a16="http://schemas.microsoft.com/office/drawing/2014/main" id="{00000000-0008-0000-0500-000005BC3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24</xdr:row>
      <xdr:rowOff>0</xdr:rowOff>
    </xdr:from>
    <xdr:to>
      <xdr:col>37</xdr:col>
      <xdr:colOff>0</xdr:colOff>
      <xdr:row>40</xdr:row>
      <xdr:rowOff>0</xdr:rowOff>
    </xdr:to>
    <xdr:graphicFrame macro="">
      <xdr:nvGraphicFramePr>
        <xdr:cNvPr id="3588378" name="Accumulations">
          <a:extLst>
            <a:ext uri="{FF2B5EF4-FFF2-40B4-BE49-F238E27FC236}">
              <a16:creationId xmlns:a16="http://schemas.microsoft.com/office/drawing/2014/main" id="{00000000-0008-0000-0800-00001AC13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86</xdr:row>
      <xdr:rowOff>0</xdr:rowOff>
    </xdr:from>
    <xdr:to>
      <xdr:col>12</xdr:col>
      <xdr:colOff>0</xdr:colOff>
      <xdr:row>88</xdr:row>
      <xdr:rowOff>0</xdr:rowOff>
    </xdr:to>
    <xdr:sp macro="[0]!Reanalyze_Data" textlink="">
      <xdr:nvSpPr>
        <xdr:cNvPr id="926383" name="Text Box 245">
          <a:extLst>
            <a:ext uri="{FF2B5EF4-FFF2-40B4-BE49-F238E27FC236}">
              <a16:creationId xmlns:a16="http://schemas.microsoft.com/office/drawing/2014/main" id="{00000000-0008-0000-0800-0000AF220E00}"/>
            </a:ext>
          </a:extLst>
        </xdr:cNvPr>
        <xdr:cNvSpPr txBox="1">
          <a:spLocks noChangeArrowheads="1"/>
        </xdr:cNvSpPr>
      </xdr:nvSpPr>
      <xdr:spPr bwMode="auto">
        <a:xfrm>
          <a:off x="4643438" y="16394906"/>
          <a:ext cx="3214687" cy="381000"/>
        </a:xfrm>
        <a:prstGeom prst="rect">
          <a:avLst/>
        </a:prstGeom>
        <a:solidFill>
          <a:srgbClr val="FFCC99"/>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1800" b="1" i="0" strike="noStrike">
              <a:solidFill>
                <a:srgbClr val="000000"/>
              </a:solidFill>
              <a:latin typeface="Times"/>
            </a:rPr>
            <a:t>Re-analyze Data</a:t>
          </a:r>
        </a:p>
      </xdr:txBody>
    </xdr:sp>
    <xdr:clientData/>
  </xdr:twoCellAnchor>
  <xdr:twoCellAnchor>
    <xdr:from>
      <xdr:col>7</xdr:col>
      <xdr:colOff>333375</xdr:colOff>
      <xdr:row>348</xdr:row>
      <xdr:rowOff>57150</xdr:rowOff>
    </xdr:from>
    <xdr:to>
      <xdr:col>21</xdr:col>
      <xdr:colOff>476250</xdr:colOff>
      <xdr:row>373</xdr:row>
      <xdr:rowOff>57150</xdr:rowOff>
    </xdr:to>
    <xdr:graphicFrame macro="">
      <xdr:nvGraphicFramePr>
        <xdr:cNvPr id="3588380" name="Chart 3">
          <a:extLst>
            <a:ext uri="{FF2B5EF4-FFF2-40B4-BE49-F238E27FC236}">
              <a16:creationId xmlns:a16="http://schemas.microsoft.com/office/drawing/2014/main" id="{00000000-0008-0000-0800-00001CC13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62</xdr:row>
      <xdr:rowOff>0</xdr:rowOff>
    </xdr:from>
    <xdr:to>
      <xdr:col>9</xdr:col>
      <xdr:colOff>638175</xdr:colOff>
      <xdr:row>86</xdr:row>
      <xdr:rowOff>0</xdr:rowOff>
    </xdr:to>
    <xdr:graphicFrame macro="">
      <xdr:nvGraphicFramePr>
        <xdr:cNvPr id="3673235" name="Chart 1">
          <a:extLst>
            <a:ext uri="{FF2B5EF4-FFF2-40B4-BE49-F238E27FC236}">
              <a16:creationId xmlns:a16="http://schemas.microsoft.com/office/drawing/2014/main" id="{00000000-0008-0000-0900-0000930C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62</xdr:row>
      <xdr:rowOff>0</xdr:rowOff>
    </xdr:from>
    <xdr:to>
      <xdr:col>21</xdr:col>
      <xdr:colOff>0</xdr:colOff>
      <xdr:row>86</xdr:row>
      <xdr:rowOff>0</xdr:rowOff>
    </xdr:to>
    <xdr:graphicFrame macro="">
      <xdr:nvGraphicFramePr>
        <xdr:cNvPr id="3673236" name="Chart 2">
          <a:extLst>
            <a:ext uri="{FF2B5EF4-FFF2-40B4-BE49-F238E27FC236}">
              <a16:creationId xmlns:a16="http://schemas.microsoft.com/office/drawing/2014/main" id="{00000000-0008-0000-0900-0000940C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0</xdr:colOff>
      <xdr:row>62</xdr:row>
      <xdr:rowOff>0</xdr:rowOff>
    </xdr:from>
    <xdr:to>
      <xdr:col>32</xdr:col>
      <xdr:colOff>0</xdr:colOff>
      <xdr:row>86</xdr:row>
      <xdr:rowOff>0</xdr:rowOff>
    </xdr:to>
    <xdr:graphicFrame macro="">
      <xdr:nvGraphicFramePr>
        <xdr:cNvPr id="3673237" name="Chart 3">
          <a:extLst>
            <a:ext uri="{FF2B5EF4-FFF2-40B4-BE49-F238E27FC236}">
              <a16:creationId xmlns:a16="http://schemas.microsoft.com/office/drawing/2014/main" id="{00000000-0008-0000-0900-0000950C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absoluteAnchor>
    <xdr:pos x="0" y="0"/>
    <xdr:ext cx="8667750" cy="6298406"/>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twoCellAnchor>
    <xdr:from>
      <xdr:col>20</xdr:col>
      <xdr:colOff>8731</xdr:colOff>
      <xdr:row>18</xdr:row>
      <xdr:rowOff>189706</xdr:rowOff>
    </xdr:from>
    <xdr:to>
      <xdr:col>25</xdr:col>
      <xdr:colOff>285750</xdr:colOff>
      <xdr:row>33</xdr:row>
      <xdr:rowOff>15875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2381</xdr:colOff>
      <xdr:row>33</xdr:row>
      <xdr:rowOff>174626</xdr:rowOff>
    </xdr:from>
    <xdr:to>
      <xdr:col>25</xdr:col>
      <xdr:colOff>254000</xdr:colOff>
      <xdr:row>48</xdr:row>
      <xdr:rowOff>36513</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844550</xdr:colOff>
      <xdr:row>48</xdr:row>
      <xdr:rowOff>155575</xdr:rowOff>
    </xdr:from>
    <xdr:to>
      <xdr:col>44</xdr:col>
      <xdr:colOff>412750</xdr:colOff>
      <xdr:row>71</xdr:row>
      <xdr:rowOff>190500</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107951</xdr:colOff>
      <xdr:row>142</xdr:row>
      <xdr:rowOff>38100</xdr:rowOff>
    </xdr:from>
    <xdr:to>
      <xdr:col>7</xdr:col>
      <xdr:colOff>352426</xdr:colOff>
      <xdr:row>161</xdr:row>
      <xdr:rowOff>114299</xdr:rowOff>
    </xdr:to>
    <xdr:graphicFrame macro="">
      <xdr:nvGraphicFramePr>
        <xdr:cNvPr id="7" name="Chart 6">
          <a:extLst>
            <a:ext uri="{FF2B5EF4-FFF2-40B4-BE49-F238E27FC236}">
              <a16:creationId xmlns:a16="http://schemas.microsoft.com/office/drawing/2014/main" id="{00000000-0008-0000-0F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208190</xdr:colOff>
      <xdr:row>163</xdr:row>
      <xdr:rowOff>104775</xdr:rowOff>
    </xdr:from>
    <xdr:to>
      <xdr:col>7</xdr:col>
      <xdr:colOff>361951</xdr:colOff>
      <xdr:row>182</xdr:row>
      <xdr:rowOff>38100</xdr:rowOff>
    </xdr:to>
    <xdr:graphicFrame macro="">
      <xdr:nvGraphicFramePr>
        <xdr:cNvPr id="8" name="Chart 7">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28576</xdr:colOff>
      <xdr:row>376</xdr:row>
      <xdr:rowOff>32808</xdr:rowOff>
    </xdr:from>
    <xdr:to>
      <xdr:col>7</xdr:col>
      <xdr:colOff>495301</xdr:colOff>
      <xdr:row>393</xdr:row>
      <xdr:rowOff>123825</xdr:rowOff>
    </xdr:to>
    <xdr:graphicFrame macro="">
      <xdr:nvGraphicFramePr>
        <xdr:cNvPr id="10" name="Chart 9">
          <a:extLst>
            <a:ext uri="{FF2B5EF4-FFF2-40B4-BE49-F238E27FC236}">
              <a16:creationId xmlns:a16="http://schemas.microsoft.com/office/drawing/2014/main" id="{00000000-0008-0000-0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absoluteAnchor>
    <xdr:pos x="9525" y="13487400"/>
    <xdr:ext cx="5629275" cy="3457575"/>
    <xdr:graphicFrame macro="">
      <xdr:nvGraphicFramePr>
        <xdr:cNvPr id="9" name="Chart 8">
          <a:extLst>
            <a:ext uri="{FF2B5EF4-FFF2-40B4-BE49-F238E27FC236}">
              <a16:creationId xmlns:a16="http://schemas.microsoft.com/office/drawing/2014/main" id="{00000000-0008-0000-0F00-000009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3" Type="http://schemas.openxmlformats.org/officeDocument/2006/relationships/hyperlink" Target="mailto:jticas@proterixbio.com" TargetMode="External"/><Relationship Id="rId2" Type="http://schemas.openxmlformats.org/officeDocument/2006/relationships/hyperlink" Target="mailto:jherrera@proterixbio.com" TargetMode="External"/><Relationship Id="rId1" Type="http://schemas.openxmlformats.org/officeDocument/2006/relationships/hyperlink" Target="mailto:shivalik@proterixbio.com" TargetMode="External"/><Relationship Id="rId4" Type="http://schemas.openxmlformats.org/officeDocument/2006/relationships/hyperlink" Target="mailto:bmahender@proterixbio.com"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5.xml"/><Relationship Id="rId5" Type="http://schemas.openxmlformats.org/officeDocument/2006/relationships/image" Target="../media/image3.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K58"/>
  <sheetViews>
    <sheetView topLeftCell="A4" workbookViewId="0"/>
  </sheetViews>
  <sheetFormatPr defaultColWidth="9.140625" defaultRowHeight="15" x14ac:dyDescent="0.25"/>
  <cols>
    <col min="1" max="1" width="10.5703125" style="42" customWidth="1"/>
    <col min="2" max="2" width="9.140625" style="42"/>
    <col min="3" max="3" width="5.85546875" style="42" customWidth="1"/>
    <col min="4" max="16384" width="9.140625" style="42"/>
  </cols>
  <sheetData>
    <row r="1" spans="1:11" x14ac:dyDescent="0.25">
      <c r="A1" s="86" t="s">
        <v>195</v>
      </c>
      <c r="B1" s="86"/>
      <c r="C1" s="86"/>
      <c r="D1" s="86"/>
      <c r="G1" s="624" t="s">
        <v>604</v>
      </c>
      <c r="H1" s="625"/>
      <c r="I1" s="626"/>
      <c r="J1" s="152" t="s">
        <v>605</v>
      </c>
    </row>
    <row r="2" spans="1:11" x14ac:dyDescent="0.25">
      <c r="A2" s="43"/>
    </row>
    <row r="3" spans="1:11" x14ac:dyDescent="0.25">
      <c r="A3" s="43" t="s">
        <v>507</v>
      </c>
    </row>
    <row r="4" spans="1:11" ht="7.5" customHeight="1" x14ac:dyDescent="0.25"/>
    <row r="5" spans="1:11" x14ac:dyDescent="0.25">
      <c r="A5" s="43"/>
      <c r="B5" s="87" t="s">
        <v>508</v>
      </c>
      <c r="C5" s="88" t="s">
        <v>509</v>
      </c>
      <c r="D5" s="88"/>
      <c r="E5" s="88"/>
      <c r="F5" s="88"/>
      <c r="G5" s="88"/>
      <c r="H5" s="88"/>
      <c r="I5" s="88"/>
      <c r="J5" s="88"/>
      <c r="K5" s="88"/>
    </row>
    <row r="6" spans="1:11" x14ac:dyDescent="0.25">
      <c r="A6" s="43"/>
      <c r="B6" s="89" t="s">
        <v>510</v>
      </c>
      <c r="C6" s="88" t="s">
        <v>557</v>
      </c>
      <c r="D6" s="88"/>
      <c r="E6" s="88"/>
      <c r="F6" s="88"/>
      <c r="G6" s="88"/>
      <c r="H6" s="88"/>
      <c r="I6" s="88"/>
      <c r="J6" s="88"/>
      <c r="K6" s="88"/>
    </row>
    <row r="7" spans="1:11" ht="7.5" customHeight="1" x14ac:dyDescent="0.25"/>
    <row r="8" spans="1:11" x14ac:dyDescent="0.25">
      <c r="C8" s="87" t="s">
        <v>511</v>
      </c>
      <c r="D8" s="42" t="s">
        <v>512</v>
      </c>
    </row>
    <row r="9" spans="1:11" x14ac:dyDescent="0.25">
      <c r="C9" s="87" t="s">
        <v>513</v>
      </c>
      <c r="D9" s="42" t="s">
        <v>516</v>
      </c>
    </row>
    <row r="10" spans="1:11" x14ac:dyDescent="0.25">
      <c r="A10" s="43"/>
      <c r="C10" s="87" t="s">
        <v>515</v>
      </c>
      <c r="D10" s="42" t="s">
        <v>518</v>
      </c>
    </row>
    <row r="11" spans="1:11" x14ac:dyDescent="0.25">
      <c r="A11" s="43"/>
      <c r="C11" s="87" t="s">
        <v>517</v>
      </c>
      <c r="D11" s="42" t="s">
        <v>549</v>
      </c>
    </row>
    <row r="12" spans="1:11" ht="7.5" customHeight="1" x14ac:dyDescent="0.25"/>
    <row r="13" spans="1:11" x14ac:dyDescent="0.25">
      <c r="A13" s="43"/>
      <c r="B13" s="89" t="s">
        <v>519</v>
      </c>
      <c r="C13" s="88" t="s">
        <v>550</v>
      </c>
      <c r="D13" s="88"/>
      <c r="E13" s="88"/>
      <c r="F13" s="88"/>
      <c r="G13" s="88"/>
      <c r="H13" s="88"/>
      <c r="I13" s="88"/>
      <c r="J13" s="88"/>
      <c r="K13" s="88"/>
    </row>
    <row r="14" spans="1:11" ht="7.5" customHeight="1" x14ac:dyDescent="0.25"/>
    <row r="15" spans="1:11" x14ac:dyDescent="0.25">
      <c r="C15" s="87" t="s">
        <v>551</v>
      </c>
      <c r="D15" s="42" t="s">
        <v>514</v>
      </c>
    </row>
    <row r="16" spans="1:11" x14ac:dyDescent="0.25">
      <c r="C16" s="87" t="s">
        <v>552</v>
      </c>
      <c r="D16" s="42" t="s">
        <v>556</v>
      </c>
    </row>
    <row r="17" spans="1:4" x14ac:dyDescent="0.25">
      <c r="A17" s="43"/>
      <c r="C17" s="87" t="s">
        <v>553</v>
      </c>
      <c r="D17" s="42" t="s">
        <v>488</v>
      </c>
    </row>
    <row r="18" spans="1:4" x14ac:dyDescent="0.25">
      <c r="A18" s="43"/>
      <c r="C18" s="87" t="s">
        <v>554</v>
      </c>
      <c r="D18" s="42" t="s">
        <v>558</v>
      </c>
    </row>
    <row r="19" spans="1:4" x14ac:dyDescent="0.25">
      <c r="A19" s="43"/>
      <c r="C19" s="87" t="s">
        <v>554</v>
      </c>
      <c r="D19" s="42" t="str">
        <f>IF(ProtocolName=BioScale_Internal!J36,"Length of Incubation Time","Reagent 1 Volume and Incubation Time")</f>
        <v>Reagent 1 Volume and Incubation Time</v>
      </c>
    </row>
    <row r="20" spans="1:4" x14ac:dyDescent="0.25">
      <c r="A20" s="43"/>
      <c r="C20" s="87" t="str">
        <f>IF(ProtocolName=BioScale_Internal!J36,"","1.3.5")</f>
        <v>1.3.5</v>
      </c>
      <c r="D20" s="42" t="str">
        <f>IF(ProtocolName=BioScale_Internal!J38,"Reagent 2 Volume and Incubation Time",IF(ProtocolName=BioScale_Internal!J36,"","Reagent Plate Type"))</f>
        <v>Reagent Plate Type</v>
      </c>
    </row>
    <row r="21" spans="1:4" x14ac:dyDescent="0.25">
      <c r="A21" s="43"/>
      <c r="C21" s="87" t="str">
        <f>IF(ProtocolName=BioScale_Internal!J36,"","1.3.6")</f>
        <v>1.3.6</v>
      </c>
      <c r="D21" s="42" t="str">
        <f>IF(ProtocolName=BioScale_Internal!J38,"Reagent Plate Type",IF(ProtocolName=BioScale_Internal!J36,"","Reagent Volume Per Column"))</f>
        <v>Reagent Volume Per Column</v>
      </c>
    </row>
    <row r="22" spans="1:4" x14ac:dyDescent="0.25">
      <c r="A22" s="43"/>
      <c r="C22" s="87" t="str">
        <f>IF(ProtocolName=BioScale_Internal!J36,"","1.3.7")</f>
        <v>1.3.7</v>
      </c>
      <c r="D22" s="42" t="str">
        <f>IF(ProtocolName=BioScale_Internal!J38,"Reagent Volume Per Column",IF(ProtocolName=BioScale_Internal!J36,"","Reagent Plate Setup"))</f>
        <v>Reagent Plate Setup</v>
      </c>
    </row>
    <row r="23" spans="1:4" x14ac:dyDescent="0.25">
      <c r="A23" s="43"/>
      <c r="C23" s="87" t="str">
        <f>IF(ProtocolName=BioScale_Internal!J38,"1.3.7","")</f>
        <v/>
      </c>
      <c r="D23" s="42" t="str">
        <f>IF(ProtocolName=BioScale_Internal!J38,"Reagent Plate Setup","")</f>
        <v/>
      </c>
    </row>
    <row r="24" spans="1:4" x14ac:dyDescent="0.25">
      <c r="A24" s="43"/>
      <c r="C24" s="87"/>
    </row>
    <row r="25" spans="1:4" x14ac:dyDescent="0.25">
      <c r="A25" s="43"/>
      <c r="B25" s="87" t="s">
        <v>555</v>
      </c>
      <c r="C25" s="42" t="s">
        <v>520</v>
      </c>
    </row>
    <row r="26" spans="1:4" x14ac:dyDescent="0.25">
      <c r="A26" s="43"/>
    </row>
    <row r="27" spans="1:4" x14ac:dyDescent="0.25">
      <c r="A27" s="43" t="s">
        <v>521</v>
      </c>
    </row>
    <row r="28" spans="1:4" ht="7.5" customHeight="1" x14ac:dyDescent="0.25"/>
    <row r="29" spans="1:4" x14ac:dyDescent="0.25">
      <c r="A29" s="43"/>
      <c r="B29" s="87" t="s">
        <v>522</v>
      </c>
      <c r="C29" s="42" t="s">
        <v>523</v>
      </c>
    </row>
    <row r="30" spans="1:4" x14ac:dyDescent="0.25">
      <c r="A30" s="43"/>
      <c r="B30" s="87" t="s">
        <v>524</v>
      </c>
      <c r="C30" s="42" t="s">
        <v>525</v>
      </c>
    </row>
    <row r="31" spans="1:4" x14ac:dyDescent="0.25">
      <c r="B31" s="87" t="s">
        <v>526</v>
      </c>
      <c r="C31" s="90" t="s">
        <v>527</v>
      </c>
    </row>
    <row r="32" spans="1:4" x14ac:dyDescent="0.25">
      <c r="A32" s="43"/>
    </row>
    <row r="33" spans="1:4" x14ac:dyDescent="0.25">
      <c r="A33" s="43" t="s">
        <v>528</v>
      </c>
    </row>
    <row r="34" spans="1:4" x14ac:dyDescent="0.25">
      <c r="A34" s="43"/>
    </row>
    <row r="35" spans="1:4" x14ac:dyDescent="0.25">
      <c r="A35" s="43"/>
      <c r="B35" s="87" t="s">
        <v>529</v>
      </c>
      <c r="C35" s="42" t="s">
        <v>530</v>
      </c>
    </row>
    <row r="36" spans="1:4" x14ac:dyDescent="0.25">
      <c r="A36" s="43"/>
      <c r="B36" s="87" t="s">
        <v>531</v>
      </c>
      <c r="C36" s="42" t="s">
        <v>532</v>
      </c>
    </row>
    <row r="37" spans="1:4" ht="7.5" customHeight="1" x14ac:dyDescent="0.25"/>
    <row r="38" spans="1:4" x14ac:dyDescent="0.25">
      <c r="C38" s="87" t="s">
        <v>533</v>
      </c>
      <c r="D38" s="42" t="str">
        <f ca="1">IF(INFO("release")="11.0","Click on 'Tools --&gt;  Macro --&gt; Security'","Click on the round Office button at the top left side of the screen, and select 'Excel Options' at the bottom of the menu")</f>
        <v>Click on the round Office button at the top left side of the screen, and select 'Excel Options' at the bottom of the menu</v>
      </c>
    </row>
    <row r="39" spans="1:4" x14ac:dyDescent="0.25">
      <c r="C39" s="87" t="s">
        <v>534</v>
      </c>
      <c r="D39" s="42" t="str">
        <f ca="1">IF(INFO("release")="11.0","Make sure the setting is on 'Low'","Click on 'Trust Center' and choose 'Trust Center Settings")</f>
        <v>Click on 'Trust Center' and choose 'Trust Center Settings</v>
      </c>
    </row>
    <row r="40" spans="1:4" x14ac:dyDescent="0.25">
      <c r="C40" s="87" t="str">
        <f ca="1">IF(INFO("release")="11.0","","3.2.3")</f>
        <v>3.2.3</v>
      </c>
      <c r="D40" s="42" t="str">
        <f ca="1">IF(INFO("release")="11.0","","Click on 'Macro Settings'")</f>
        <v>Click on 'Macro Settings'</v>
      </c>
    </row>
    <row r="41" spans="1:4" x14ac:dyDescent="0.25">
      <c r="C41" s="87" t="str">
        <f ca="1">IF(INFO("release")="11.0","","3.2.4")</f>
        <v>3.2.4</v>
      </c>
      <c r="D41" s="42" t="str">
        <f ca="1">IF(INFO("release")="11.0","","Make sure 'Enable All Macros' is selected, save, close, and re-open the file")</f>
        <v>Make sure 'Enable All Macros' is selected, save, close, and re-open the file</v>
      </c>
    </row>
    <row r="42" spans="1:4" ht="7.5" customHeight="1" x14ac:dyDescent="0.25"/>
    <row r="43" spans="1:4" x14ac:dyDescent="0.25">
      <c r="B43" s="87" t="s">
        <v>535</v>
      </c>
      <c r="C43" s="42" t="s">
        <v>536</v>
      </c>
    </row>
    <row r="44" spans="1:4" ht="7.5" customHeight="1" x14ac:dyDescent="0.25">
      <c r="B44" s="87"/>
    </row>
    <row r="45" spans="1:4" x14ac:dyDescent="0.25">
      <c r="B45" s="87"/>
      <c r="C45" s="87" t="s">
        <v>537</v>
      </c>
      <c r="D45" s="42" t="str">
        <f ca="1">IF(INFO("release")="11.0","Click on 'Tools --&gt; Add-Ins…'","Click on the round Office button at the top left side of the screen, and select 'Excel Options' at the bottom of the menu")</f>
        <v>Click on the round Office button at the top left side of the screen, and select 'Excel Options' at the bottom of the menu</v>
      </c>
    </row>
    <row r="46" spans="1:4" x14ac:dyDescent="0.25">
      <c r="B46" s="87"/>
      <c r="C46" s="87" t="s">
        <v>538</v>
      </c>
      <c r="D46" s="42" t="str">
        <f ca="1">IF(INFO("release")="11.0","Click on 'Solver Add-In' and click Ok","Select 'Add-Ins', and choose Add-In Manager")</f>
        <v>Select 'Add-Ins', and choose Add-In Manager</v>
      </c>
    </row>
    <row r="47" spans="1:4" x14ac:dyDescent="0.25">
      <c r="B47" s="87"/>
      <c r="C47" s="87" t="s">
        <v>539</v>
      </c>
      <c r="D47" s="42" t="str">
        <f ca="1">IF(INFO("release")="11.0","Follow the installation steps","Choose 'Solver Add-In' and click Ok")</f>
        <v>Choose 'Solver Add-In' and click Ok</v>
      </c>
    </row>
    <row r="48" spans="1:4" x14ac:dyDescent="0.25">
      <c r="B48" s="87"/>
      <c r="C48" s="87" t="str">
        <f ca="1">IF(INFO("release")="11.0","","3.3.4'")</f>
        <v>3.3.4'</v>
      </c>
      <c r="D48" s="42" t="str">
        <f ca="1">IF(INFO("release")="11.0","","Follow the installation steps")</f>
        <v>Follow the installation steps</v>
      </c>
    </row>
    <row r="49" spans="1:4" ht="7.5" customHeight="1" x14ac:dyDescent="0.25">
      <c r="B49" s="87"/>
    </row>
    <row r="50" spans="1:4" x14ac:dyDescent="0.25">
      <c r="B50" s="87" t="s">
        <v>540</v>
      </c>
      <c r="C50" s="42" t="s">
        <v>541</v>
      </c>
    </row>
    <row r="51" spans="1:4" x14ac:dyDescent="0.25">
      <c r="B51" s="87" t="s">
        <v>542</v>
      </c>
      <c r="C51" s="42" t="s">
        <v>560</v>
      </c>
    </row>
    <row r="52" spans="1:4" x14ac:dyDescent="0.25">
      <c r="B52" s="87" t="s">
        <v>543</v>
      </c>
      <c r="C52" s="42" t="s">
        <v>544</v>
      </c>
    </row>
    <row r="53" spans="1:4" ht="7.5" customHeight="1" x14ac:dyDescent="0.25">
      <c r="B53" s="87"/>
    </row>
    <row r="54" spans="1:4" x14ac:dyDescent="0.25">
      <c r="C54" s="87" t="s">
        <v>545</v>
      </c>
      <c r="D54" s="42" t="s">
        <v>561</v>
      </c>
    </row>
    <row r="55" spans="1:4" x14ac:dyDescent="0.25">
      <c r="C55" s="87" t="s">
        <v>546</v>
      </c>
      <c r="D55" s="42" t="s">
        <v>547</v>
      </c>
    </row>
    <row r="57" spans="1:4" x14ac:dyDescent="0.25">
      <c r="A57" s="43" t="s">
        <v>196</v>
      </c>
    </row>
    <row r="58" spans="1:4" x14ac:dyDescent="0.25">
      <c r="B58" s="42" t="s">
        <v>548</v>
      </c>
    </row>
  </sheetData>
  <mergeCells count="1">
    <mergeCell ref="G1:I1"/>
  </mergeCells>
  <phoneticPr fontId="5" type="noConversion"/>
  <pageMargins left="0.75" right="0.75" top="1" bottom="1" header="0.5" footer="0.5"/>
  <pageSetup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D38"/>
  <sheetViews>
    <sheetView workbookViewId="0">
      <selection activeCell="C10" sqref="C10"/>
    </sheetView>
  </sheetViews>
  <sheetFormatPr defaultRowHeight="15" x14ac:dyDescent="0.25"/>
  <cols>
    <col min="1" max="1" width="9.140625" style="253"/>
    <col min="2" max="2" width="42.7109375" customWidth="1"/>
    <col min="3" max="3" width="89.85546875" customWidth="1"/>
    <col min="4" max="4" width="48.7109375" customWidth="1"/>
  </cols>
  <sheetData>
    <row r="2" spans="1:4" x14ac:dyDescent="0.25">
      <c r="A2" s="429" t="s">
        <v>1321</v>
      </c>
      <c r="B2" s="430" t="s">
        <v>1322</v>
      </c>
      <c r="C2" s="430" t="s">
        <v>1316</v>
      </c>
      <c r="D2" s="430" t="s">
        <v>1318</v>
      </c>
    </row>
    <row r="3" spans="1:4" s="83" customFormat="1" ht="60" x14ac:dyDescent="0.25">
      <c r="A3" s="235">
        <v>1</v>
      </c>
      <c r="B3" s="83" t="s">
        <v>1317</v>
      </c>
      <c r="C3" s="428" t="s">
        <v>1320</v>
      </c>
      <c r="D3" s="431" t="s">
        <v>1319</v>
      </c>
    </row>
    <row r="4" spans="1:4" x14ac:dyDescent="0.25">
      <c r="C4" s="233"/>
      <c r="D4" s="233"/>
    </row>
    <row r="5" spans="1:4" x14ac:dyDescent="0.25">
      <c r="A5" s="253">
        <v>2</v>
      </c>
      <c r="B5" t="s">
        <v>1339</v>
      </c>
      <c r="C5" s="233" t="s">
        <v>1340</v>
      </c>
      <c r="D5" s="233"/>
    </row>
    <row r="6" spans="1:4" x14ac:dyDescent="0.25">
      <c r="C6" s="233"/>
      <c r="D6" s="233"/>
    </row>
    <row r="7" spans="1:4" x14ac:dyDescent="0.25">
      <c r="C7" s="233"/>
      <c r="D7" s="233"/>
    </row>
    <row r="8" spans="1:4" x14ac:dyDescent="0.25">
      <c r="C8" s="233"/>
      <c r="D8" s="233"/>
    </row>
    <row r="9" spans="1:4" x14ac:dyDescent="0.25">
      <c r="C9" s="233"/>
      <c r="D9" s="233"/>
    </row>
    <row r="10" spans="1:4" x14ac:dyDescent="0.25">
      <c r="C10" s="233"/>
      <c r="D10" s="233"/>
    </row>
    <row r="11" spans="1:4" x14ac:dyDescent="0.25">
      <c r="C11" s="233"/>
      <c r="D11" s="233"/>
    </row>
    <row r="12" spans="1:4" x14ac:dyDescent="0.25">
      <c r="C12" s="233"/>
      <c r="D12" s="233"/>
    </row>
    <row r="13" spans="1:4" x14ac:dyDescent="0.25">
      <c r="C13" s="233"/>
      <c r="D13" s="233"/>
    </row>
    <row r="14" spans="1:4" x14ac:dyDescent="0.25">
      <c r="C14" s="233"/>
      <c r="D14" s="233"/>
    </row>
    <row r="15" spans="1:4" x14ac:dyDescent="0.25">
      <c r="C15" s="233"/>
      <c r="D15" s="233"/>
    </row>
    <row r="16" spans="1:4" x14ac:dyDescent="0.25">
      <c r="C16" s="233"/>
      <c r="D16" s="233"/>
    </row>
    <row r="17" spans="3:4" x14ac:dyDescent="0.25">
      <c r="C17" s="233"/>
      <c r="D17" s="233"/>
    </row>
    <row r="18" spans="3:4" x14ac:dyDescent="0.25">
      <c r="C18" s="233"/>
      <c r="D18" s="233"/>
    </row>
    <row r="19" spans="3:4" x14ac:dyDescent="0.25">
      <c r="C19" s="233"/>
      <c r="D19" s="233"/>
    </row>
    <row r="20" spans="3:4" x14ac:dyDescent="0.25">
      <c r="C20" s="233"/>
      <c r="D20" s="233"/>
    </row>
    <row r="21" spans="3:4" x14ac:dyDescent="0.25">
      <c r="C21" s="233"/>
      <c r="D21" s="233"/>
    </row>
    <row r="22" spans="3:4" x14ac:dyDescent="0.25">
      <c r="C22" s="233"/>
      <c r="D22" s="233"/>
    </row>
    <row r="23" spans="3:4" x14ac:dyDescent="0.25">
      <c r="C23" s="233"/>
      <c r="D23" s="233"/>
    </row>
    <row r="24" spans="3:4" x14ac:dyDescent="0.25">
      <c r="C24" s="233"/>
      <c r="D24" s="233"/>
    </row>
    <row r="25" spans="3:4" x14ac:dyDescent="0.25">
      <c r="C25" s="233"/>
      <c r="D25" s="233"/>
    </row>
    <row r="26" spans="3:4" x14ac:dyDescent="0.25">
      <c r="C26" s="233"/>
      <c r="D26" s="233"/>
    </row>
    <row r="27" spans="3:4" x14ac:dyDescent="0.25">
      <c r="C27" s="233"/>
      <c r="D27" s="233"/>
    </row>
    <row r="28" spans="3:4" x14ac:dyDescent="0.25">
      <c r="C28" s="233"/>
      <c r="D28" s="233"/>
    </row>
    <row r="29" spans="3:4" x14ac:dyDescent="0.25">
      <c r="C29" s="233"/>
      <c r="D29" s="233"/>
    </row>
    <row r="30" spans="3:4" x14ac:dyDescent="0.25">
      <c r="C30" s="233"/>
      <c r="D30" s="233"/>
    </row>
    <row r="31" spans="3:4" x14ac:dyDescent="0.25">
      <c r="C31" s="233"/>
      <c r="D31" s="233"/>
    </row>
    <row r="32" spans="3:4" x14ac:dyDescent="0.25">
      <c r="C32" s="233"/>
      <c r="D32" s="233"/>
    </row>
    <row r="33" spans="3:4" x14ac:dyDescent="0.25">
      <c r="C33" s="233"/>
      <c r="D33" s="233"/>
    </row>
    <row r="34" spans="3:4" x14ac:dyDescent="0.25">
      <c r="C34" s="233"/>
      <c r="D34" s="233"/>
    </row>
    <row r="35" spans="3:4" x14ac:dyDescent="0.25">
      <c r="C35" s="233"/>
    </row>
    <row r="36" spans="3:4" x14ac:dyDescent="0.25">
      <c r="C36" s="233"/>
    </row>
    <row r="37" spans="3:4" x14ac:dyDescent="0.25">
      <c r="C37" s="233"/>
    </row>
    <row r="38" spans="3:4" x14ac:dyDescent="0.25">
      <c r="C38" s="233"/>
    </row>
  </sheetData>
  <phoneticPr fontId="5"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49B7F-F8DD-44F1-9C60-CEA39A614967}">
  <sheetPr codeName="Sheet21"/>
  <dimension ref="A1:AN223"/>
  <sheetViews>
    <sheetView tabSelected="1" zoomScale="90" zoomScaleNormal="90" workbookViewId="0">
      <selection activeCell="E8" sqref="E8:N8"/>
    </sheetView>
  </sheetViews>
  <sheetFormatPr defaultRowHeight="15" x14ac:dyDescent="0.25"/>
  <cols>
    <col min="1" max="1" width="8.5703125" style="253" customWidth="1"/>
    <col min="2" max="2" width="7.85546875" style="122" customWidth="1"/>
    <col min="3" max="3" width="11.28515625" style="122" customWidth="1"/>
    <col min="4" max="4" width="8" style="122" customWidth="1"/>
    <col min="5" max="5" width="10.5703125" style="16" customWidth="1"/>
    <col min="6" max="6" width="14.140625" style="122" customWidth="1"/>
    <col min="7" max="7" width="8.42578125" style="122" customWidth="1"/>
    <col min="8" max="8" width="8.140625" style="122" customWidth="1"/>
    <col min="9" max="9" width="14.140625" style="122" customWidth="1"/>
    <col min="10" max="10" width="9.5703125" style="122" customWidth="1"/>
    <col min="11" max="11" width="10.85546875" style="122" customWidth="1"/>
    <col min="12" max="12" width="14.140625" style="122" customWidth="1"/>
    <col min="13" max="13" width="6.5703125" style="122" customWidth="1"/>
    <col min="14" max="14" width="6" style="253" customWidth="1"/>
    <col min="15" max="15" width="10.42578125" style="122" customWidth="1"/>
    <col min="16" max="16" width="5" style="122" customWidth="1"/>
    <col min="17" max="17" width="3.28515625" style="122" customWidth="1"/>
    <col min="18" max="18" width="2.7109375" style="122" customWidth="1"/>
    <col min="19" max="16384" width="9.140625" style="122"/>
  </cols>
  <sheetData>
    <row r="1" spans="1:40" x14ac:dyDescent="0.25">
      <c r="A1" s="320"/>
      <c r="B1" s="321"/>
      <c r="C1" s="321"/>
      <c r="D1" s="321"/>
      <c r="E1" s="322"/>
      <c r="F1" s="321"/>
      <c r="G1" s="321"/>
      <c r="H1" s="321"/>
      <c r="I1" s="321"/>
      <c r="J1" s="321"/>
      <c r="K1" s="321"/>
      <c r="L1" s="321"/>
      <c r="M1" s="321"/>
      <c r="N1" s="320"/>
      <c r="O1" s="321"/>
      <c r="P1" s="321"/>
      <c r="Q1" s="321"/>
      <c r="R1" s="297"/>
      <c r="S1" s="297"/>
      <c r="T1" s="297"/>
      <c r="U1" s="297"/>
      <c r="V1" s="42"/>
      <c r="W1" s="42"/>
      <c r="X1" s="42"/>
      <c r="Y1" s="42"/>
      <c r="Z1" s="42"/>
      <c r="AA1" s="42"/>
      <c r="AB1" s="42"/>
      <c r="AC1" s="42"/>
      <c r="AD1" s="42"/>
      <c r="AE1" s="42"/>
      <c r="AF1" s="42"/>
      <c r="AG1" s="42"/>
      <c r="AH1" s="42"/>
      <c r="AI1" s="42"/>
      <c r="AJ1" s="42"/>
      <c r="AK1" s="42"/>
      <c r="AL1" s="42"/>
      <c r="AM1" s="42"/>
      <c r="AN1" s="42"/>
    </row>
    <row r="2" spans="1:40" x14ac:dyDescent="0.25">
      <c r="A2" s="281" t="s">
        <v>923</v>
      </c>
      <c r="B2" s="283" t="s">
        <v>921</v>
      </c>
      <c r="C2" s="282"/>
      <c r="D2" s="282"/>
      <c r="E2" s="322" t="s">
        <v>1310</v>
      </c>
      <c r="F2" s="321"/>
      <c r="G2" s="321"/>
      <c r="H2" s="321"/>
      <c r="I2" s="321"/>
      <c r="J2" s="321"/>
      <c r="K2" s="321"/>
      <c r="L2" s="321"/>
      <c r="M2" s="321"/>
      <c r="N2" s="320"/>
      <c r="O2" s="321"/>
      <c r="P2" s="321"/>
      <c r="Q2" s="321"/>
      <c r="R2" s="297"/>
      <c r="S2" s="297"/>
      <c r="T2" s="297"/>
      <c r="U2" s="297"/>
      <c r="V2" s="42"/>
      <c r="W2" s="42"/>
      <c r="X2" s="42"/>
      <c r="Y2" s="42"/>
      <c r="Z2" s="42"/>
      <c r="AA2" s="42"/>
      <c r="AB2" s="42"/>
      <c r="AC2" s="42"/>
      <c r="AD2" s="42"/>
      <c r="AE2" s="42"/>
      <c r="AF2" s="42"/>
      <c r="AG2" s="42"/>
      <c r="AH2" s="42"/>
      <c r="AI2" s="42"/>
      <c r="AJ2" s="42"/>
      <c r="AK2" s="42"/>
      <c r="AL2" s="42"/>
      <c r="AM2" s="42"/>
      <c r="AN2" s="42"/>
    </row>
    <row r="3" spans="1:40" x14ac:dyDescent="0.25">
      <c r="A3" s="320"/>
      <c r="B3" s="321"/>
      <c r="C3" s="321"/>
      <c r="D3" s="321"/>
      <c r="E3" s="322"/>
      <c r="F3" s="321"/>
      <c r="G3" s="321"/>
      <c r="H3" s="321"/>
      <c r="I3" s="321"/>
      <c r="J3" s="321"/>
      <c r="K3" s="321"/>
      <c r="L3" s="321"/>
      <c r="M3" s="321"/>
      <c r="N3" s="320"/>
      <c r="O3" s="321"/>
      <c r="P3" s="321"/>
      <c r="Q3" s="321"/>
      <c r="R3" s="297"/>
      <c r="S3" s="297"/>
      <c r="T3" s="297"/>
      <c r="U3" s="297"/>
      <c r="V3" s="42"/>
      <c r="W3" s="42"/>
      <c r="X3" s="42"/>
      <c r="Y3" s="42"/>
      <c r="Z3" s="42"/>
      <c r="AA3" s="42"/>
      <c r="AB3" s="42"/>
      <c r="AC3" s="42"/>
      <c r="AD3" s="42"/>
      <c r="AE3" s="42"/>
      <c r="AF3" s="42"/>
      <c r="AG3" s="42"/>
      <c r="AH3" s="42"/>
      <c r="AI3" s="42"/>
      <c r="AJ3" s="42"/>
      <c r="AK3" s="42"/>
      <c r="AL3" s="42"/>
      <c r="AM3" s="42"/>
      <c r="AN3" s="42"/>
    </row>
    <row r="4" spans="1:40" x14ac:dyDescent="0.25">
      <c r="A4" s="281" t="s">
        <v>922</v>
      </c>
      <c r="B4" s="283" t="s">
        <v>917</v>
      </c>
      <c r="C4" s="282"/>
      <c r="D4" s="282"/>
      <c r="E4" s="627" t="s">
        <v>1372</v>
      </c>
      <c r="F4" s="628"/>
      <c r="G4" s="628"/>
      <c r="H4" s="628"/>
      <c r="I4" s="628"/>
      <c r="J4" s="628"/>
      <c r="K4" s="628"/>
      <c r="L4" s="629"/>
      <c r="M4" s="321"/>
      <c r="N4" s="320"/>
      <c r="O4" s="321"/>
      <c r="P4" s="321"/>
      <c r="Q4" s="321"/>
      <c r="R4" s="297"/>
      <c r="S4" s="297"/>
      <c r="T4" s="297"/>
      <c r="U4" s="297"/>
      <c r="V4" s="42"/>
      <c r="W4" s="42"/>
      <c r="X4" s="42"/>
      <c r="Y4" s="42"/>
      <c r="Z4" s="42"/>
      <c r="AA4" s="42"/>
      <c r="AB4" s="42"/>
      <c r="AC4" s="42"/>
      <c r="AD4" s="42"/>
      <c r="AE4" s="42"/>
      <c r="AF4" s="42"/>
      <c r="AG4" s="42"/>
      <c r="AH4" s="42"/>
      <c r="AI4" s="42"/>
      <c r="AJ4" s="42"/>
      <c r="AK4" s="42"/>
      <c r="AL4" s="42"/>
      <c r="AM4" s="42"/>
      <c r="AN4" s="42"/>
    </row>
    <row r="5" spans="1:40" x14ac:dyDescent="0.25">
      <c r="A5" s="320"/>
      <c r="B5" s="321"/>
      <c r="C5" s="321"/>
      <c r="D5" s="321"/>
      <c r="E5" s="322"/>
      <c r="F5" s="321"/>
      <c r="G5" s="321"/>
      <c r="H5" s="321"/>
      <c r="I5" s="321"/>
      <c r="J5" s="321"/>
      <c r="K5" s="321"/>
      <c r="L5" s="321"/>
      <c r="M5" s="321"/>
      <c r="N5" s="320"/>
      <c r="O5" s="321"/>
      <c r="P5" s="321"/>
      <c r="Q5" s="321"/>
      <c r="R5" s="297"/>
      <c r="S5" s="297"/>
      <c r="T5" s="297"/>
      <c r="U5" s="297"/>
      <c r="V5" s="42"/>
      <c r="W5" s="42"/>
      <c r="X5" s="42"/>
      <c r="Y5" s="42"/>
      <c r="Z5" s="42"/>
      <c r="AA5" s="42"/>
      <c r="AB5" s="42"/>
      <c r="AC5" s="42"/>
      <c r="AD5" s="42"/>
      <c r="AE5" s="42"/>
      <c r="AF5" s="42"/>
      <c r="AG5" s="42"/>
      <c r="AH5" s="42"/>
      <c r="AI5" s="42"/>
      <c r="AJ5" s="42"/>
      <c r="AK5" s="42"/>
      <c r="AL5" s="42"/>
      <c r="AM5" s="42"/>
      <c r="AN5" s="42"/>
    </row>
    <row r="6" spans="1:40" x14ac:dyDescent="0.25">
      <c r="A6" s="281" t="s">
        <v>920</v>
      </c>
      <c r="B6" s="283" t="s">
        <v>919</v>
      </c>
      <c r="C6" s="282"/>
      <c r="D6" s="282"/>
      <c r="E6" s="322"/>
      <c r="F6" s="321"/>
      <c r="G6" s="321"/>
      <c r="H6" s="321"/>
      <c r="I6" s="321"/>
      <c r="J6" s="321"/>
      <c r="K6" s="321"/>
      <c r="L6" s="321"/>
      <c r="M6" s="321"/>
      <c r="N6" s="320"/>
      <c r="O6" s="321"/>
      <c r="P6" s="321"/>
      <c r="Q6" s="321"/>
      <c r="R6" s="297"/>
      <c r="S6" s="297"/>
      <c r="T6" s="297"/>
      <c r="U6" s="297"/>
      <c r="V6" s="42"/>
      <c r="W6" s="42"/>
      <c r="X6" s="42"/>
      <c r="Y6" s="42"/>
      <c r="Z6" s="42"/>
      <c r="AA6" s="42"/>
      <c r="AB6" s="42"/>
      <c r="AC6" s="42"/>
      <c r="AD6" s="42"/>
      <c r="AE6" s="42"/>
      <c r="AF6" s="42"/>
      <c r="AG6" s="42"/>
      <c r="AH6" s="42"/>
      <c r="AI6" s="42"/>
      <c r="AJ6" s="42"/>
      <c r="AK6" s="42"/>
      <c r="AL6" s="42"/>
      <c r="AM6" s="42"/>
      <c r="AN6" s="42"/>
    </row>
    <row r="7" spans="1:40" x14ac:dyDescent="0.25">
      <c r="A7" s="320"/>
      <c r="B7" s="321"/>
      <c r="C7" s="321"/>
      <c r="D7" s="321"/>
      <c r="E7" s="322"/>
      <c r="F7" s="321"/>
      <c r="G7" s="321"/>
      <c r="H7" s="321"/>
      <c r="I7" s="321"/>
      <c r="J7" s="321"/>
      <c r="K7" s="321"/>
      <c r="L7" s="321"/>
      <c r="M7" s="321"/>
      <c r="N7" s="320"/>
      <c r="O7" s="321"/>
      <c r="P7" s="321"/>
      <c r="Q7" s="321"/>
      <c r="R7" s="297"/>
      <c r="S7" s="297"/>
      <c r="T7" s="297"/>
      <c r="U7" s="297"/>
      <c r="V7" s="42"/>
      <c r="W7" s="42"/>
      <c r="X7" s="42"/>
      <c r="Y7" s="42"/>
      <c r="Z7" s="42"/>
      <c r="AA7" s="42"/>
      <c r="AB7" s="42"/>
      <c r="AC7" s="42"/>
      <c r="AD7" s="42"/>
      <c r="AE7" s="42"/>
      <c r="AF7" s="42"/>
      <c r="AG7" s="42"/>
      <c r="AH7" s="42"/>
      <c r="AI7" s="42"/>
      <c r="AJ7" s="42"/>
      <c r="AK7" s="42"/>
      <c r="AL7" s="42"/>
      <c r="AM7" s="42"/>
      <c r="AN7" s="42"/>
    </row>
    <row r="8" spans="1:40" x14ac:dyDescent="0.25">
      <c r="A8" s="281" t="s">
        <v>918</v>
      </c>
      <c r="B8" s="283" t="s">
        <v>1365</v>
      </c>
      <c r="C8" s="282"/>
      <c r="D8" s="282"/>
      <c r="E8" s="633" t="s">
        <v>1383</v>
      </c>
      <c r="F8" s="633"/>
      <c r="G8" s="633"/>
      <c r="H8" s="633"/>
      <c r="I8" s="633"/>
      <c r="J8" s="633"/>
      <c r="K8" s="633"/>
      <c r="L8" s="633"/>
      <c r="M8" s="633"/>
      <c r="N8" s="633"/>
      <c r="O8" s="321"/>
      <c r="P8" s="321"/>
      <c r="Q8" s="321"/>
      <c r="R8" s="297"/>
      <c r="S8" s="297"/>
      <c r="T8" s="297"/>
      <c r="U8" s="297"/>
      <c r="V8" s="42"/>
      <c r="W8" s="42"/>
      <c r="X8" s="42"/>
      <c r="Y8" s="42"/>
      <c r="Z8" s="42"/>
      <c r="AA8" s="42"/>
      <c r="AB8" s="42"/>
      <c r="AC8" s="42"/>
      <c r="AD8" s="42"/>
      <c r="AE8" s="42"/>
      <c r="AF8" s="42"/>
      <c r="AG8" s="42"/>
      <c r="AH8" s="42"/>
      <c r="AI8" s="42"/>
      <c r="AJ8" s="42"/>
      <c r="AK8" s="42"/>
      <c r="AL8" s="42"/>
      <c r="AM8" s="42"/>
      <c r="AN8" s="42"/>
    </row>
    <row r="9" spans="1:40" x14ac:dyDescent="0.25">
      <c r="A9" s="320"/>
      <c r="B9" s="321"/>
      <c r="C9" s="321"/>
      <c r="D9" s="321"/>
      <c r="E9" s="323"/>
      <c r="F9" s="323"/>
      <c r="G9" s="323"/>
      <c r="H9" s="323"/>
      <c r="I9" s="323"/>
      <c r="J9" s="323"/>
      <c r="K9" s="323"/>
      <c r="L9" s="323"/>
      <c r="M9" s="323"/>
      <c r="N9" s="320"/>
      <c r="O9" s="321"/>
      <c r="P9" s="321"/>
      <c r="Q9" s="321"/>
      <c r="R9" s="297"/>
      <c r="S9" s="297"/>
      <c r="T9" s="297"/>
      <c r="U9" s="297"/>
      <c r="V9" s="42"/>
      <c r="W9" s="42"/>
      <c r="X9" s="42"/>
      <c r="Y9" s="42"/>
      <c r="Z9" s="42"/>
      <c r="AA9" s="42"/>
      <c r="AB9" s="42"/>
      <c r="AC9" s="42"/>
      <c r="AD9" s="42"/>
      <c r="AE9" s="42"/>
      <c r="AF9" s="42"/>
      <c r="AG9" s="42"/>
      <c r="AH9" s="42"/>
      <c r="AI9" s="42"/>
      <c r="AJ9" s="42"/>
      <c r="AK9" s="42"/>
      <c r="AL9" s="42"/>
      <c r="AM9" s="42"/>
      <c r="AN9" s="42"/>
    </row>
    <row r="10" spans="1:40" x14ac:dyDescent="0.25">
      <c r="A10" s="281" t="s">
        <v>916</v>
      </c>
      <c r="B10" s="283" t="s">
        <v>924</v>
      </c>
      <c r="C10" s="282"/>
      <c r="D10" s="282"/>
      <c r="E10" s="641" t="s">
        <v>1375</v>
      </c>
      <c r="F10" s="641"/>
      <c r="G10" s="323"/>
      <c r="H10" s="323"/>
      <c r="I10" s="639" t="s">
        <v>1376</v>
      </c>
      <c r="J10" s="640"/>
      <c r="K10" s="323"/>
      <c r="L10" s="323"/>
      <c r="M10" s="323"/>
      <c r="N10" s="324"/>
      <c r="O10" s="343"/>
      <c r="P10" s="321"/>
      <c r="Q10" s="321"/>
      <c r="R10" s="297"/>
      <c r="S10" s="297"/>
      <c r="T10" s="297"/>
      <c r="U10" s="297"/>
      <c r="V10" s="42"/>
      <c r="W10" s="42"/>
      <c r="X10" s="42"/>
      <c r="Y10" s="42"/>
      <c r="Z10" s="42"/>
      <c r="AA10" s="42"/>
      <c r="AB10" s="42"/>
      <c r="AC10" s="42"/>
      <c r="AD10" s="42"/>
      <c r="AE10" s="42"/>
      <c r="AF10" s="42"/>
      <c r="AG10" s="42"/>
      <c r="AH10" s="42"/>
      <c r="AI10" s="42"/>
      <c r="AJ10" s="42"/>
      <c r="AK10" s="42"/>
      <c r="AL10" s="42"/>
      <c r="AM10" s="42"/>
      <c r="AN10" s="42"/>
    </row>
    <row r="11" spans="1:40" x14ac:dyDescent="0.25">
      <c r="A11" s="320"/>
      <c r="B11" s="321"/>
      <c r="C11" s="321"/>
      <c r="D11" s="321"/>
      <c r="E11" s="254"/>
      <c r="F11" s="342" t="s">
        <v>841</v>
      </c>
      <c r="G11" s="323"/>
      <c r="H11" s="323"/>
      <c r="I11" s="284" t="s">
        <v>107</v>
      </c>
      <c r="J11" s="308" t="str">
        <f>VLOOKUP(Internal!$P$20,Internal!$A$20:$O$56,15,0)</f>
        <v>pg/mL</v>
      </c>
      <c r="K11" s="323"/>
      <c r="L11" s="323"/>
      <c r="M11" s="323"/>
      <c r="N11" s="324"/>
      <c r="O11" s="324"/>
      <c r="P11" s="321"/>
      <c r="Q11" s="321"/>
      <c r="R11" s="297"/>
      <c r="S11" s="297"/>
      <c r="T11" s="297"/>
      <c r="U11" s="297"/>
      <c r="V11" s="42"/>
      <c r="W11" s="42"/>
      <c r="X11" s="42"/>
      <c r="Y11" s="42"/>
      <c r="Z11" s="42"/>
      <c r="AA11" s="42"/>
      <c r="AB11" s="42"/>
      <c r="AC11" s="42"/>
      <c r="AD11" s="42"/>
      <c r="AE11" s="42"/>
      <c r="AF11" s="42"/>
      <c r="AG11" s="42"/>
      <c r="AH11" s="42"/>
      <c r="AI11" s="42"/>
      <c r="AJ11" s="42"/>
      <c r="AK11" s="42"/>
      <c r="AL11" s="42"/>
      <c r="AM11" s="42"/>
      <c r="AN11" s="42"/>
    </row>
    <row r="12" spans="1:40" x14ac:dyDescent="0.25">
      <c r="A12" s="320"/>
      <c r="B12" s="321"/>
      <c r="C12" s="321"/>
      <c r="D12" s="321"/>
      <c r="E12" s="254"/>
      <c r="F12" s="342" t="s">
        <v>964</v>
      </c>
      <c r="G12" s="323"/>
      <c r="H12" s="323"/>
      <c r="I12" s="285" t="s">
        <v>29</v>
      </c>
      <c r="J12" s="310">
        <f>VLOOKUP(Internal!$P$20,Internal!$A$20:$S$56,4,0)</f>
        <v>1000</v>
      </c>
      <c r="K12" s="323"/>
      <c r="L12" s="323"/>
      <c r="M12" s="323"/>
      <c r="N12" s="324"/>
      <c r="O12" s="343"/>
      <c r="P12" s="321"/>
      <c r="Q12" s="321"/>
      <c r="R12" s="297"/>
      <c r="S12" s="297"/>
      <c r="T12" s="297"/>
      <c r="U12" s="297"/>
      <c r="V12" s="42"/>
      <c r="W12" s="42"/>
      <c r="X12" s="42"/>
      <c r="Y12" s="42"/>
      <c r="Z12" s="42"/>
      <c r="AA12" s="42"/>
      <c r="AB12" s="42"/>
      <c r="AC12" s="42"/>
      <c r="AD12" s="42"/>
      <c r="AE12" s="42"/>
      <c r="AF12" s="42"/>
      <c r="AG12" s="42"/>
      <c r="AH12" s="42"/>
      <c r="AI12" s="42"/>
      <c r="AJ12" s="42"/>
      <c r="AK12" s="42"/>
      <c r="AL12" s="42"/>
      <c r="AM12" s="42"/>
      <c r="AN12" s="42"/>
    </row>
    <row r="13" spans="1:40" x14ac:dyDescent="0.25">
      <c r="A13" s="320"/>
      <c r="B13" s="321"/>
      <c r="C13" s="321"/>
      <c r="D13" s="321"/>
      <c r="E13" s="254"/>
      <c r="F13" s="342" t="s">
        <v>849</v>
      </c>
      <c r="G13" s="323"/>
      <c r="H13" s="323"/>
      <c r="I13" s="285" t="s">
        <v>1377</v>
      </c>
      <c r="J13" s="309">
        <f>VLOOKUP(Internal!$P$20,Internal!$A$20:$O$56,14,0)</f>
        <v>3</v>
      </c>
      <c r="K13" s="323"/>
      <c r="L13" s="323"/>
      <c r="M13" s="323"/>
      <c r="N13" s="324"/>
      <c r="O13" s="343"/>
      <c r="P13" s="321"/>
      <c r="Q13" s="321"/>
      <c r="R13" s="297"/>
      <c r="S13" s="297"/>
      <c r="T13" s="297"/>
      <c r="U13" s="297"/>
      <c r="V13" s="42"/>
      <c r="W13" s="42"/>
      <c r="X13" s="42"/>
      <c r="Y13" s="42"/>
      <c r="Z13" s="42"/>
      <c r="AA13" s="42"/>
      <c r="AB13" s="42"/>
      <c r="AC13" s="42"/>
      <c r="AD13" s="42"/>
      <c r="AE13" s="42"/>
      <c r="AF13" s="42"/>
      <c r="AG13" s="42"/>
      <c r="AH13" s="42"/>
      <c r="AI13" s="42"/>
      <c r="AJ13" s="42"/>
      <c r="AK13" s="42"/>
      <c r="AL13" s="42"/>
      <c r="AM13" s="42"/>
      <c r="AN13" s="42"/>
    </row>
    <row r="14" spans="1:40" x14ac:dyDescent="0.25">
      <c r="A14" s="320"/>
      <c r="B14" s="321"/>
      <c r="C14" s="321"/>
      <c r="D14" s="321"/>
      <c r="E14" s="254"/>
      <c r="F14" s="342" t="s">
        <v>866</v>
      </c>
      <c r="G14" s="323"/>
      <c r="H14" s="323"/>
      <c r="I14" s="284" t="s">
        <v>621</v>
      </c>
      <c r="J14" s="310">
        <f>VLOOKUP(Internal!$P$20,Internal!$A$20:$O$56,13,0)</f>
        <v>60</v>
      </c>
      <c r="K14" s="323"/>
      <c r="L14" s="323"/>
      <c r="M14" s="323"/>
      <c r="N14" s="324"/>
      <c r="O14" s="343"/>
      <c r="P14" s="321"/>
      <c r="Q14" s="321"/>
      <c r="R14" s="297"/>
      <c r="S14" s="297"/>
      <c r="T14" s="297"/>
      <c r="U14" s="297"/>
      <c r="V14" s="42"/>
      <c r="W14" s="42"/>
      <c r="X14" s="42"/>
      <c r="Y14" s="42"/>
      <c r="Z14" s="42"/>
      <c r="AA14" s="42"/>
      <c r="AB14" s="42"/>
      <c r="AC14" s="42"/>
      <c r="AD14" s="42"/>
      <c r="AE14" s="42"/>
      <c r="AF14" s="42"/>
      <c r="AG14" s="42"/>
      <c r="AH14" s="42"/>
      <c r="AI14" s="42"/>
      <c r="AJ14" s="42"/>
      <c r="AK14" s="42"/>
      <c r="AL14" s="42"/>
      <c r="AM14" s="42"/>
      <c r="AN14" s="42"/>
    </row>
    <row r="15" spans="1:40" x14ac:dyDescent="0.25">
      <c r="A15" s="320"/>
      <c r="B15" s="321"/>
      <c r="C15" s="321"/>
      <c r="D15" s="321"/>
      <c r="E15" s="254"/>
      <c r="F15" s="342" t="s">
        <v>751</v>
      </c>
      <c r="G15" s="323"/>
      <c r="H15" s="323"/>
      <c r="I15" s="284" t="s">
        <v>907</v>
      </c>
      <c r="J15" s="310">
        <f>VLOOKUP(Internal!$P$20,Internal!$A$20:$O$56,12,0)</f>
        <v>300</v>
      </c>
      <c r="K15" s="323"/>
      <c r="L15" s="323"/>
      <c r="M15" s="323"/>
      <c r="N15" s="324"/>
      <c r="O15" s="343"/>
      <c r="P15" s="321"/>
      <c r="Q15" s="321"/>
      <c r="R15" s="297"/>
      <c r="S15" s="297"/>
      <c r="T15" s="297"/>
      <c r="U15" s="297"/>
      <c r="V15" s="42"/>
      <c r="W15" s="42"/>
      <c r="X15" s="42"/>
      <c r="Y15" s="42"/>
      <c r="Z15" s="42"/>
      <c r="AA15" s="42"/>
      <c r="AB15" s="42"/>
      <c r="AC15" s="42"/>
      <c r="AD15" s="42"/>
      <c r="AE15" s="42"/>
      <c r="AF15" s="42"/>
      <c r="AG15" s="42"/>
      <c r="AH15" s="42"/>
      <c r="AI15" s="42"/>
      <c r="AJ15" s="42"/>
      <c r="AK15" s="42"/>
      <c r="AL15" s="42"/>
      <c r="AM15" s="42"/>
      <c r="AN15" s="42"/>
    </row>
    <row r="16" spans="1:40" x14ac:dyDescent="0.25">
      <c r="A16" s="320"/>
      <c r="B16" s="321"/>
      <c r="C16" s="321"/>
      <c r="D16" s="321"/>
      <c r="E16" s="254"/>
      <c r="F16" s="342" t="s">
        <v>883</v>
      </c>
      <c r="G16" s="323"/>
      <c r="H16" s="323"/>
      <c r="I16" s="286" t="s">
        <v>908</v>
      </c>
      <c r="J16" s="310">
        <f>VLOOKUP(Internal!$P$20,Internal!$A$20:$O$56,11,0)</f>
        <v>12</v>
      </c>
      <c r="K16" s="323"/>
      <c r="L16" s="323"/>
      <c r="M16" s="323"/>
      <c r="N16" s="324"/>
      <c r="O16" s="343"/>
      <c r="P16" s="321"/>
      <c r="Q16" s="321"/>
      <c r="R16" s="297"/>
      <c r="S16" s="42"/>
      <c r="T16" s="42"/>
      <c r="U16" s="42"/>
      <c r="V16" s="42"/>
      <c r="W16" s="42"/>
      <c r="X16" s="42"/>
      <c r="Y16" s="42"/>
      <c r="Z16" s="42"/>
      <c r="AA16" s="42"/>
      <c r="AB16" s="42"/>
      <c r="AC16" s="42"/>
      <c r="AD16" s="42"/>
      <c r="AE16" s="42"/>
      <c r="AF16" s="42"/>
      <c r="AG16" s="42"/>
      <c r="AH16" s="42"/>
      <c r="AI16" s="42"/>
      <c r="AJ16" s="42"/>
      <c r="AK16" s="42"/>
      <c r="AL16" s="42"/>
      <c r="AM16" s="42"/>
      <c r="AN16" s="42"/>
    </row>
    <row r="17" spans="1:40" x14ac:dyDescent="0.25">
      <c r="A17" s="320"/>
      <c r="B17" s="321"/>
      <c r="C17" s="321"/>
      <c r="D17" s="321"/>
      <c r="E17" s="254"/>
      <c r="F17" s="342" t="s">
        <v>862</v>
      </c>
      <c r="G17" s="323"/>
      <c r="H17" s="323"/>
      <c r="I17" s="323"/>
      <c r="J17" s="323"/>
      <c r="K17" s="323"/>
      <c r="L17" s="323"/>
      <c r="M17" s="323"/>
      <c r="N17" s="324"/>
      <c r="O17" s="343"/>
      <c r="P17" s="321"/>
      <c r="Q17" s="321"/>
      <c r="R17" s="297"/>
      <c r="S17" s="42"/>
      <c r="T17" s="42"/>
      <c r="U17" s="42"/>
      <c r="V17" s="42"/>
      <c r="W17" s="42"/>
      <c r="X17" s="42"/>
      <c r="Y17" s="42"/>
      <c r="Z17" s="42"/>
      <c r="AA17" s="42"/>
      <c r="AB17" s="42"/>
      <c r="AC17" s="42"/>
      <c r="AD17" s="42"/>
      <c r="AE17" s="42"/>
      <c r="AF17" s="42"/>
      <c r="AG17" s="42"/>
      <c r="AH17" s="42"/>
      <c r="AI17" s="42"/>
      <c r="AJ17" s="42"/>
      <c r="AK17" s="42"/>
      <c r="AL17" s="42"/>
      <c r="AM17" s="42"/>
      <c r="AN17" s="42"/>
    </row>
    <row r="18" spans="1:40" x14ac:dyDescent="0.25">
      <c r="A18" s="320"/>
      <c r="B18" s="321"/>
      <c r="C18" s="321"/>
      <c r="D18" s="321"/>
      <c r="E18" s="254"/>
      <c r="F18" s="342" t="s">
        <v>864</v>
      </c>
      <c r="G18" s="323"/>
      <c r="H18" s="323"/>
      <c r="I18" s="615" t="s">
        <v>1325</v>
      </c>
      <c r="J18" s="616">
        <f>VLOOKUP(Internal!$P$20,Internal!$A$20:$R$56,18,0)</f>
        <v>10</v>
      </c>
      <c r="K18" s="323"/>
      <c r="L18" s="323"/>
      <c r="M18" s="323"/>
      <c r="N18" s="324"/>
      <c r="O18" s="343"/>
      <c r="P18" s="321"/>
      <c r="Q18" s="321"/>
      <c r="R18" s="297"/>
      <c r="S18" s="42"/>
      <c r="T18" s="42"/>
      <c r="U18" s="42"/>
      <c r="V18" s="42"/>
      <c r="W18" s="42"/>
      <c r="X18" s="42"/>
      <c r="Y18" s="42"/>
      <c r="Z18" s="42"/>
      <c r="AA18" s="42"/>
      <c r="AB18" s="42"/>
      <c r="AC18" s="42"/>
      <c r="AD18" s="42"/>
      <c r="AE18" s="42"/>
      <c r="AF18" s="42"/>
      <c r="AG18" s="42"/>
      <c r="AH18" s="42"/>
      <c r="AI18" s="42"/>
      <c r="AJ18" s="42"/>
      <c r="AK18" s="42"/>
      <c r="AL18" s="42"/>
      <c r="AM18" s="42"/>
      <c r="AN18" s="42"/>
    </row>
    <row r="19" spans="1:40" x14ac:dyDescent="0.25">
      <c r="A19" s="320"/>
      <c r="B19" s="321"/>
      <c r="C19" s="321"/>
      <c r="D19" s="321"/>
      <c r="E19" s="254"/>
      <c r="F19" s="342" t="s">
        <v>833</v>
      </c>
      <c r="G19" s="323"/>
      <c r="H19" s="323"/>
      <c r="I19" s="323"/>
      <c r="J19" s="323"/>
      <c r="K19" s="323"/>
      <c r="L19" s="323"/>
      <c r="M19" s="323"/>
      <c r="N19" s="324"/>
      <c r="O19" s="343"/>
      <c r="P19" s="321"/>
      <c r="Q19" s="321"/>
      <c r="R19" s="297"/>
      <c r="S19" s="42"/>
      <c r="T19" s="42"/>
      <c r="U19" s="42"/>
      <c r="V19" s="42"/>
      <c r="W19" s="42"/>
      <c r="X19" s="42"/>
      <c r="Y19" s="42"/>
      <c r="Z19" s="42"/>
      <c r="AA19" s="42"/>
      <c r="AB19" s="42"/>
      <c r="AC19" s="42"/>
      <c r="AD19" s="42"/>
      <c r="AE19" s="42"/>
      <c r="AF19" s="42"/>
      <c r="AG19" s="42"/>
      <c r="AH19" s="42"/>
      <c r="AI19" s="42"/>
      <c r="AJ19" s="42"/>
      <c r="AK19" s="42"/>
      <c r="AL19" s="42"/>
      <c r="AM19" s="42"/>
      <c r="AN19" s="42"/>
    </row>
    <row r="20" spans="1:40" x14ac:dyDescent="0.25">
      <c r="A20" s="320"/>
      <c r="B20" s="321"/>
      <c r="C20" s="321"/>
      <c r="D20" s="321"/>
      <c r="E20" s="254"/>
      <c r="F20" s="342" t="s">
        <v>827</v>
      </c>
      <c r="G20" s="323"/>
      <c r="H20" s="323"/>
      <c r="I20" s="323"/>
      <c r="J20" s="323"/>
      <c r="K20" s="323"/>
      <c r="L20" s="323"/>
      <c r="M20" s="323"/>
      <c r="N20" s="324"/>
      <c r="O20" s="343"/>
      <c r="P20" s="321"/>
      <c r="Q20" s="321"/>
      <c r="R20" s="297"/>
      <c r="S20" s="42"/>
      <c r="T20" s="42"/>
      <c r="U20" s="42"/>
      <c r="V20" s="42"/>
      <c r="W20" s="42"/>
      <c r="X20" s="42"/>
      <c r="Y20" s="42"/>
      <c r="Z20" s="42"/>
      <c r="AA20" s="42"/>
      <c r="AB20" s="42"/>
      <c r="AC20" s="42"/>
      <c r="AD20" s="42"/>
      <c r="AE20" s="42"/>
      <c r="AF20" s="42"/>
      <c r="AG20" s="42"/>
      <c r="AH20" s="42"/>
      <c r="AI20" s="42"/>
      <c r="AJ20" s="42"/>
      <c r="AK20" s="42"/>
      <c r="AL20" s="42"/>
      <c r="AM20" s="42"/>
      <c r="AN20" s="42"/>
    </row>
    <row r="21" spans="1:40" x14ac:dyDescent="0.25">
      <c r="A21" s="320"/>
      <c r="B21" s="321"/>
      <c r="C21" s="321"/>
      <c r="D21" s="321"/>
      <c r="E21" s="254"/>
      <c r="F21" s="342" t="s">
        <v>847</v>
      </c>
      <c r="G21" s="323"/>
      <c r="H21" s="323"/>
      <c r="I21" s="323"/>
      <c r="J21" s="323"/>
      <c r="K21" s="323"/>
      <c r="L21" s="323"/>
      <c r="M21" s="323"/>
      <c r="N21" s="324"/>
      <c r="O21" s="343"/>
      <c r="P21" s="321"/>
      <c r="Q21" s="321"/>
      <c r="R21" s="297"/>
      <c r="S21" s="42"/>
      <c r="T21" s="42"/>
      <c r="U21" s="42"/>
      <c r="V21" s="42"/>
      <c r="W21" s="42"/>
      <c r="X21" s="42"/>
      <c r="Y21" s="42"/>
      <c r="Z21" s="42"/>
      <c r="AA21" s="42"/>
      <c r="AB21" s="42"/>
      <c r="AC21" s="42"/>
      <c r="AD21" s="42"/>
      <c r="AE21" s="42"/>
      <c r="AF21" s="42"/>
      <c r="AG21" s="42"/>
      <c r="AH21" s="42"/>
      <c r="AI21" s="42"/>
      <c r="AJ21" s="42"/>
      <c r="AK21" s="42"/>
      <c r="AL21" s="42"/>
      <c r="AM21" s="42"/>
      <c r="AN21" s="42"/>
    </row>
    <row r="22" spans="1:40" x14ac:dyDescent="0.25">
      <c r="A22" s="320"/>
      <c r="B22" s="321"/>
      <c r="C22" s="321"/>
      <c r="D22" s="321"/>
      <c r="E22" s="254"/>
      <c r="F22" s="342"/>
      <c r="G22" s="323"/>
      <c r="H22" s="323"/>
      <c r="I22" s="323"/>
      <c r="J22" s="323"/>
      <c r="K22" s="323"/>
      <c r="L22" s="323"/>
      <c r="M22" s="323"/>
      <c r="N22" s="324"/>
      <c r="O22" s="343"/>
      <c r="P22" s="321"/>
      <c r="Q22" s="321"/>
      <c r="R22" s="297"/>
      <c r="S22" s="42"/>
      <c r="T22" s="42"/>
      <c r="U22" s="42"/>
      <c r="V22" s="42"/>
      <c r="W22" s="42"/>
      <c r="X22" s="42"/>
      <c r="Y22" s="42"/>
      <c r="Z22" s="42"/>
      <c r="AA22" s="42"/>
      <c r="AB22" s="42"/>
      <c r="AC22" s="42"/>
      <c r="AD22" s="42"/>
      <c r="AE22" s="42"/>
      <c r="AF22" s="42"/>
      <c r="AG22" s="42"/>
      <c r="AH22" s="42"/>
      <c r="AI22" s="42"/>
      <c r="AJ22" s="42"/>
      <c r="AK22" s="42"/>
      <c r="AL22" s="42"/>
      <c r="AM22" s="42"/>
      <c r="AN22" s="42"/>
    </row>
    <row r="23" spans="1:40" hidden="1" x14ac:dyDescent="0.25">
      <c r="A23" s="320"/>
      <c r="B23" s="321"/>
      <c r="C23" s="321"/>
      <c r="D23" s="321"/>
      <c r="E23" s="321"/>
      <c r="F23" s="321"/>
      <c r="G23" s="323"/>
      <c r="H23" s="254"/>
      <c r="I23" s="342"/>
      <c r="J23" s="323"/>
      <c r="K23" s="323"/>
      <c r="L23" s="323"/>
      <c r="M23" s="323"/>
      <c r="N23" s="324"/>
      <c r="O23" s="343"/>
      <c r="P23" s="321"/>
      <c r="Q23" s="321"/>
      <c r="R23" s="297"/>
      <c r="S23" s="42"/>
      <c r="T23" s="42"/>
      <c r="U23" s="42"/>
      <c r="V23" s="42"/>
      <c r="W23" s="42"/>
      <c r="X23" s="42"/>
      <c r="Y23" s="42"/>
      <c r="Z23" s="42"/>
      <c r="AA23" s="42"/>
      <c r="AB23" s="42"/>
      <c r="AC23" s="42"/>
      <c r="AD23" s="42"/>
      <c r="AE23" s="42"/>
      <c r="AF23" s="42"/>
      <c r="AG23" s="42"/>
      <c r="AH23" s="42"/>
      <c r="AI23" s="42"/>
      <c r="AJ23" s="42"/>
      <c r="AK23" s="42"/>
      <c r="AL23" s="42"/>
      <c r="AM23" s="42"/>
      <c r="AN23" s="42"/>
    </row>
    <row r="24" spans="1:40" hidden="1" x14ac:dyDescent="0.25">
      <c r="A24" s="320"/>
      <c r="B24" s="321"/>
      <c r="C24" s="321"/>
      <c r="D24" s="321"/>
      <c r="E24" s="321"/>
      <c r="F24" s="321"/>
      <c r="G24" s="323"/>
      <c r="H24" s="254"/>
      <c r="I24" s="342"/>
      <c r="J24" s="323"/>
      <c r="K24" s="323"/>
      <c r="L24" s="323"/>
      <c r="M24" s="323"/>
      <c r="N24" s="324"/>
      <c r="O24" s="343"/>
      <c r="P24" s="321"/>
      <c r="Q24" s="321"/>
      <c r="R24" s="297"/>
      <c r="S24" s="42"/>
      <c r="T24" s="42"/>
      <c r="U24" s="42"/>
      <c r="V24" s="42"/>
      <c r="W24" s="42"/>
      <c r="X24" s="42"/>
      <c r="Y24" s="42"/>
      <c r="Z24" s="42"/>
      <c r="AA24" s="42"/>
      <c r="AB24" s="42"/>
      <c r="AC24" s="42"/>
      <c r="AD24" s="42"/>
      <c r="AE24" s="42"/>
      <c r="AF24" s="42"/>
      <c r="AG24" s="42"/>
      <c r="AH24" s="42"/>
      <c r="AI24" s="42"/>
      <c r="AJ24" s="42"/>
      <c r="AK24" s="42"/>
      <c r="AL24" s="42"/>
      <c r="AM24" s="42"/>
      <c r="AN24" s="42"/>
    </row>
    <row r="25" spans="1:40" hidden="1" x14ac:dyDescent="0.25">
      <c r="A25" s="320"/>
      <c r="B25" s="321"/>
      <c r="C25" s="321"/>
      <c r="D25" s="321"/>
      <c r="E25" s="321"/>
      <c r="F25" s="321"/>
      <c r="G25" s="323"/>
      <c r="H25" s="254"/>
      <c r="I25" s="342"/>
      <c r="J25" s="323"/>
      <c r="K25" s="323"/>
      <c r="L25" s="323"/>
      <c r="M25" s="323"/>
      <c r="N25" s="324"/>
      <c r="O25" s="343"/>
      <c r="P25" s="321"/>
      <c r="Q25" s="321"/>
      <c r="R25" s="297"/>
      <c r="S25" s="42"/>
      <c r="T25" s="42"/>
      <c r="U25" s="42"/>
      <c r="V25" s="42"/>
      <c r="W25" s="42"/>
      <c r="X25" s="42"/>
      <c r="Y25" s="42"/>
      <c r="Z25" s="42"/>
      <c r="AA25" s="42"/>
      <c r="AB25" s="42"/>
      <c r="AC25" s="42"/>
      <c r="AD25" s="42"/>
      <c r="AE25" s="42"/>
      <c r="AF25" s="42"/>
      <c r="AG25" s="42"/>
      <c r="AH25" s="42"/>
      <c r="AI25" s="42"/>
      <c r="AJ25" s="42"/>
      <c r="AK25" s="42"/>
      <c r="AL25" s="42"/>
      <c r="AM25" s="42"/>
      <c r="AN25" s="42"/>
    </row>
    <row r="26" spans="1:40" hidden="1" x14ac:dyDescent="0.25">
      <c r="A26" s="320"/>
      <c r="B26" s="321"/>
      <c r="C26" s="321"/>
      <c r="D26" s="321"/>
      <c r="E26" s="321"/>
      <c r="F26" s="321"/>
      <c r="G26" s="323"/>
      <c r="H26" s="254"/>
      <c r="I26" s="342"/>
      <c r="J26" s="323"/>
      <c r="K26" s="323"/>
      <c r="L26" s="323"/>
      <c r="M26" s="323"/>
      <c r="N26" s="324"/>
      <c r="O26" s="343"/>
      <c r="P26" s="321"/>
      <c r="Q26" s="321"/>
      <c r="R26" s="297"/>
      <c r="S26" s="42"/>
      <c r="T26" s="42"/>
      <c r="U26" s="42"/>
      <c r="V26" s="42"/>
      <c r="W26" s="42"/>
      <c r="X26" s="42"/>
      <c r="Y26" s="42"/>
      <c r="Z26" s="42"/>
      <c r="AA26" s="42"/>
      <c r="AB26" s="42"/>
      <c r="AC26" s="42"/>
      <c r="AD26" s="42"/>
      <c r="AE26" s="42"/>
      <c r="AF26" s="42"/>
      <c r="AG26" s="42"/>
      <c r="AH26" s="42"/>
      <c r="AI26" s="42"/>
      <c r="AJ26" s="42"/>
      <c r="AK26" s="42"/>
      <c r="AL26" s="42"/>
      <c r="AM26" s="42"/>
      <c r="AN26" s="42"/>
    </row>
    <row r="27" spans="1:40" x14ac:dyDescent="0.25">
      <c r="A27" s="320"/>
      <c r="B27" s="321"/>
      <c r="C27" s="321"/>
      <c r="D27" s="321"/>
      <c r="E27" s="321"/>
      <c r="F27" s="321"/>
      <c r="G27" s="323"/>
      <c r="H27" s="323"/>
      <c r="I27" s="323"/>
      <c r="J27" s="323"/>
      <c r="K27" s="323"/>
      <c r="L27" s="323"/>
      <c r="M27" s="323"/>
      <c r="N27" s="324"/>
      <c r="O27" s="343"/>
      <c r="P27" s="321"/>
      <c r="Q27" s="321"/>
      <c r="R27" s="297"/>
      <c r="S27" s="42"/>
      <c r="T27" s="42"/>
      <c r="U27" s="42"/>
      <c r="V27" s="42"/>
      <c r="W27" s="42"/>
      <c r="X27" s="42"/>
      <c r="Y27" s="42"/>
      <c r="Z27" s="42"/>
      <c r="AA27" s="42"/>
      <c r="AB27" s="42"/>
      <c r="AC27" s="42"/>
      <c r="AD27" s="42"/>
      <c r="AE27" s="42"/>
      <c r="AF27" s="42"/>
      <c r="AG27" s="42"/>
      <c r="AH27" s="42"/>
      <c r="AI27" s="42"/>
      <c r="AJ27" s="42"/>
      <c r="AK27" s="42"/>
      <c r="AL27" s="42"/>
      <c r="AM27" s="42"/>
      <c r="AN27" s="42"/>
    </row>
    <row r="28" spans="1:40" hidden="1" x14ac:dyDescent="0.25">
      <c r="A28" s="320"/>
      <c r="B28" s="321"/>
      <c r="C28" s="321"/>
      <c r="D28" s="321"/>
      <c r="E28" s="323"/>
      <c r="F28" s="323"/>
      <c r="G28" s="323"/>
      <c r="H28" s="323"/>
      <c r="I28" s="323"/>
      <c r="J28" s="323"/>
      <c r="K28" s="323"/>
      <c r="L28" s="323"/>
      <c r="M28" s="323"/>
      <c r="N28" s="320"/>
      <c r="O28" s="321"/>
      <c r="P28" s="321"/>
      <c r="Q28" s="321"/>
      <c r="R28" s="297"/>
      <c r="S28" s="42"/>
      <c r="T28" s="42"/>
      <c r="U28" s="42"/>
      <c r="V28" s="42"/>
      <c r="W28" s="42"/>
      <c r="X28" s="42"/>
      <c r="Y28" s="42"/>
      <c r="Z28" s="42"/>
      <c r="AA28" s="42"/>
      <c r="AB28" s="42"/>
      <c r="AC28" s="42"/>
      <c r="AD28" s="42"/>
      <c r="AE28" s="42"/>
      <c r="AF28" s="42"/>
      <c r="AG28" s="42"/>
      <c r="AH28" s="42"/>
      <c r="AI28" s="42"/>
      <c r="AJ28" s="42"/>
      <c r="AK28" s="42"/>
      <c r="AL28" s="42"/>
      <c r="AM28" s="42"/>
      <c r="AN28" s="42"/>
    </row>
    <row r="29" spans="1:40" x14ac:dyDescent="0.25">
      <c r="A29" s="281" t="s">
        <v>915</v>
      </c>
      <c r="B29" s="283" t="s">
        <v>927</v>
      </c>
      <c r="C29" s="282"/>
      <c r="D29" s="282"/>
      <c r="E29" s="326"/>
      <c r="F29" s="326"/>
      <c r="G29" s="326"/>
      <c r="H29" s="326"/>
      <c r="I29" s="326"/>
      <c r="J29" s="326"/>
      <c r="K29" s="326"/>
      <c r="L29" s="326"/>
      <c r="M29" s="326"/>
      <c r="N29" s="320"/>
      <c r="O29" s="321"/>
      <c r="P29" s="321"/>
      <c r="Q29" s="321"/>
      <c r="R29" s="297"/>
      <c r="S29" s="42"/>
      <c r="T29" s="42"/>
      <c r="U29" s="42"/>
      <c r="V29" s="42"/>
      <c r="W29" s="42"/>
      <c r="X29" s="42"/>
      <c r="Y29" s="42"/>
      <c r="Z29" s="42"/>
      <c r="AA29" s="42"/>
      <c r="AB29" s="42"/>
      <c r="AC29" s="42"/>
      <c r="AD29" s="42"/>
      <c r="AE29" s="42"/>
      <c r="AF29" s="42"/>
      <c r="AG29" s="42"/>
      <c r="AH29" s="42"/>
      <c r="AI29" s="42"/>
      <c r="AJ29" s="42"/>
      <c r="AK29" s="42"/>
      <c r="AL29" s="42"/>
      <c r="AM29" s="42"/>
      <c r="AN29" s="42"/>
    </row>
    <row r="30" spans="1:40" x14ac:dyDescent="0.25">
      <c r="A30" s="320"/>
      <c r="B30" s="321"/>
      <c r="C30" s="321"/>
      <c r="D30" s="321"/>
      <c r="E30" s="325"/>
      <c r="F30" s="325"/>
      <c r="G30" s="325"/>
      <c r="H30" s="325"/>
      <c r="I30" s="325"/>
      <c r="J30" s="325"/>
      <c r="K30" s="325"/>
      <c r="L30" s="325"/>
      <c r="M30" s="325"/>
      <c r="N30" s="320"/>
      <c r="O30" s="321"/>
      <c r="P30" s="321"/>
      <c r="Q30" s="321"/>
      <c r="R30" s="297"/>
      <c r="S30" s="42"/>
      <c r="T30" s="42"/>
      <c r="U30" s="432"/>
      <c r="V30" s="42"/>
      <c r="W30" s="42"/>
      <c r="X30" s="42"/>
      <c r="Y30" s="42"/>
      <c r="Z30" s="42"/>
      <c r="AA30" s="42"/>
      <c r="AB30" s="42"/>
      <c r="AC30" s="42"/>
      <c r="AD30" s="42"/>
      <c r="AE30" s="42"/>
      <c r="AF30" s="42"/>
      <c r="AG30" s="42"/>
      <c r="AH30" s="42"/>
      <c r="AI30" s="42"/>
      <c r="AJ30" s="42"/>
      <c r="AK30" s="42"/>
      <c r="AL30" s="42"/>
      <c r="AM30" s="42"/>
      <c r="AN30" s="42"/>
    </row>
    <row r="31" spans="1:40" ht="186" customHeight="1" x14ac:dyDescent="0.25">
      <c r="A31" s="320"/>
      <c r="B31" s="321"/>
      <c r="C31" s="321"/>
      <c r="D31" s="321"/>
      <c r="E31" s="637"/>
      <c r="F31" s="637"/>
      <c r="G31" s="637"/>
      <c r="H31" s="637"/>
      <c r="I31" s="637"/>
      <c r="J31" s="637"/>
      <c r="K31" s="637"/>
      <c r="L31" s="637"/>
      <c r="M31" s="637"/>
      <c r="N31" s="320"/>
      <c r="O31" s="321"/>
      <c r="P31" s="321"/>
      <c r="Q31" s="321"/>
      <c r="R31" s="297"/>
      <c r="S31" s="42"/>
      <c r="T31" s="42"/>
      <c r="U31" s="42"/>
      <c r="V31" s="42"/>
      <c r="W31" s="42"/>
      <c r="X31" s="42"/>
      <c r="Y31" s="42"/>
      <c r="Z31" s="42"/>
      <c r="AA31" s="42"/>
      <c r="AB31" s="42"/>
      <c r="AC31" s="42"/>
      <c r="AD31" s="42"/>
      <c r="AE31" s="42"/>
      <c r="AF31" s="42"/>
      <c r="AG31" s="42"/>
      <c r="AH31" s="42"/>
      <c r="AI31" s="42"/>
      <c r="AJ31" s="42"/>
      <c r="AK31" s="42"/>
      <c r="AL31" s="42"/>
      <c r="AM31" s="42"/>
      <c r="AN31" s="42"/>
    </row>
    <row r="32" spans="1:40" x14ac:dyDescent="0.25">
      <c r="A32" s="320"/>
      <c r="B32" s="321"/>
      <c r="C32" s="321"/>
      <c r="D32" s="321"/>
      <c r="E32" s="325"/>
      <c r="F32" s="325"/>
      <c r="G32" s="325"/>
      <c r="H32" s="325"/>
      <c r="I32" s="325"/>
      <c r="J32" s="325"/>
      <c r="K32" s="325"/>
      <c r="L32" s="325"/>
      <c r="M32" s="325"/>
      <c r="N32" s="320"/>
      <c r="O32" s="321"/>
      <c r="P32" s="321"/>
      <c r="Q32" s="321"/>
      <c r="R32" s="297"/>
      <c r="S32" s="42"/>
      <c r="T32" s="42"/>
      <c r="U32" s="42"/>
      <c r="V32" s="42"/>
      <c r="W32" s="42"/>
      <c r="X32" s="42"/>
      <c r="Y32" s="42"/>
      <c r="Z32" s="42"/>
      <c r="AA32" s="42"/>
      <c r="AB32" s="42"/>
      <c r="AC32" s="42"/>
      <c r="AD32" s="42"/>
      <c r="AE32" s="42"/>
      <c r="AF32" s="42"/>
      <c r="AG32" s="42"/>
      <c r="AH32" s="42"/>
      <c r="AI32" s="42"/>
      <c r="AJ32" s="42"/>
      <c r="AK32" s="42"/>
      <c r="AL32" s="42"/>
      <c r="AM32" s="42"/>
      <c r="AN32" s="42"/>
    </row>
    <row r="33" spans="1:40" x14ac:dyDescent="0.25">
      <c r="A33" s="281" t="s">
        <v>912</v>
      </c>
      <c r="B33" s="630" t="s">
        <v>909</v>
      </c>
      <c r="C33" s="630"/>
      <c r="D33" s="631"/>
      <c r="E33" s="634" t="s">
        <v>1143</v>
      </c>
      <c r="F33" s="635"/>
      <c r="G33" s="635"/>
      <c r="H33" s="635"/>
      <c r="I33" s="635"/>
      <c r="J33" s="635"/>
      <c r="K33" s="635"/>
      <c r="L33" s="635"/>
      <c r="M33" s="635"/>
      <c r="N33" s="636"/>
      <c r="O33" s="321"/>
      <c r="P33" s="321"/>
      <c r="Q33" s="321"/>
      <c r="R33" s="297"/>
      <c r="S33" s="42"/>
      <c r="T33" s="42"/>
      <c r="U33" s="42"/>
      <c r="V33" s="42"/>
      <c r="W33" s="42"/>
      <c r="X33" s="42"/>
      <c r="Y33" s="42"/>
      <c r="Z33" s="42"/>
      <c r="AA33" s="42"/>
      <c r="AB33" s="42"/>
      <c r="AC33" s="42"/>
      <c r="AD33" s="42"/>
      <c r="AE33" s="42"/>
      <c r="AF33" s="42"/>
      <c r="AG33" s="42"/>
      <c r="AH33" s="42"/>
      <c r="AI33" s="42"/>
      <c r="AJ33" s="42"/>
      <c r="AK33" s="42"/>
      <c r="AL33" s="42"/>
      <c r="AM33" s="42"/>
      <c r="AN33" s="42"/>
    </row>
    <row r="34" spans="1:40" x14ac:dyDescent="0.25">
      <c r="A34" s="320"/>
      <c r="B34" s="321"/>
      <c r="C34" s="321"/>
      <c r="D34" s="321"/>
      <c r="E34" s="325"/>
      <c r="F34" s="325"/>
      <c r="G34" s="325"/>
      <c r="H34" s="325"/>
      <c r="I34" s="325"/>
      <c r="J34" s="325"/>
      <c r="K34" s="325"/>
      <c r="L34" s="325"/>
      <c r="M34" s="325"/>
      <c r="N34" s="320"/>
      <c r="O34" s="321"/>
      <c r="P34" s="321"/>
      <c r="Q34" s="321"/>
      <c r="R34" s="297"/>
      <c r="S34" s="42"/>
      <c r="T34" s="42"/>
      <c r="U34" s="42"/>
      <c r="V34" s="42"/>
      <c r="W34" s="42"/>
      <c r="X34" s="42"/>
      <c r="Y34" s="42"/>
      <c r="Z34" s="42"/>
      <c r="AA34" s="42"/>
      <c r="AB34" s="42"/>
      <c r="AC34" s="42"/>
      <c r="AD34" s="42"/>
      <c r="AE34" s="42"/>
      <c r="AF34" s="42"/>
      <c r="AG34" s="42"/>
      <c r="AH34" s="42"/>
      <c r="AI34" s="42"/>
      <c r="AJ34" s="42"/>
      <c r="AK34" s="42"/>
      <c r="AL34" s="42"/>
      <c r="AM34" s="42"/>
      <c r="AN34" s="42"/>
    </row>
    <row r="35" spans="1:40" hidden="1" x14ac:dyDescent="0.25">
      <c r="A35" s="320"/>
      <c r="B35" s="321"/>
      <c r="C35" s="321"/>
      <c r="D35" s="321"/>
      <c r="E35" s="326"/>
      <c r="F35" s="326"/>
      <c r="G35" s="326"/>
      <c r="H35" s="326"/>
      <c r="I35" s="326"/>
      <c r="J35" s="326"/>
      <c r="K35" s="326"/>
      <c r="L35" s="326"/>
      <c r="M35" s="326"/>
      <c r="N35" s="320"/>
      <c r="O35" s="321"/>
      <c r="P35" s="321"/>
      <c r="Q35" s="321"/>
      <c r="R35" s="297"/>
      <c r="S35" s="42"/>
      <c r="T35" s="42"/>
      <c r="U35" s="432"/>
      <c r="V35" s="42"/>
      <c r="W35" s="42"/>
      <c r="X35" s="42"/>
      <c r="Y35" s="42"/>
      <c r="Z35" s="42"/>
      <c r="AA35" s="42"/>
      <c r="AB35" s="42"/>
      <c r="AC35" s="42"/>
      <c r="AD35" s="42"/>
      <c r="AE35" s="42"/>
      <c r="AF35" s="42"/>
      <c r="AG35" s="42"/>
      <c r="AH35" s="42"/>
      <c r="AI35" s="42"/>
      <c r="AJ35" s="42"/>
      <c r="AK35" s="42"/>
      <c r="AL35" s="42"/>
      <c r="AM35" s="42"/>
      <c r="AN35" s="42"/>
    </row>
    <row r="36" spans="1:40" hidden="1" x14ac:dyDescent="0.25">
      <c r="A36" s="320"/>
      <c r="B36" s="321"/>
      <c r="C36" s="321"/>
      <c r="D36" s="331"/>
      <c r="E36" s="332"/>
      <c r="F36" s="331"/>
      <c r="G36" s="331"/>
      <c r="H36" s="331"/>
      <c r="I36" s="321"/>
      <c r="J36" s="321"/>
      <c r="K36" s="321"/>
      <c r="L36" s="321"/>
      <c r="M36" s="321"/>
      <c r="N36" s="320"/>
      <c r="O36" s="321"/>
      <c r="P36" s="321"/>
      <c r="Q36" s="321"/>
      <c r="R36" s="297"/>
      <c r="S36" s="42"/>
      <c r="T36" s="42"/>
      <c r="U36" s="42"/>
      <c r="V36" s="42"/>
      <c r="W36" s="42"/>
      <c r="X36" s="42"/>
      <c r="Y36" s="42"/>
      <c r="Z36" s="42"/>
      <c r="AA36" s="42"/>
      <c r="AB36" s="42"/>
      <c r="AC36" s="42"/>
      <c r="AD36" s="42"/>
      <c r="AE36" s="42"/>
      <c r="AF36" s="42"/>
      <c r="AG36" s="42"/>
      <c r="AH36" s="42"/>
      <c r="AI36" s="42"/>
      <c r="AJ36" s="42"/>
      <c r="AK36" s="42"/>
      <c r="AL36" s="42"/>
      <c r="AM36" s="42"/>
      <c r="AN36" s="42"/>
    </row>
    <row r="37" spans="1:40" hidden="1" x14ac:dyDescent="0.25">
      <c r="A37" s="328"/>
      <c r="B37" s="329"/>
      <c r="C37" s="329"/>
      <c r="D37" s="330"/>
      <c r="E37" s="333"/>
      <c r="F37" s="333"/>
      <c r="G37" s="331"/>
      <c r="H37" s="331"/>
      <c r="I37" s="321"/>
      <c r="J37" s="321"/>
      <c r="K37" s="321"/>
      <c r="L37" s="321"/>
      <c r="M37" s="321"/>
      <c r="N37" s="320"/>
      <c r="O37" s="321"/>
      <c r="P37" s="321"/>
      <c r="Q37" s="321"/>
      <c r="R37" s="297"/>
      <c r="S37" s="42"/>
      <c r="T37" s="42"/>
      <c r="U37" s="42"/>
      <c r="V37" s="42"/>
      <c r="W37" s="42"/>
      <c r="X37" s="42"/>
      <c r="Y37" s="42"/>
      <c r="Z37" s="42"/>
      <c r="AA37" s="42"/>
      <c r="AB37" s="42"/>
      <c r="AC37" s="42"/>
      <c r="AD37" s="42"/>
      <c r="AE37" s="42"/>
      <c r="AF37" s="42"/>
      <c r="AG37" s="42"/>
      <c r="AH37" s="42"/>
      <c r="AI37" s="42"/>
      <c r="AJ37" s="42"/>
      <c r="AK37" s="42"/>
      <c r="AL37" s="42"/>
      <c r="AM37" s="42"/>
      <c r="AN37" s="42"/>
    </row>
    <row r="38" spans="1:40" hidden="1" x14ac:dyDescent="0.25">
      <c r="A38" s="328"/>
      <c r="B38" s="329"/>
      <c r="C38" s="329"/>
      <c r="D38" s="330"/>
      <c r="E38" s="334"/>
      <c r="F38" s="335"/>
      <c r="G38" s="331"/>
      <c r="H38" s="331"/>
      <c r="I38" s="321"/>
      <c r="J38" s="321"/>
      <c r="K38" s="321"/>
      <c r="L38" s="321"/>
      <c r="M38" s="321"/>
      <c r="N38" s="320"/>
      <c r="O38" s="321"/>
      <c r="P38" s="321"/>
      <c r="Q38" s="321"/>
      <c r="R38" s="297"/>
      <c r="S38" s="42"/>
      <c r="T38" s="42"/>
      <c r="U38" s="42"/>
      <c r="V38" s="42"/>
      <c r="W38" s="42"/>
      <c r="X38" s="42"/>
      <c r="Y38" s="42"/>
      <c r="Z38" s="42"/>
      <c r="AA38" s="42"/>
      <c r="AB38" s="42"/>
      <c r="AC38" s="42"/>
      <c r="AD38" s="42"/>
      <c r="AE38" s="42"/>
      <c r="AF38" s="42"/>
      <c r="AG38" s="42"/>
      <c r="AH38" s="42"/>
      <c r="AI38" s="42"/>
      <c r="AJ38" s="42"/>
      <c r="AK38" s="42"/>
      <c r="AL38" s="42"/>
      <c r="AM38" s="42"/>
      <c r="AN38" s="42"/>
    </row>
    <row r="39" spans="1:40" hidden="1" x14ac:dyDescent="0.25">
      <c r="A39" s="328"/>
      <c r="B39" s="329"/>
      <c r="C39" s="329"/>
      <c r="D39" s="330"/>
      <c r="E39" s="336"/>
      <c r="F39" s="331"/>
      <c r="G39" s="331"/>
      <c r="H39" s="331"/>
      <c r="I39" s="321"/>
      <c r="J39" s="321"/>
      <c r="K39" s="321"/>
      <c r="L39" s="321"/>
      <c r="M39" s="321"/>
      <c r="N39" s="320"/>
      <c r="O39" s="321"/>
      <c r="P39" s="321"/>
      <c r="Q39" s="321"/>
      <c r="R39" s="297"/>
      <c r="S39" s="42"/>
      <c r="T39" s="42"/>
      <c r="U39" s="42"/>
      <c r="V39" s="42"/>
      <c r="W39" s="42"/>
      <c r="X39" s="42"/>
      <c r="Y39" s="42"/>
      <c r="Z39" s="42"/>
      <c r="AA39" s="42"/>
      <c r="AB39" s="42"/>
      <c r="AC39" s="42"/>
      <c r="AD39" s="42"/>
      <c r="AE39" s="42"/>
      <c r="AF39" s="42"/>
      <c r="AG39" s="42"/>
      <c r="AH39" s="42"/>
      <c r="AI39" s="42"/>
      <c r="AJ39" s="42"/>
      <c r="AK39" s="42"/>
      <c r="AL39" s="42"/>
      <c r="AM39" s="42"/>
      <c r="AN39" s="42"/>
    </row>
    <row r="40" spans="1:40" hidden="1" x14ac:dyDescent="0.25">
      <c r="A40" s="328"/>
      <c r="B40" s="329"/>
      <c r="C40" s="329"/>
      <c r="D40" s="330"/>
      <c r="E40" s="334"/>
      <c r="F40" s="331"/>
      <c r="G40" s="331"/>
      <c r="H40" s="331"/>
      <c r="I40" s="321"/>
      <c r="J40" s="321"/>
      <c r="K40" s="321"/>
      <c r="L40" s="321"/>
      <c r="M40" s="321"/>
      <c r="N40" s="320"/>
      <c r="O40" s="321"/>
      <c r="P40" s="321"/>
      <c r="Q40" s="321"/>
      <c r="R40" s="297"/>
      <c r="S40" s="42"/>
      <c r="T40" s="42"/>
      <c r="U40" s="42"/>
      <c r="V40" s="42"/>
      <c r="W40" s="42"/>
      <c r="X40" s="42"/>
      <c r="Y40" s="42"/>
      <c r="Z40" s="42"/>
      <c r="AA40" s="42"/>
      <c r="AB40" s="42"/>
      <c r="AC40" s="42"/>
      <c r="AD40" s="42"/>
      <c r="AE40" s="42"/>
      <c r="AF40" s="42"/>
      <c r="AG40" s="42"/>
      <c r="AH40" s="42"/>
      <c r="AI40" s="42"/>
      <c r="AJ40" s="42"/>
      <c r="AK40" s="42"/>
      <c r="AL40" s="42"/>
      <c r="AM40" s="42"/>
      <c r="AN40" s="42"/>
    </row>
    <row r="41" spans="1:40" hidden="1" x14ac:dyDescent="0.25">
      <c r="A41" s="328"/>
      <c r="B41" s="329"/>
      <c r="C41" s="329"/>
      <c r="D41" s="330"/>
      <c r="E41" s="337"/>
      <c r="F41" s="331"/>
      <c r="G41" s="331"/>
      <c r="H41" s="331"/>
      <c r="I41" s="321"/>
      <c r="J41" s="321"/>
      <c r="K41" s="321"/>
      <c r="L41" s="321"/>
      <c r="M41" s="321"/>
      <c r="N41" s="320"/>
      <c r="O41" s="321"/>
      <c r="P41" s="321"/>
      <c r="Q41" s="321"/>
      <c r="R41" s="297"/>
      <c r="S41" s="42"/>
      <c r="T41" s="42"/>
      <c r="U41" s="42"/>
      <c r="V41" s="42"/>
      <c r="W41" s="42"/>
      <c r="X41" s="42"/>
      <c r="Y41" s="42"/>
      <c r="Z41" s="42"/>
      <c r="AA41" s="42"/>
      <c r="AB41" s="42"/>
      <c r="AC41" s="42"/>
      <c r="AD41" s="42"/>
      <c r="AE41" s="42"/>
      <c r="AF41" s="42"/>
      <c r="AG41" s="42"/>
      <c r="AH41" s="42"/>
      <c r="AI41" s="42"/>
      <c r="AJ41" s="42"/>
      <c r="AK41" s="42"/>
      <c r="AL41" s="42"/>
      <c r="AM41" s="42"/>
      <c r="AN41" s="42"/>
    </row>
    <row r="42" spans="1:40" hidden="1" x14ac:dyDescent="0.25">
      <c r="A42" s="328"/>
      <c r="B42" s="321"/>
      <c r="C42" s="329"/>
      <c r="D42" s="330"/>
      <c r="E42" s="321"/>
      <c r="F42" s="331"/>
      <c r="G42" s="331"/>
      <c r="H42" s="331"/>
      <c r="I42" s="321"/>
      <c r="J42" s="321"/>
      <c r="K42" s="321"/>
      <c r="L42" s="321"/>
      <c r="M42" s="321"/>
      <c r="N42" s="320"/>
      <c r="O42" s="321"/>
      <c r="P42" s="321"/>
      <c r="Q42" s="321"/>
      <c r="R42" s="297"/>
      <c r="S42" s="42"/>
      <c r="T42" s="42"/>
      <c r="U42" s="42"/>
      <c r="V42" s="42"/>
      <c r="W42" s="42"/>
      <c r="X42" s="42"/>
      <c r="Y42" s="42"/>
      <c r="Z42" s="42"/>
      <c r="AA42" s="42"/>
      <c r="AB42" s="42"/>
      <c r="AC42" s="42"/>
      <c r="AD42" s="42"/>
      <c r="AE42" s="42"/>
      <c r="AF42" s="42"/>
      <c r="AG42" s="42"/>
      <c r="AH42" s="42"/>
      <c r="AI42" s="42"/>
      <c r="AJ42" s="42"/>
      <c r="AK42" s="42"/>
      <c r="AL42" s="42"/>
      <c r="AM42" s="42"/>
      <c r="AN42" s="42"/>
    </row>
    <row r="43" spans="1:40" hidden="1" x14ac:dyDescent="0.25">
      <c r="A43" s="328"/>
      <c r="B43" s="329"/>
      <c r="C43" s="329"/>
      <c r="D43" s="330"/>
      <c r="E43" s="332"/>
      <c r="F43" s="331"/>
      <c r="G43" s="331"/>
      <c r="H43" s="331"/>
      <c r="I43" s="321"/>
      <c r="J43" s="321"/>
      <c r="K43" s="321"/>
      <c r="L43" s="321"/>
      <c r="M43" s="321"/>
      <c r="N43" s="320"/>
      <c r="O43" s="321"/>
      <c r="P43" s="321"/>
      <c r="Q43" s="321"/>
      <c r="R43" s="297"/>
      <c r="S43" s="42"/>
      <c r="T43" s="42"/>
      <c r="U43" s="42"/>
      <c r="V43" s="42"/>
      <c r="W43" s="42"/>
      <c r="X43" s="42"/>
      <c r="Y43" s="42"/>
      <c r="Z43" s="42"/>
      <c r="AA43" s="42"/>
      <c r="AB43" s="42"/>
      <c r="AC43" s="42"/>
      <c r="AD43" s="42"/>
      <c r="AE43" s="42"/>
      <c r="AF43" s="42"/>
      <c r="AG43" s="42"/>
      <c r="AH43" s="42"/>
      <c r="AI43" s="42"/>
      <c r="AJ43" s="42"/>
      <c r="AK43" s="42"/>
      <c r="AL43" s="42"/>
      <c r="AM43" s="42"/>
      <c r="AN43" s="42"/>
    </row>
    <row r="44" spans="1:40" hidden="1" x14ac:dyDescent="0.25">
      <c r="A44" s="328"/>
      <c r="B44" s="329"/>
      <c r="C44" s="329"/>
      <c r="D44" s="330"/>
      <c r="E44" s="332"/>
      <c r="F44" s="331"/>
      <c r="G44" s="331"/>
      <c r="H44" s="331"/>
      <c r="I44" s="321"/>
      <c r="J44" s="321"/>
      <c r="K44" s="321"/>
      <c r="L44" s="321"/>
      <c r="M44" s="321"/>
      <c r="N44" s="320"/>
      <c r="O44" s="321"/>
      <c r="P44" s="321"/>
      <c r="Q44" s="321"/>
      <c r="R44" s="297"/>
      <c r="S44" s="42"/>
      <c r="T44" s="42"/>
      <c r="U44" s="42"/>
      <c r="V44" s="42"/>
      <c r="W44" s="42"/>
      <c r="X44" s="42"/>
      <c r="Y44" s="42"/>
      <c r="Z44" s="42"/>
      <c r="AA44" s="42"/>
      <c r="AB44" s="42"/>
      <c r="AC44" s="42"/>
      <c r="AD44" s="42"/>
      <c r="AE44" s="42"/>
      <c r="AF44" s="42"/>
      <c r="AG44" s="42"/>
      <c r="AH44" s="42"/>
      <c r="AI44" s="42"/>
      <c r="AJ44" s="42"/>
      <c r="AK44" s="42"/>
      <c r="AL44" s="42"/>
      <c r="AM44" s="42"/>
      <c r="AN44" s="42"/>
    </row>
    <row r="45" spans="1:40" hidden="1" x14ac:dyDescent="0.25">
      <c r="A45" s="328"/>
      <c r="B45" s="329"/>
      <c r="C45" s="329"/>
      <c r="D45" s="330"/>
      <c r="E45" s="332"/>
      <c r="F45" s="331"/>
      <c r="G45" s="331"/>
      <c r="H45" s="331"/>
      <c r="I45" s="321"/>
      <c r="J45" s="321"/>
      <c r="K45" s="321"/>
      <c r="L45" s="321"/>
      <c r="M45" s="321"/>
      <c r="N45" s="320"/>
      <c r="O45" s="321"/>
      <c r="P45" s="321"/>
      <c r="Q45" s="321"/>
      <c r="R45" s="297"/>
      <c r="S45" s="42"/>
      <c r="T45" s="42"/>
      <c r="U45" s="42"/>
      <c r="V45" s="42"/>
      <c r="W45" s="42"/>
      <c r="X45" s="42"/>
      <c r="Y45" s="42"/>
      <c r="Z45" s="42"/>
      <c r="AA45" s="42"/>
      <c r="AB45" s="42"/>
      <c r="AC45" s="42"/>
      <c r="AD45" s="42"/>
      <c r="AE45" s="42"/>
      <c r="AF45" s="42"/>
      <c r="AG45" s="42"/>
      <c r="AH45" s="42"/>
      <c r="AI45" s="42"/>
      <c r="AJ45" s="42"/>
      <c r="AK45" s="42"/>
      <c r="AL45" s="42"/>
      <c r="AM45" s="42"/>
      <c r="AN45" s="42"/>
    </row>
    <row r="46" spans="1:40" hidden="1" x14ac:dyDescent="0.25">
      <c r="A46" s="328"/>
      <c r="B46" s="329"/>
      <c r="C46" s="329"/>
      <c r="D46" s="330"/>
      <c r="E46" s="332"/>
      <c r="F46" s="331"/>
      <c r="G46" s="331"/>
      <c r="H46" s="331"/>
      <c r="I46" s="321"/>
      <c r="J46" s="321"/>
      <c r="K46" s="321"/>
      <c r="L46" s="321"/>
      <c r="M46" s="321"/>
      <c r="N46" s="320"/>
      <c r="O46" s="321"/>
      <c r="P46" s="321"/>
      <c r="Q46" s="321"/>
      <c r="R46" s="297"/>
      <c r="S46" s="42"/>
      <c r="T46" s="42"/>
      <c r="U46" s="42"/>
      <c r="V46" s="42"/>
      <c r="W46" s="42"/>
      <c r="X46" s="42"/>
      <c r="Y46" s="42"/>
      <c r="Z46" s="42"/>
      <c r="AA46" s="42"/>
      <c r="AB46" s="42"/>
      <c r="AC46" s="42"/>
      <c r="AD46" s="42"/>
      <c r="AE46" s="42"/>
      <c r="AF46" s="42"/>
      <c r="AG46" s="42"/>
      <c r="AH46" s="42"/>
      <c r="AI46" s="42"/>
      <c r="AJ46" s="42"/>
      <c r="AK46" s="42"/>
      <c r="AL46" s="42"/>
      <c r="AM46" s="42"/>
      <c r="AN46" s="42"/>
    </row>
    <row r="47" spans="1:40" hidden="1" x14ac:dyDescent="0.25">
      <c r="A47" s="328"/>
      <c r="B47" s="329"/>
      <c r="C47" s="329"/>
      <c r="D47" s="330"/>
      <c r="E47" s="332"/>
      <c r="F47" s="331"/>
      <c r="G47" s="331"/>
      <c r="H47" s="331"/>
      <c r="I47" s="321"/>
      <c r="J47" s="321"/>
      <c r="K47" s="321"/>
      <c r="L47" s="321"/>
      <c r="M47" s="321"/>
      <c r="N47" s="320"/>
      <c r="O47" s="321"/>
      <c r="P47" s="321"/>
      <c r="Q47" s="321"/>
      <c r="R47" s="297"/>
      <c r="S47" s="42"/>
      <c r="T47" s="42"/>
      <c r="U47" s="42"/>
      <c r="V47" s="42"/>
      <c r="W47" s="42"/>
      <c r="X47" s="42"/>
      <c r="Y47" s="42"/>
      <c r="Z47" s="42"/>
      <c r="AA47" s="42"/>
      <c r="AB47" s="42"/>
      <c r="AC47" s="42"/>
      <c r="AD47" s="42"/>
      <c r="AE47" s="42"/>
      <c r="AF47" s="42"/>
      <c r="AG47" s="42"/>
      <c r="AH47" s="42"/>
      <c r="AI47" s="42"/>
      <c r="AJ47" s="42"/>
      <c r="AK47" s="42"/>
      <c r="AL47" s="42"/>
      <c r="AM47" s="42"/>
      <c r="AN47" s="42"/>
    </row>
    <row r="48" spans="1:40" hidden="1" x14ac:dyDescent="0.25">
      <c r="A48" s="328"/>
      <c r="B48" s="329"/>
      <c r="C48" s="329"/>
      <c r="D48" s="330"/>
      <c r="E48" s="336"/>
      <c r="F48" s="331"/>
      <c r="G48" s="331"/>
      <c r="H48" s="331"/>
      <c r="I48" s="321"/>
      <c r="J48" s="321"/>
      <c r="K48" s="321"/>
      <c r="L48" s="321"/>
      <c r="M48" s="321"/>
      <c r="N48" s="320"/>
      <c r="O48" s="321"/>
      <c r="P48" s="321"/>
      <c r="Q48" s="321"/>
      <c r="R48" s="297"/>
      <c r="S48" s="42"/>
      <c r="T48" s="42"/>
      <c r="U48" s="42"/>
      <c r="V48" s="42"/>
      <c r="W48" s="42"/>
      <c r="X48" s="42"/>
      <c r="Y48" s="42"/>
      <c r="Z48" s="42"/>
      <c r="AA48" s="42"/>
      <c r="AB48" s="42"/>
      <c r="AC48" s="42"/>
      <c r="AD48" s="42"/>
      <c r="AE48" s="42"/>
      <c r="AF48" s="42"/>
      <c r="AG48" s="42"/>
      <c r="AH48" s="42"/>
      <c r="AI48" s="42"/>
      <c r="AJ48" s="42"/>
      <c r="AK48" s="42"/>
      <c r="AL48" s="42"/>
      <c r="AM48" s="42"/>
      <c r="AN48" s="42"/>
    </row>
    <row r="49" spans="1:40" ht="15.75" hidden="1" customHeight="1" x14ac:dyDescent="0.25">
      <c r="A49" s="328"/>
      <c r="B49" s="329"/>
      <c r="C49" s="329"/>
      <c r="D49" s="330"/>
      <c r="E49" s="336"/>
      <c r="F49" s="331"/>
      <c r="G49" s="331"/>
      <c r="H49" s="331"/>
      <c r="I49" s="321"/>
      <c r="J49" s="321"/>
      <c r="K49" s="321"/>
      <c r="L49" s="321"/>
      <c r="M49" s="321"/>
      <c r="N49" s="320"/>
      <c r="O49" s="321"/>
      <c r="P49" s="321"/>
      <c r="Q49" s="321"/>
      <c r="R49" s="297"/>
      <c r="S49" s="42"/>
      <c r="T49" s="42"/>
      <c r="U49" s="42"/>
      <c r="V49" s="42"/>
      <c r="W49" s="42"/>
      <c r="X49" s="42"/>
      <c r="Y49" s="42"/>
      <c r="Z49" s="42"/>
      <c r="AA49" s="42"/>
      <c r="AB49" s="42"/>
      <c r="AC49" s="42"/>
      <c r="AD49" s="42"/>
      <c r="AE49" s="42"/>
      <c r="AF49" s="42"/>
      <c r="AG49" s="42"/>
      <c r="AH49" s="42"/>
      <c r="AI49" s="42"/>
      <c r="AJ49" s="42"/>
      <c r="AK49" s="42"/>
      <c r="AL49" s="42"/>
      <c r="AM49" s="42"/>
      <c r="AN49" s="42"/>
    </row>
    <row r="50" spans="1:40" hidden="1" x14ac:dyDescent="0.25">
      <c r="A50" s="328"/>
      <c r="B50" s="329"/>
      <c r="C50" s="329"/>
      <c r="D50" s="330"/>
      <c r="E50" s="336"/>
      <c r="F50" s="331"/>
      <c r="G50" s="331"/>
      <c r="H50" s="331"/>
      <c r="I50" s="321"/>
      <c r="J50" s="321"/>
      <c r="K50" s="321"/>
      <c r="L50" s="321"/>
      <c r="M50" s="321"/>
      <c r="N50" s="320"/>
      <c r="O50" s="321"/>
      <c r="P50" s="321"/>
      <c r="Q50" s="321"/>
      <c r="R50" s="297"/>
      <c r="S50" s="42"/>
      <c r="T50" s="42"/>
      <c r="U50" s="42"/>
      <c r="V50" s="42"/>
      <c r="W50" s="42"/>
      <c r="X50" s="42"/>
      <c r="Y50" s="42"/>
      <c r="Z50" s="42"/>
      <c r="AA50" s="42"/>
      <c r="AB50" s="42"/>
      <c r="AC50" s="42"/>
      <c r="AD50" s="42"/>
      <c r="AE50" s="42"/>
      <c r="AF50" s="42"/>
      <c r="AG50" s="42"/>
      <c r="AH50" s="42"/>
      <c r="AI50" s="42"/>
      <c r="AJ50" s="42"/>
      <c r="AK50" s="42"/>
      <c r="AL50" s="42"/>
      <c r="AM50" s="42"/>
      <c r="AN50" s="42"/>
    </row>
    <row r="51" spans="1:40" hidden="1" x14ac:dyDescent="0.25">
      <c r="A51" s="320"/>
      <c r="B51" s="321"/>
      <c r="C51" s="321"/>
      <c r="D51" s="331"/>
      <c r="E51" s="332"/>
      <c r="F51" s="331"/>
      <c r="G51" s="331"/>
      <c r="H51" s="331"/>
      <c r="I51" s="321"/>
      <c r="J51" s="321"/>
      <c r="K51" s="321"/>
      <c r="L51" s="321"/>
      <c r="M51" s="321"/>
      <c r="N51" s="320"/>
      <c r="O51" s="321"/>
      <c r="P51" s="321"/>
      <c r="Q51" s="321"/>
      <c r="R51" s="297"/>
      <c r="S51" s="42"/>
      <c r="T51" s="42"/>
      <c r="U51" s="42"/>
      <c r="V51" s="42"/>
      <c r="W51" s="42"/>
      <c r="X51" s="42"/>
      <c r="Y51" s="42"/>
      <c r="Z51" s="42"/>
      <c r="AA51" s="42"/>
      <c r="AB51" s="42"/>
      <c r="AC51" s="42"/>
      <c r="AD51" s="42"/>
      <c r="AE51" s="42"/>
      <c r="AF51" s="42"/>
      <c r="AG51" s="42"/>
      <c r="AH51" s="42"/>
      <c r="AI51" s="42"/>
      <c r="AJ51" s="42"/>
      <c r="AK51" s="42"/>
      <c r="AL51" s="42"/>
      <c r="AM51" s="42"/>
      <c r="AN51" s="42"/>
    </row>
    <row r="52" spans="1:40" hidden="1" x14ac:dyDescent="0.25">
      <c r="O52" s="321"/>
      <c r="P52" s="321"/>
      <c r="Q52" s="321"/>
      <c r="R52" s="297"/>
      <c r="S52" s="42"/>
      <c r="T52" s="42"/>
      <c r="U52" s="42"/>
      <c r="V52" s="42"/>
      <c r="W52" s="42"/>
      <c r="X52" s="42"/>
      <c r="Y52" s="42"/>
      <c r="Z52" s="42"/>
      <c r="AA52" s="42"/>
      <c r="AB52" s="42"/>
      <c r="AC52" s="42"/>
      <c r="AD52" s="42"/>
      <c r="AE52" s="42"/>
      <c r="AF52" s="42"/>
      <c r="AG52" s="42"/>
      <c r="AH52" s="42"/>
      <c r="AI52" s="42"/>
      <c r="AJ52" s="42"/>
      <c r="AK52" s="42"/>
      <c r="AL52" s="42"/>
      <c r="AM52" s="42"/>
      <c r="AN52" s="42"/>
    </row>
    <row r="53" spans="1:40" hidden="1" x14ac:dyDescent="0.25">
      <c r="A53" s="320"/>
      <c r="B53" s="321"/>
      <c r="C53" s="321"/>
      <c r="D53" s="321"/>
      <c r="E53" s="322"/>
      <c r="F53" s="321"/>
      <c r="G53" s="321"/>
      <c r="H53" s="321"/>
      <c r="I53" s="321"/>
      <c r="J53" s="321"/>
      <c r="K53" s="321"/>
      <c r="L53" s="321"/>
      <c r="M53" s="321"/>
      <c r="N53" s="320"/>
      <c r="O53" s="321"/>
      <c r="P53" s="321"/>
      <c r="Q53" s="321"/>
      <c r="R53" s="297"/>
      <c r="S53" s="42"/>
      <c r="T53" s="42"/>
      <c r="U53" s="42"/>
      <c r="V53" s="42"/>
      <c r="W53" s="42"/>
      <c r="X53" s="42"/>
      <c r="Y53" s="42"/>
      <c r="Z53" s="42"/>
      <c r="AA53" s="42"/>
      <c r="AB53" s="42"/>
      <c r="AC53" s="42"/>
      <c r="AD53" s="42"/>
      <c r="AE53" s="42"/>
      <c r="AF53" s="42"/>
      <c r="AG53" s="42"/>
      <c r="AH53" s="42"/>
      <c r="AI53" s="42"/>
      <c r="AJ53" s="42"/>
      <c r="AK53" s="42"/>
      <c r="AL53" s="42"/>
      <c r="AM53" s="42"/>
      <c r="AN53" s="42"/>
    </row>
    <row r="54" spans="1:40" x14ac:dyDescent="0.25">
      <c r="A54" s="281" t="s">
        <v>910</v>
      </c>
      <c r="B54" s="283" t="s">
        <v>911</v>
      </c>
      <c r="C54" s="282"/>
      <c r="D54" s="282"/>
      <c r="E54" s="632" t="s">
        <v>928</v>
      </c>
      <c r="F54" s="632"/>
      <c r="G54" s="632"/>
      <c r="H54" s="632"/>
      <c r="I54" s="327"/>
      <c r="J54" s="638" t="s">
        <v>929</v>
      </c>
      <c r="K54" s="638"/>
      <c r="L54" s="638"/>
      <c r="M54" s="638"/>
      <c r="N54" s="320"/>
      <c r="O54" s="321"/>
      <c r="P54" s="321"/>
      <c r="Q54" s="321"/>
      <c r="R54" s="297"/>
      <c r="S54" s="42"/>
      <c r="T54" s="42"/>
      <c r="U54" s="42"/>
      <c r="V54" s="42"/>
      <c r="W54" s="42"/>
      <c r="X54" s="42"/>
      <c r="Y54" s="42"/>
      <c r="Z54" s="42"/>
      <c r="AA54" s="42"/>
      <c r="AB54" s="42"/>
      <c r="AC54" s="42"/>
      <c r="AD54" s="42"/>
      <c r="AE54" s="42"/>
      <c r="AF54" s="42"/>
      <c r="AG54" s="42"/>
      <c r="AH54" s="42"/>
      <c r="AI54" s="42"/>
      <c r="AJ54" s="42"/>
      <c r="AK54" s="42"/>
      <c r="AL54" s="42"/>
      <c r="AM54" s="42"/>
      <c r="AN54" s="42"/>
    </row>
    <row r="55" spans="1:40" x14ac:dyDescent="0.25">
      <c r="A55" s="320"/>
      <c r="B55" s="321"/>
      <c r="C55" s="321"/>
      <c r="D55" s="321"/>
      <c r="E55" s="299"/>
      <c r="F55" s="298"/>
      <c r="G55" s="298"/>
      <c r="H55" s="298"/>
      <c r="I55" s="321"/>
      <c r="J55" s="298"/>
      <c r="K55" s="298"/>
      <c r="L55" s="298"/>
      <c r="M55" s="298"/>
      <c r="N55" s="320"/>
      <c r="O55" s="321"/>
      <c r="P55" s="321"/>
      <c r="Q55" s="321"/>
      <c r="R55" s="297"/>
      <c r="S55" s="42"/>
      <c r="T55" s="42"/>
      <c r="U55" s="42"/>
      <c r="V55" s="42"/>
      <c r="W55" s="42"/>
      <c r="X55" s="42"/>
      <c r="Y55" s="42"/>
      <c r="Z55" s="42"/>
      <c r="AA55" s="42"/>
      <c r="AB55" s="42"/>
      <c r="AC55" s="42"/>
      <c r="AD55" s="42"/>
      <c r="AE55" s="42"/>
      <c r="AF55" s="42"/>
      <c r="AG55" s="42"/>
      <c r="AH55" s="42"/>
      <c r="AI55" s="42"/>
      <c r="AJ55" s="42"/>
      <c r="AK55" s="42"/>
      <c r="AL55" s="42"/>
      <c r="AM55" s="42"/>
      <c r="AN55" s="42"/>
    </row>
    <row r="56" spans="1:40" ht="21.75" customHeight="1" x14ac:dyDescent="0.25">
      <c r="A56" s="320"/>
      <c r="B56" s="321"/>
      <c r="C56" s="321"/>
      <c r="D56" s="321"/>
      <c r="E56" s="322"/>
      <c r="F56" s="321"/>
      <c r="G56" s="321"/>
      <c r="H56" s="321"/>
      <c r="I56" s="321"/>
      <c r="J56" s="321"/>
      <c r="K56" s="321"/>
      <c r="L56" s="321"/>
      <c r="M56" s="321"/>
      <c r="N56" s="320"/>
      <c r="O56" s="321"/>
      <c r="P56" s="321"/>
      <c r="Q56" s="321"/>
      <c r="R56" s="297"/>
      <c r="S56" s="42"/>
      <c r="T56" s="42"/>
      <c r="U56" s="42"/>
      <c r="V56" s="42"/>
      <c r="W56" s="42"/>
      <c r="X56" s="42"/>
      <c r="Y56" s="42"/>
      <c r="Z56" s="42"/>
      <c r="AA56" s="42"/>
      <c r="AB56" s="42"/>
      <c r="AC56" s="42"/>
      <c r="AD56" s="42"/>
      <c r="AE56" s="42"/>
      <c r="AF56" s="42"/>
      <c r="AG56" s="42"/>
      <c r="AH56" s="42"/>
      <c r="AI56" s="42"/>
      <c r="AJ56" s="42"/>
      <c r="AK56" s="42"/>
      <c r="AL56" s="42"/>
      <c r="AM56" s="42"/>
      <c r="AN56" s="42"/>
    </row>
    <row r="57" spans="1:40" x14ac:dyDescent="0.25">
      <c r="A57" s="320"/>
      <c r="B57" s="321"/>
      <c r="C57" s="321"/>
      <c r="D57" s="321"/>
      <c r="E57" s="257" t="s">
        <v>747</v>
      </c>
      <c r="F57" s="258" t="s">
        <v>748</v>
      </c>
      <c r="G57" s="257" t="s">
        <v>749</v>
      </c>
      <c r="H57" s="257" t="s">
        <v>750</v>
      </c>
      <c r="I57" s="321"/>
      <c r="J57" s="257" t="s">
        <v>747</v>
      </c>
      <c r="K57" s="258" t="s">
        <v>748</v>
      </c>
      <c r="L57" s="257" t="s">
        <v>749</v>
      </c>
      <c r="M57" s="257" t="s">
        <v>750</v>
      </c>
      <c r="N57" s="320"/>
      <c r="O57" s="321"/>
      <c r="P57" s="321"/>
      <c r="Q57" s="321"/>
      <c r="R57" s="297"/>
      <c r="S57" s="42"/>
      <c r="T57" s="42"/>
      <c r="U57" s="42"/>
      <c r="V57" s="42"/>
      <c r="W57" s="42"/>
      <c r="X57" s="42"/>
      <c r="Y57" s="42"/>
      <c r="Z57" s="42"/>
      <c r="AA57" s="42"/>
      <c r="AB57" s="42"/>
      <c r="AC57" s="42"/>
      <c r="AD57" s="42"/>
      <c r="AE57" s="42"/>
      <c r="AF57" s="42"/>
      <c r="AG57" s="42"/>
      <c r="AH57" s="42"/>
      <c r="AI57" s="42"/>
      <c r="AJ57" s="42"/>
      <c r="AK57" s="42"/>
      <c r="AL57" s="42"/>
      <c r="AM57" s="42"/>
      <c r="AN57" s="42"/>
    </row>
    <row r="58" spans="1:40" x14ac:dyDescent="0.25">
      <c r="A58" s="320"/>
      <c r="B58" s="321"/>
      <c r="C58" s="321"/>
      <c r="D58" s="321"/>
      <c r="E58" s="256" t="s">
        <v>639</v>
      </c>
      <c r="F58" s="338" t="s">
        <v>1178</v>
      </c>
      <c r="G58" s="339" t="s">
        <v>22</v>
      </c>
      <c r="H58" s="339" t="s">
        <v>930</v>
      </c>
      <c r="I58" s="321"/>
      <c r="J58" s="256" t="s">
        <v>1077</v>
      </c>
      <c r="K58" s="340" t="s">
        <v>1144</v>
      </c>
      <c r="L58" s="341" t="s">
        <v>22</v>
      </c>
      <c r="M58" s="341" t="s">
        <v>930</v>
      </c>
      <c r="N58" s="320"/>
      <c r="O58" s="321"/>
      <c r="P58" s="321"/>
      <c r="Q58" s="321"/>
      <c r="R58" s="297"/>
      <c r="S58" s="42"/>
      <c r="T58" s="42"/>
      <c r="U58" s="42"/>
      <c r="V58" s="42"/>
      <c r="W58" s="42"/>
      <c r="X58" s="42"/>
      <c r="Y58" s="42"/>
      <c r="Z58" s="42"/>
      <c r="AA58" s="42"/>
      <c r="AB58" s="42"/>
      <c r="AC58" s="42"/>
      <c r="AD58" s="42"/>
      <c r="AE58" s="42"/>
      <c r="AF58" s="42"/>
      <c r="AG58" s="42"/>
      <c r="AH58" s="42"/>
      <c r="AI58" s="42"/>
      <c r="AJ58" s="42"/>
      <c r="AK58" s="42"/>
      <c r="AL58" s="42"/>
      <c r="AM58" s="42"/>
      <c r="AN58" s="42"/>
    </row>
    <row r="59" spans="1:40" x14ac:dyDescent="0.25">
      <c r="A59" s="320"/>
      <c r="B59" s="321"/>
      <c r="C59" s="321"/>
      <c r="D59" s="321"/>
      <c r="E59" s="256" t="s">
        <v>644</v>
      </c>
      <c r="F59" s="338" t="s">
        <v>1179</v>
      </c>
      <c r="G59" s="339" t="s">
        <v>22</v>
      </c>
      <c r="H59" s="339" t="s">
        <v>931</v>
      </c>
      <c r="I59" s="321"/>
      <c r="J59" s="256" t="s">
        <v>1044</v>
      </c>
      <c r="K59" s="340" t="s">
        <v>1145</v>
      </c>
      <c r="L59" s="341" t="s">
        <v>22</v>
      </c>
      <c r="M59" s="341" t="s">
        <v>931</v>
      </c>
      <c r="N59" s="320"/>
      <c r="O59" s="321"/>
      <c r="P59" s="321"/>
      <c r="Q59" s="321"/>
      <c r="R59" s="297"/>
      <c r="S59" s="42"/>
      <c r="T59" s="42"/>
      <c r="U59" s="42"/>
      <c r="V59" s="42"/>
      <c r="W59" s="42"/>
      <c r="X59" s="42"/>
      <c r="Y59" s="42"/>
      <c r="Z59" s="42"/>
      <c r="AA59" s="42"/>
      <c r="AB59" s="42"/>
      <c r="AC59" s="42"/>
      <c r="AD59" s="42"/>
      <c r="AE59" s="42"/>
      <c r="AF59" s="42"/>
      <c r="AG59" s="42"/>
      <c r="AH59" s="42"/>
      <c r="AI59" s="42"/>
      <c r="AJ59" s="42"/>
      <c r="AK59" s="42"/>
      <c r="AL59" s="42"/>
      <c r="AM59" s="42"/>
      <c r="AN59" s="42"/>
    </row>
    <row r="60" spans="1:40" x14ac:dyDescent="0.25">
      <c r="A60" s="320"/>
      <c r="B60" s="321"/>
      <c r="C60" s="321"/>
      <c r="D60" s="321"/>
      <c r="E60" s="256" t="s">
        <v>649</v>
      </c>
      <c r="F60" s="338" t="s">
        <v>1180</v>
      </c>
      <c r="G60" s="339" t="s">
        <v>22</v>
      </c>
      <c r="H60" s="339" t="s">
        <v>932</v>
      </c>
      <c r="I60" s="321"/>
      <c r="J60" s="256" t="s">
        <v>1024</v>
      </c>
      <c r="K60" s="340" t="s">
        <v>1146</v>
      </c>
      <c r="L60" s="341" t="s">
        <v>22</v>
      </c>
      <c r="M60" s="341" t="s">
        <v>932</v>
      </c>
      <c r="N60" s="320"/>
      <c r="O60" s="321"/>
      <c r="P60" s="321"/>
      <c r="Q60" s="321"/>
      <c r="R60" s="297"/>
      <c r="S60" s="42"/>
      <c r="T60" s="42"/>
      <c r="U60" s="42"/>
      <c r="V60" s="42"/>
      <c r="W60" s="42"/>
      <c r="X60" s="42"/>
      <c r="Y60" s="42"/>
      <c r="Z60" s="42"/>
      <c r="AA60" s="42"/>
      <c r="AB60" s="42"/>
      <c r="AC60" s="42"/>
      <c r="AD60" s="42"/>
      <c r="AE60" s="42"/>
      <c r="AF60" s="42"/>
      <c r="AG60" s="42"/>
      <c r="AH60" s="42"/>
      <c r="AI60" s="42"/>
      <c r="AJ60" s="42"/>
      <c r="AK60" s="42"/>
      <c r="AL60" s="42"/>
      <c r="AM60" s="42"/>
      <c r="AN60" s="42"/>
    </row>
    <row r="61" spans="1:40" x14ac:dyDescent="0.25">
      <c r="A61" s="320"/>
      <c r="B61" s="321"/>
      <c r="C61" s="321"/>
      <c r="D61" s="321"/>
      <c r="E61" s="256" t="s">
        <v>653</v>
      </c>
      <c r="F61" s="338" t="s">
        <v>1181</v>
      </c>
      <c r="G61" s="339" t="s">
        <v>22</v>
      </c>
      <c r="H61" s="339" t="s">
        <v>933</v>
      </c>
      <c r="I61" s="321"/>
      <c r="J61" s="256" t="s">
        <v>1057</v>
      </c>
      <c r="K61" s="340" t="s">
        <v>1147</v>
      </c>
      <c r="L61" s="341" t="s">
        <v>22</v>
      </c>
      <c r="M61" s="341" t="s">
        <v>933</v>
      </c>
      <c r="N61" s="320"/>
      <c r="O61" s="321"/>
      <c r="P61" s="321"/>
      <c r="Q61" s="321"/>
      <c r="R61" s="297"/>
      <c r="S61" s="42"/>
      <c r="T61" s="42"/>
      <c r="U61" s="42"/>
      <c r="V61" s="42"/>
      <c r="W61" s="42"/>
      <c r="X61" s="42"/>
      <c r="Y61" s="42"/>
      <c r="Z61" s="42"/>
      <c r="AA61" s="42"/>
      <c r="AB61" s="42"/>
      <c r="AC61" s="42"/>
      <c r="AD61" s="42"/>
      <c r="AE61" s="42"/>
      <c r="AF61" s="42"/>
      <c r="AG61" s="42"/>
      <c r="AH61" s="42"/>
      <c r="AI61" s="42"/>
      <c r="AJ61" s="42"/>
      <c r="AK61" s="42"/>
      <c r="AL61" s="42"/>
      <c r="AM61" s="42"/>
      <c r="AN61" s="42"/>
    </row>
    <row r="62" spans="1:40" x14ac:dyDescent="0.25">
      <c r="A62" s="320"/>
      <c r="B62" s="321"/>
      <c r="C62" s="321"/>
      <c r="D62" s="321"/>
      <c r="E62" s="256" t="s">
        <v>623</v>
      </c>
      <c r="F62" s="338" t="s">
        <v>1182</v>
      </c>
      <c r="G62" s="339" t="s">
        <v>22</v>
      </c>
      <c r="H62" s="339" t="s">
        <v>934</v>
      </c>
      <c r="I62" s="321"/>
      <c r="J62" s="256" t="s">
        <v>1090</v>
      </c>
      <c r="K62" s="340" t="s">
        <v>1148</v>
      </c>
      <c r="L62" s="341" t="s">
        <v>22</v>
      </c>
      <c r="M62" s="341" t="s">
        <v>934</v>
      </c>
      <c r="N62" s="320"/>
      <c r="O62" s="321"/>
      <c r="P62" s="321"/>
      <c r="Q62" s="321"/>
      <c r="R62" s="297"/>
      <c r="S62" s="42"/>
      <c r="T62" s="42"/>
      <c r="U62" s="42"/>
      <c r="V62" s="42"/>
      <c r="W62" s="42"/>
      <c r="X62" s="42"/>
      <c r="Y62" s="42"/>
      <c r="Z62" s="42"/>
      <c r="AA62" s="42"/>
      <c r="AB62" s="42"/>
      <c r="AC62" s="42"/>
      <c r="AD62" s="42"/>
      <c r="AE62" s="42"/>
      <c r="AF62" s="42"/>
      <c r="AG62" s="42"/>
      <c r="AH62" s="42"/>
      <c r="AI62" s="42"/>
      <c r="AJ62" s="42"/>
      <c r="AK62" s="42"/>
      <c r="AL62" s="42"/>
      <c r="AM62" s="42"/>
      <c r="AN62" s="42"/>
    </row>
    <row r="63" spans="1:40" x14ac:dyDescent="0.25">
      <c r="A63" s="320"/>
      <c r="B63" s="321"/>
      <c r="C63" s="321"/>
      <c r="D63" s="321"/>
      <c r="E63" s="256" t="s">
        <v>627</v>
      </c>
      <c r="F63" s="338" t="s">
        <v>1183</v>
      </c>
      <c r="G63" s="339" t="s">
        <v>22</v>
      </c>
      <c r="H63" s="339" t="s">
        <v>935</v>
      </c>
      <c r="I63" s="321"/>
      <c r="J63" s="256" t="s">
        <v>1122</v>
      </c>
      <c r="K63" s="340" t="s">
        <v>1149</v>
      </c>
      <c r="L63" s="341" t="s">
        <v>22</v>
      </c>
      <c r="M63" s="341" t="s">
        <v>935</v>
      </c>
      <c r="N63" s="320"/>
      <c r="O63" s="321"/>
      <c r="P63" s="321"/>
      <c r="Q63" s="321"/>
      <c r="R63" s="297"/>
      <c r="S63" s="42"/>
      <c r="T63" s="42"/>
      <c r="U63" s="42"/>
      <c r="V63" s="42"/>
      <c r="W63" s="42"/>
      <c r="X63" s="42"/>
      <c r="Y63" s="42"/>
      <c r="Z63" s="42"/>
      <c r="AA63" s="42"/>
      <c r="AB63" s="42"/>
      <c r="AC63" s="42"/>
      <c r="AD63" s="42"/>
      <c r="AE63" s="42"/>
      <c r="AF63" s="42"/>
      <c r="AG63" s="42"/>
      <c r="AH63" s="42"/>
      <c r="AI63" s="42"/>
      <c r="AJ63" s="42"/>
      <c r="AK63" s="42"/>
      <c r="AL63" s="42"/>
      <c r="AM63" s="42"/>
      <c r="AN63" s="42"/>
    </row>
    <row r="64" spans="1:40" x14ac:dyDescent="0.25">
      <c r="A64" s="320"/>
      <c r="B64" s="321"/>
      <c r="C64" s="321"/>
      <c r="D64" s="321"/>
      <c r="E64" s="256" t="s">
        <v>631</v>
      </c>
      <c r="F64" s="338" t="s">
        <v>1184</v>
      </c>
      <c r="G64" s="339" t="s">
        <v>22</v>
      </c>
      <c r="H64" s="339" t="s">
        <v>936</v>
      </c>
      <c r="I64" s="321"/>
      <c r="J64" s="256" t="s">
        <v>1141</v>
      </c>
      <c r="K64" s="340" t="s">
        <v>1150</v>
      </c>
      <c r="L64" s="341" t="s">
        <v>22</v>
      </c>
      <c r="M64" s="341" t="s">
        <v>936</v>
      </c>
      <c r="N64" s="320"/>
      <c r="O64" s="321"/>
      <c r="P64" s="321"/>
      <c r="Q64" s="321"/>
      <c r="R64" s="297"/>
      <c r="S64" s="42"/>
      <c r="T64" s="42"/>
      <c r="U64" s="42"/>
      <c r="V64" s="42"/>
      <c r="W64" s="42"/>
      <c r="X64" s="42"/>
      <c r="Y64" s="42"/>
      <c r="Z64" s="42"/>
      <c r="AA64" s="42"/>
      <c r="AB64" s="42"/>
      <c r="AC64" s="42"/>
      <c r="AD64" s="42"/>
      <c r="AE64" s="42"/>
      <c r="AF64" s="42"/>
      <c r="AG64" s="42"/>
      <c r="AH64" s="42"/>
      <c r="AI64" s="42"/>
      <c r="AJ64" s="42"/>
      <c r="AK64" s="42"/>
      <c r="AL64" s="42"/>
      <c r="AM64" s="42"/>
      <c r="AN64" s="42"/>
    </row>
    <row r="65" spans="1:40" x14ac:dyDescent="0.25">
      <c r="A65" s="320"/>
      <c r="B65" s="321"/>
      <c r="C65" s="321"/>
      <c r="D65" s="321"/>
      <c r="E65" s="256" t="s">
        <v>635</v>
      </c>
      <c r="F65" s="338" t="s">
        <v>1185</v>
      </c>
      <c r="G65" s="339" t="s">
        <v>22</v>
      </c>
      <c r="H65" s="339" t="s">
        <v>937</v>
      </c>
      <c r="I65" s="321"/>
      <c r="J65" s="256" t="s">
        <v>1109</v>
      </c>
      <c r="K65" s="340" t="s">
        <v>1151</v>
      </c>
      <c r="L65" s="341" t="s">
        <v>22</v>
      </c>
      <c r="M65" s="341" t="s">
        <v>937</v>
      </c>
      <c r="N65" s="320"/>
      <c r="O65" s="321"/>
      <c r="P65" s="321"/>
      <c r="Q65" s="321"/>
      <c r="R65" s="297"/>
      <c r="S65" s="42"/>
      <c r="T65" s="42"/>
      <c r="U65" s="42"/>
      <c r="V65" s="42"/>
      <c r="W65" s="42"/>
      <c r="X65" s="42"/>
      <c r="Y65" s="42"/>
      <c r="Z65" s="42"/>
      <c r="AA65" s="42"/>
      <c r="AB65" s="42"/>
      <c r="AC65" s="42"/>
      <c r="AD65" s="42"/>
      <c r="AE65" s="42"/>
      <c r="AF65" s="42"/>
      <c r="AG65" s="42"/>
      <c r="AH65" s="42"/>
      <c r="AI65" s="42"/>
      <c r="AJ65" s="42"/>
      <c r="AK65" s="42"/>
      <c r="AL65" s="42"/>
      <c r="AM65" s="42"/>
      <c r="AN65" s="42"/>
    </row>
    <row r="66" spans="1:40" x14ac:dyDescent="0.25">
      <c r="A66" s="320"/>
      <c r="B66" s="321"/>
      <c r="C66" s="321"/>
      <c r="D66" s="321"/>
      <c r="E66" s="256" t="s">
        <v>640</v>
      </c>
      <c r="F66" s="338" t="s">
        <v>1186</v>
      </c>
      <c r="G66" s="339" t="s">
        <v>22</v>
      </c>
      <c r="H66" s="339" t="s">
        <v>938</v>
      </c>
      <c r="I66" s="321"/>
      <c r="J66" s="256" t="s">
        <v>1076</v>
      </c>
      <c r="K66" s="340" t="s">
        <v>1152</v>
      </c>
      <c r="L66" s="341" t="s">
        <v>22</v>
      </c>
      <c r="M66" s="341" t="s">
        <v>938</v>
      </c>
      <c r="N66" s="320"/>
      <c r="O66" s="321"/>
      <c r="P66" s="321"/>
      <c r="Q66" s="321"/>
      <c r="R66" s="297"/>
      <c r="S66" s="42"/>
      <c r="T66" s="42"/>
      <c r="U66" s="42"/>
      <c r="V66" s="42"/>
      <c r="W66" s="42"/>
      <c r="X66" s="42"/>
      <c r="Y66" s="42"/>
      <c r="Z66" s="42"/>
      <c r="AA66" s="42"/>
      <c r="AB66" s="42"/>
      <c r="AC66" s="42"/>
      <c r="AD66" s="42"/>
      <c r="AE66" s="42"/>
      <c r="AF66" s="42"/>
      <c r="AG66" s="42"/>
      <c r="AH66" s="42"/>
      <c r="AI66" s="42"/>
      <c r="AJ66" s="42"/>
      <c r="AK66" s="42"/>
      <c r="AL66" s="42"/>
      <c r="AM66" s="42"/>
      <c r="AN66" s="42"/>
    </row>
    <row r="67" spans="1:40" x14ac:dyDescent="0.25">
      <c r="A67" s="320"/>
      <c r="B67" s="321"/>
      <c r="C67" s="321"/>
      <c r="D67" s="321"/>
      <c r="E67" s="256" t="s">
        <v>645</v>
      </c>
      <c r="F67" s="338" t="s">
        <v>1187</v>
      </c>
      <c r="G67" s="339" t="s">
        <v>22</v>
      </c>
      <c r="H67" s="339" t="s">
        <v>939</v>
      </c>
      <c r="I67" s="321"/>
      <c r="J67" s="256" t="s">
        <v>1043</v>
      </c>
      <c r="K67" s="340" t="s">
        <v>1153</v>
      </c>
      <c r="L67" s="341" t="s">
        <v>22</v>
      </c>
      <c r="M67" s="341" t="s">
        <v>939</v>
      </c>
      <c r="N67" s="320"/>
      <c r="O67" s="321"/>
      <c r="P67" s="321"/>
      <c r="Q67" s="321"/>
      <c r="R67" s="297"/>
      <c r="S67" s="42"/>
      <c r="T67" s="42"/>
      <c r="U67" s="42"/>
      <c r="V67" s="42"/>
      <c r="W67" s="42"/>
      <c r="X67" s="42"/>
      <c r="Y67" s="42"/>
      <c r="Z67" s="42"/>
      <c r="AA67" s="42"/>
      <c r="AB67" s="42"/>
      <c r="AC67" s="42"/>
      <c r="AD67" s="42"/>
      <c r="AE67" s="42"/>
      <c r="AF67" s="42"/>
      <c r="AG67" s="42"/>
      <c r="AH67" s="42"/>
      <c r="AI67" s="42"/>
      <c r="AJ67" s="42"/>
      <c r="AK67" s="42"/>
      <c r="AL67" s="42"/>
      <c r="AM67" s="42"/>
      <c r="AN67" s="42"/>
    </row>
    <row r="68" spans="1:40" x14ac:dyDescent="0.25">
      <c r="A68" s="320"/>
      <c r="B68" s="321"/>
      <c r="C68" s="321"/>
      <c r="D68" s="321"/>
      <c r="E68" s="256" t="s">
        <v>650</v>
      </c>
      <c r="F68" s="338" t="s">
        <v>1188</v>
      </c>
      <c r="G68" s="339" t="s">
        <v>22</v>
      </c>
      <c r="H68" s="339" t="s">
        <v>940</v>
      </c>
      <c r="I68" s="321"/>
      <c r="J68" s="256" t="s">
        <v>1025</v>
      </c>
      <c r="K68" s="340" t="s">
        <v>1154</v>
      </c>
      <c r="L68" s="341" t="s">
        <v>22</v>
      </c>
      <c r="M68" s="341" t="s">
        <v>940</v>
      </c>
      <c r="N68" s="320"/>
      <c r="O68" s="321"/>
      <c r="P68" s="321"/>
      <c r="Q68" s="321"/>
      <c r="R68" s="297"/>
      <c r="S68" s="42"/>
      <c r="T68" s="42"/>
      <c r="U68" s="42"/>
      <c r="V68" s="42"/>
      <c r="W68" s="42"/>
      <c r="X68" s="42"/>
      <c r="Y68" s="42"/>
      <c r="Z68" s="42"/>
      <c r="AA68" s="42"/>
      <c r="AB68" s="42"/>
      <c r="AC68" s="42"/>
      <c r="AD68" s="42"/>
      <c r="AE68" s="42"/>
      <c r="AF68" s="42"/>
      <c r="AG68" s="42"/>
      <c r="AH68" s="42"/>
      <c r="AI68" s="42"/>
      <c r="AJ68" s="42"/>
      <c r="AK68" s="42"/>
      <c r="AL68" s="42"/>
      <c r="AM68" s="42"/>
      <c r="AN68" s="42"/>
    </row>
    <row r="69" spans="1:40" x14ac:dyDescent="0.25">
      <c r="A69" s="320"/>
      <c r="B69" s="321"/>
      <c r="C69" s="321"/>
      <c r="D69" s="321"/>
      <c r="E69" s="256" t="s">
        <v>654</v>
      </c>
      <c r="F69" s="338" t="s">
        <v>1189</v>
      </c>
      <c r="G69" s="339" t="s">
        <v>22</v>
      </c>
      <c r="H69" s="339" t="s">
        <v>941</v>
      </c>
      <c r="I69" s="321"/>
      <c r="J69" s="256" t="s">
        <v>1058</v>
      </c>
      <c r="K69" s="340" t="s">
        <v>1155</v>
      </c>
      <c r="L69" s="341" t="s">
        <v>22</v>
      </c>
      <c r="M69" s="341" t="s">
        <v>941</v>
      </c>
      <c r="N69" s="320"/>
      <c r="O69" s="321"/>
      <c r="P69" s="321"/>
      <c r="Q69" s="321"/>
      <c r="R69" s="297"/>
      <c r="S69" s="42"/>
      <c r="T69" s="42"/>
      <c r="U69" s="42"/>
      <c r="V69" s="42"/>
      <c r="W69" s="42"/>
      <c r="X69" s="42"/>
      <c r="Y69" s="42"/>
      <c r="Z69" s="42"/>
      <c r="AA69" s="42"/>
      <c r="AB69" s="42"/>
      <c r="AC69" s="42"/>
      <c r="AD69" s="42"/>
      <c r="AE69" s="42"/>
      <c r="AF69" s="42"/>
      <c r="AG69" s="42"/>
      <c r="AH69" s="42"/>
      <c r="AI69" s="42"/>
      <c r="AJ69" s="42"/>
      <c r="AK69" s="42"/>
      <c r="AL69" s="42"/>
      <c r="AM69" s="42"/>
      <c r="AN69" s="42"/>
    </row>
    <row r="70" spans="1:40" x14ac:dyDescent="0.25">
      <c r="A70" s="320"/>
      <c r="B70" s="321"/>
      <c r="C70" s="321"/>
      <c r="D70" s="321"/>
      <c r="E70" s="256" t="s">
        <v>624</v>
      </c>
      <c r="F70" s="338" t="s">
        <v>1190</v>
      </c>
      <c r="G70" s="339" t="s">
        <v>22</v>
      </c>
      <c r="H70" s="339" t="s">
        <v>942</v>
      </c>
      <c r="I70" s="321"/>
      <c r="J70" s="256" t="s">
        <v>1091</v>
      </c>
      <c r="K70" s="340" t="s">
        <v>1156</v>
      </c>
      <c r="L70" s="341" t="s">
        <v>22</v>
      </c>
      <c r="M70" s="341" t="s">
        <v>942</v>
      </c>
      <c r="N70" s="320"/>
      <c r="O70" s="321"/>
      <c r="P70" s="321"/>
      <c r="Q70" s="321"/>
      <c r="R70" s="297"/>
      <c r="S70" s="42"/>
      <c r="T70" s="42"/>
      <c r="U70" s="42"/>
      <c r="V70" s="42"/>
      <c r="W70" s="42"/>
      <c r="X70" s="42"/>
      <c r="Y70" s="42"/>
      <c r="Z70" s="42"/>
      <c r="AA70" s="42"/>
      <c r="AB70" s="42"/>
      <c r="AC70" s="42"/>
      <c r="AD70" s="42"/>
      <c r="AE70" s="42"/>
      <c r="AF70" s="42"/>
      <c r="AG70" s="42"/>
      <c r="AH70" s="42"/>
      <c r="AI70" s="42"/>
      <c r="AJ70" s="42"/>
      <c r="AK70" s="42"/>
      <c r="AL70" s="42"/>
      <c r="AM70" s="42"/>
      <c r="AN70" s="42"/>
    </row>
    <row r="71" spans="1:40" x14ac:dyDescent="0.25">
      <c r="A71" s="320"/>
      <c r="B71" s="321"/>
      <c r="C71" s="321"/>
      <c r="D71" s="321"/>
      <c r="E71" s="256" t="s">
        <v>628</v>
      </c>
      <c r="F71" s="338" t="s">
        <v>1191</v>
      </c>
      <c r="G71" s="339" t="s">
        <v>22</v>
      </c>
      <c r="H71" s="339" t="s">
        <v>943</v>
      </c>
      <c r="I71" s="321"/>
      <c r="J71" s="256" t="s">
        <v>1123</v>
      </c>
      <c r="K71" s="340" t="s">
        <v>1157</v>
      </c>
      <c r="L71" s="341" t="s">
        <v>22</v>
      </c>
      <c r="M71" s="341" t="s">
        <v>943</v>
      </c>
      <c r="N71" s="320"/>
      <c r="O71" s="321"/>
      <c r="P71" s="321"/>
      <c r="Q71" s="321"/>
      <c r="R71" s="297"/>
      <c r="S71" s="42"/>
      <c r="T71" s="42"/>
      <c r="U71" s="42"/>
      <c r="V71" s="42"/>
      <c r="W71" s="42"/>
      <c r="X71" s="42"/>
      <c r="Y71" s="42"/>
      <c r="Z71" s="42"/>
      <c r="AA71" s="42"/>
      <c r="AB71" s="42"/>
      <c r="AC71" s="42"/>
      <c r="AD71" s="42"/>
      <c r="AE71" s="42"/>
      <c r="AF71" s="42"/>
      <c r="AG71" s="42"/>
      <c r="AH71" s="42"/>
      <c r="AI71" s="42"/>
      <c r="AJ71" s="42"/>
      <c r="AK71" s="42"/>
      <c r="AL71" s="42"/>
      <c r="AM71" s="42"/>
      <c r="AN71" s="42"/>
    </row>
    <row r="72" spans="1:40" x14ac:dyDescent="0.25">
      <c r="A72" s="320"/>
      <c r="B72" s="321"/>
      <c r="C72" s="321"/>
      <c r="D72" s="321"/>
      <c r="E72" s="256" t="s">
        <v>632</v>
      </c>
      <c r="F72" s="338" t="s">
        <v>1192</v>
      </c>
      <c r="G72" s="339" t="s">
        <v>22</v>
      </c>
      <c r="H72" s="339" t="s">
        <v>944</v>
      </c>
      <c r="I72" s="321"/>
      <c r="J72" s="256" t="s">
        <v>1140</v>
      </c>
      <c r="K72" s="340" t="s">
        <v>1158</v>
      </c>
      <c r="L72" s="341" t="s">
        <v>22</v>
      </c>
      <c r="M72" s="341" t="s">
        <v>944</v>
      </c>
      <c r="N72" s="320"/>
      <c r="O72" s="321"/>
      <c r="P72" s="321"/>
      <c r="Q72" s="321"/>
      <c r="R72" s="297"/>
      <c r="S72" s="42"/>
      <c r="T72" s="42"/>
      <c r="U72" s="42"/>
      <c r="V72" s="42"/>
      <c r="W72" s="42"/>
      <c r="X72" s="42"/>
      <c r="Y72" s="42"/>
      <c r="Z72" s="42"/>
      <c r="AA72" s="42"/>
      <c r="AB72" s="42"/>
      <c r="AC72" s="42"/>
      <c r="AD72" s="42"/>
      <c r="AE72" s="42"/>
      <c r="AF72" s="42"/>
      <c r="AG72" s="42"/>
      <c r="AH72" s="42"/>
      <c r="AI72" s="42"/>
      <c r="AJ72" s="42"/>
      <c r="AK72" s="42"/>
      <c r="AL72" s="42"/>
      <c r="AM72" s="42"/>
      <c r="AN72" s="42"/>
    </row>
    <row r="73" spans="1:40" x14ac:dyDescent="0.25">
      <c r="A73" s="320"/>
      <c r="B73" s="321"/>
      <c r="C73" s="321"/>
      <c r="D73" s="321"/>
      <c r="E73" s="256" t="s">
        <v>636</v>
      </c>
      <c r="F73" s="338" t="s">
        <v>1193</v>
      </c>
      <c r="G73" s="339" t="s">
        <v>22</v>
      </c>
      <c r="H73" s="339" t="s">
        <v>945</v>
      </c>
      <c r="I73" s="321"/>
      <c r="J73" s="256" t="s">
        <v>1108</v>
      </c>
      <c r="K73" s="340" t="s">
        <v>1159</v>
      </c>
      <c r="L73" s="341" t="s">
        <v>22</v>
      </c>
      <c r="M73" s="341" t="s">
        <v>945</v>
      </c>
      <c r="N73" s="320"/>
      <c r="O73" s="321"/>
      <c r="P73" s="321"/>
      <c r="Q73" s="321"/>
      <c r="R73" s="297"/>
      <c r="S73" s="42"/>
      <c r="T73" s="42"/>
      <c r="U73" s="42"/>
      <c r="V73" s="42"/>
      <c r="W73" s="42"/>
      <c r="X73" s="42"/>
      <c r="Y73" s="42"/>
      <c r="Z73" s="42"/>
      <c r="AA73" s="42"/>
      <c r="AB73" s="42"/>
      <c r="AC73" s="42"/>
      <c r="AD73" s="42"/>
      <c r="AE73" s="42"/>
      <c r="AF73" s="42"/>
      <c r="AG73" s="42"/>
      <c r="AH73" s="42"/>
      <c r="AI73" s="42"/>
      <c r="AJ73" s="42"/>
      <c r="AK73" s="42"/>
      <c r="AL73" s="42"/>
      <c r="AM73" s="42"/>
      <c r="AN73" s="42"/>
    </row>
    <row r="74" spans="1:40" x14ac:dyDescent="0.25">
      <c r="A74" s="320"/>
      <c r="B74" s="321"/>
      <c r="C74" s="321"/>
      <c r="D74" s="321"/>
      <c r="E74" s="256" t="s">
        <v>641</v>
      </c>
      <c r="F74" s="338" t="s">
        <v>1194</v>
      </c>
      <c r="G74" s="339" t="s">
        <v>22</v>
      </c>
      <c r="H74" s="339" t="s">
        <v>946</v>
      </c>
      <c r="I74" s="321"/>
      <c r="J74" s="256" t="s">
        <v>1075</v>
      </c>
      <c r="K74" s="340" t="s">
        <v>1160</v>
      </c>
      <c r="L74" s="341" t="s">
        <v>22</v>
      </c>
      <c r="M74" s="341" t="s">
        <v>946</v>
      </c>
      <c r="N74" s="320"/>
      <c r="O74" s="321"/>
      <c r="P74" s="321"/>
      <c r="Q74" s="321"/>
      <c r="R74" s="297"/>
      <c r="S74" s="42"/>
      <c r="T74" s="42"/>
      <c r="U74" s="42"/>
      <c r="V74" s="42"/>
      <c r="W74" s="42"/>
      <c r="X74" s="42"/>
      <c r="Y74" s="42"/>
      <c r="Z74" s="42"/>
      <c r="AA74" s="42"/>
      <c r="AB74" s="42"/>
      <c r="AC74" s="42"/>
      <c r="AD74" s="42"/>
      <c r="AE74" s="42"/>
      <c r="AF74" s="42"/>
      <c r="AG74" s="42"/>
      <c r="AH74" s="42"/>
      <c r="AI74" s="42"/>
      <c r="AJ74" s="42"/>
      <c r="AK74" s="42"/>
      <c r="AL74" s="42"/>
      <c r="AM74" s="42"/>
      <c r="AN74" s="42"/>
    </row>
    <row r="75" spans="1:40" x14ac:dyDescent="0.25">
      <c r="A75" s="320"/>
      <c r="B75" s="321"/>
      <c r="C75" s="321"/>
      <c r="D75" s="321"/>
      <c r="E75" s="256" t="s">
        <v>646</v>
      </c>
      <c r="F75" s="338" t="s">
        <v>1195</v>
      </c>
      <c r="G75" s="339" t="s">
        <v>22</v>
      </c>
      <c r="H75" s="339" t="s">
        <v>947</v>
      </c>
      <c r="I75" s="321"/>
      <c r="J75" s="256" t="s">
        <v>1042</v>
      </c>
      <c r="K75" s="340" t="s">
        <v>1161</v>
      </c>
      <c r="L75" s="341" t="s">
        <v>22</v>
      </c>
      <c r="M75" s="341" t="s">
        <v>947</v>
      </c>
      <c r="N75" s="320"/>
      <c r="O75" s="321"/>
      <c r="P75" s="321"/>
      <c r="Q75" s="321"/>
      <c r="R75" s="297"/>
      <c r="S75" s="42"/>
      <c r="T75" s="42"/>
      <c r="U75" s="42"/>
      <c r="V75" s="42"/>
      <c r="W75" s="42"/>
      <c r="X75" s="42"/>
      <c r="Y75" s="42"/>
      <c r="Z75" s="42"/>
      <c r="AA75" s="42"/>
      <c r="AB75" s="42"/>
      <c r="AC75" s="42"/>
      <c r="AD75" s="42"/>
      <c r="AE75" s="42"/>
      <c r="AF75" s="42"/>
      <c r="AG75" s="42"/>
      <c r="AH75" s="42"/>
      <c r="AI75" s="42"/>
      <c r="AJ75" s="42"/>
      <c r="AK75" s="42"/>
      <c r="AL75" s="42"/>
      <c r="AM75" s="42"/>
      <c r="AN75" s="42"/>
    </row>
    <row r="76" spans="1:40" x14ac:dyDescent="0.25">
      <c r="A76" s="320"/>
      <c r="B76" s="321"/>
      <c r="C76" s="321"/>
      <c r="D76" s="321"/>
      <c r="E76" s="256" t="s">
        <v>651</v>
      </c>
      <c r="F76" s="338" t="s">
        <v>1196</v>
      </c>
      <c r="G76" s="339" t="s">
        <v>22</v>
      </c>
      <c r="H76" s="339" t="s">
        <v>948</v>
      </c>
      <c r="I76" s="321"/>
      <c r="J76" s="256" t="s">
        <v>1026</v>
      </c>
      <c r="K76" s="340" t="s">
        <v>1162</v>
      </c>
      <c r="L76" s="341" t="s">
        <v>22</v>
      </c>
      <c r="M76" s="341" t="s">
        <v>948</v>
      </c>
      <c r="N76" s="320"/>
      <c r="O76" s="321"/>
      <c r="P76" s="321"/>
      <c r="Q76" s="321"/>
      <c r="R76" s="297"/>
      <c r="S76" s="42"/>
      <c r="T76" s="42"/>
      <c r="U76" s="42"/>
      <c r="V76" s="42"/>
      <c r="W76" s="42"/>
      <c r="X76" s="42"/>
      <c r="Y76" s="42"/>
      <c r="Z76" s="42"/>
      <c r="AA76" s="42"/>
      <c r="AB76" s="42"/>
      <c r="AC76" s="42"/>
      <c r="AD76" s="42"/>
      <c r="AE76" s="42"/>
      <c r="AF76" s="42"/>
      <c r="AG76" s="42"/>
      <c r="AH76" s="42"/>
      <c r="AI76" s="42"/>
      <c r="AJ76" s="42"/>
      <c r="AK76" s="42"/>
      <c r="AL76" s="42"/>
      <c r="AM76" s="42"/>
      <c r="AN76" s="42"/>
    </row>
    <row r="77" spans="1:40" x14ac:dyDescent="0.25">
      <c r="A77" s="320"/>
      <c r="B77" s="321"/>
      <c r="C77" s="321"/>
      <c r="D77" s="321"/>
      <c r="E77" s="256" t="s">
        <v>655</v>
      </c>
      <c r="F77" s="338" t="s">
        <v>1197</v>
      </c>
      <c r="G77" s="339" t="s">
        <v>22</v>
      </c>
      <c r="H77" s="339" t="s">
        <v>949</v>
      </c>
      <c r="I77" s="321"/>
      <c r="J77" s="256" t="s">
        <v>1059</v>
      </c>
      <c r="K77" s="340" t="s">
        <v>1163</v>
      </c>
      <c r="L77" s="341" t="s">
        <v>22</v>
      </c>
      <c r="M77" s="341" t="s">
        <v>949</v>
      </c>
      <c r="N77" s="320"/>
      <c r="O77" s="321"/>
      <c r="P77" s="321"/>
      <c r="Q77" s="321"/>
      <c r="R77" s="297"/>
      <c r="S77" s="42"/>
      <c r="T77" s="42"/>
      <c r="U77" s="42"/>
      <c r="V77" s="42"/>
      <c r="W77" s="42"/>
      <c r="X77" s="42"/>
      <c r="Y77" s="42"/>
      <c r="Z77" s="42"/>
      <c r="AA77" s="42"/>
      <c r="AB77" s="42"/>
      <c r="AC77" s="42"/>
      <c r="AD77" s="42"/>
      <c r="AE77" s="42"/>
      <c r="AF77" s="42"/>
      <c r="AG77" s="42"/>
      <c r="AH77" s="42"/>
      <c r="AI77" s="42"/>
      <c r="AJ77" s="42"/>
      <c r="AK77" s="42"/>
      <c r="AL77" s="42"/>
      <c r="AM77" s="42"/>
      <c r="AN77" s="42"/>
    </row>
    <row r="78" spans="1:40" x14ac:dyDescent="0.25">
      <c r="A78" s="320"/>
      <c r="B78" s="321"/>
      <c r="C78" s="321"/>
      <c r="D78" s="321"/>
      <c r="E78" s="256" t="s">
        <v>625</v>
      </c>
      <c r="F78" s="338" t="s">
        <v>1198</v>
      </c>
      <c r="G78" s="339" t="s">
        <v>22</v>
      </c>
      <c r="H78" s="339" t="s">
        <v>950</v>
      </c>
      <c r="I78" s="321"/>
      <c r="J78" s="256" t="s">
        <v>1092</v>
      </c>
      <c r="K78" s="340" t="s">
        <v>1164</v>
      </c>
      <c r="L78" s="341" t="s">
        <v>22</v>
      </c>
      <c r="M78" s="341" t="s">
        <v>950</v>
      </c>
      <c r="N78" s="320"/>
      <c r="O78" s="321"/>
      <c r="P78" s="321"/>
      <c r="Q78" s="321"/>
      <c r="R78" s="297"/>
      <c r="S78" s="42"/>
      <c r="T78" s="42"/>
      <c r="U78" s="42"/>
      <c r="V78" s="42"/>
      <c r="W78" s="42"/>
      <c r="X78" s="42"/>
      <c r="Y78" s="42"/>
      <c r="Z78" s="42"/>
      <c r="AA78" s="42"/>
      <c r="AB78" s="42"/>
      <c r="AC78" s="42"/>
      <c r="AD78" s="42"/>
      <c r="AE78" s="42"/>
      <c r="AF78" s="42"/>
      <c r="AG78" s="42"/>
      <c r="AH78" s="42"/>
      <c r="AI78" s="42"/>
      <c r="AJ78" s="42"/>
      <c r="AK78" s="42"/>
      <c r="AL78" s="42"/>
      <c r="AM78" s="42"/>
      <c r="AN78" s="42"/>
    </row>
    <row r="79" spans="1:40" x14ac:dyDescent="0.25">
      <c r="A79" s="320"/>
      <c r="B79" s="321"/>
      <c r="C79" s="321"/>
      <c r="D79" s="321"/>
      <c r="E79" s="256" t="s">
        <v>629</v>
      </c>
      <c r="F79" s="338" t="s">
        <v>1199</v>
      </c>
      <c r="G79" s="339" t="s">
        <v>22</v>
      </c>
      <c r="H79" s="339" t="s">
        <v>951</v>
      </c>
      <c r="I79" s="321"/>
      <c r="J79" s="256" t="s">
        <v>1124</v>
      </c>
      <c r="K79" s="340" t="s">
        <v>1165</v>
      </c>
      <c r="L79" s="341" t="s">
        <v>22</v>
      </c>
      <c r="M79" s="341" t="s">
        <v>951</v>
      </c>
      <c r="N79" s="320"/>
      <c r="O79" s="321"/>
      <c r="P79" s="321"/>
      <c r="Q79" s="321"/>
      <c r="R79" s="297"/>
      <c r="S79" s="42"/>
      <c r="T79" s="42"/>
      <c r="U79" s="42"/>
      <c r="V79" s="42"/>
      <c r="W79" s="42"/>
      <c r="X79" s="42"/>
      <c r="Y79" s="42"/>
      <c r="Z79" s="42"/>
      <c r="AA79" s="42"/>
      <c r="AB79" s="42"/>
      <c r="AC79" s="42"/>
      <c r="AD79" s="42"/>
      <c r="AE79" s="42"/>
      <c r="AF79" s="42"/>
      <c r="AG79" s="42"/>
      <c r="AH79" s="42"/>
      <c r="AI79" s="42"/>
      <c r="AJ79" s="42"/>
      <c r="AK79" s="42"/>
      <c r="AL79" s="42"/>
      <c r="AM79" s="42"/>
      <c r="AN79" s="42"/>
    </row>
    <row r="80" spans="1:40" x14ac:dyDescent="0.25">
      <c r="A80" s="320"/>
      <c r="B80" s="321"/>
      <c r="C80" s="321"/>
      <c r="D80" s="321"/>
      <c r="E80" s="256" t="s">
        <v>633</v>
      </c>
      <c r="F80" s="338" t="s">
        <v>1200</v>
      </c>
      <c r="G80" s="339" t="s">
        <v>22</v>
      </c>
      <c r="H80" s="339" t="s">
        <v>952</v>
      </c>
      <c r="I80" s="321"/>
      <c r="J80" s="256" t="s">
        <v>1139</v>
      </c>
      <c r="K80" s="340" t="s">
        <v>1166</v>
      </c>
      <c r="L80" s="341" t="s">
        <v>22</v>
      </c>
      <c r="M80" s="341" t="s">
        <v>952</v>
      </c>
      <c r="N80" s="320"/>
      <c r="O80" s="321"/>
      <c r="P80" s="321"/>
      <c r="Q80" s="321"/>
      <c r="R80" s="297"/>
      <c r="S80" s="42"/>
      <c r="T80" s="42"/>
      <c r="U80" s="42"/>
      <c r="V80" s="42"/>
      <c r="W80" s="42"/>
      <c r="X80" s="42"/>
      <c r="Y80" s="42"/>
      <c r="Z80" s="42"/>
      <c r="AA80" s="42"/>
      <c r="AB80" s="42"/>
      <c r="AC80" s="42"/>
      <c r="AD80" s="42"/>
      <c r="AE80" s="42"/>
      <c r="AF80" s="42"/>
      <c r="AG80" s="42"/>
      <c r="AH80" s="42"/>
      <c r="AI80" s="42"/>
      <c r="AJ80" s="42"/>
      <c r="AK80" s="42"/>
      <c r="AL80" s="42"/>
      <c r="AM80" s="42"/>
      <c r="AN80" s="42"/>
    </row>
    <row r="81" spans="1:40" x14ac:dyDescent="0.25">
      <c r="A81" s="320"/>
      <c r="B81" s="321"/>
      <c r="C81" s="321"/>
      <c r="D81" s="321"/>
      <c r="E81" s="256" t="s">
        <v>637</v>
      </c>
      <c r="F81" s="338" t="s">
        <v>1201</v>
      </c>
      <c r="G81" s="339" t="s">
        <v>22</v>
      </c>
      <c r="H81" s="339" t="s">
        <v>953</v>
      </c>
      <c r="I81" s="321"/>
      <c r="J81" s="256" t="s">
        <v>1107</v>
      </c>
      <c r="K81" s="340" t="s">
        <v>1167</v>
      </c>
      <c r="L81" s="341" t="s">
        <v>22</v>
      </c>
      <c r="M81" s="341" t="s">
        <v>953</v>
      </c>
      <c r="N81" s="320"/>
      <c r="O81" s="321"/>
      <c r="P81" s="321"/>
      <c r="Q81" s="321"/>
      <c r="R81" s="297"/>
      <c r="S81" s="42"/>
      <c r="T81" s="42"/>
      <c r="U81" s="42"/>
      <c r="V81" s="42"/>
      <c r="W81" s="42"/>
      <c r="X81" s="42"/>
      <c r="Y81" s="42"/>
      <c r="Z81" s="42"/>
      <c r="AA81" s="42"/>
      <c r="AB81" s="42"/>
      <c r="AC81" s="42"/>
      <c r="AD81" s="42"/>
      <c r="AE81" s="42"/>
      <c r="AF81" s="42"/>
      <c r="AG81" s="42"/>
      <c r="AH81" s="42"/>
      <c r="AI81" s="42"/>
      <c r="AJ81" s="42"/>
      <c r="AK81" s="42"/>
      <c r="AL81" s="42"/>
      <c r="AM81" s="42"/>
      <c r="AN81" s="42"/>
    </row>
    <row r="82" spans="1:40" x14ac:dyDescent="0.25">
      <c r="A82" s="320"/>
      <c r="B82" s="321"/>
      <c r="C82" s="321"/>
      <c r="D82" s="321"/>
      <c r="E82" s="256" t="s">
        <v>642</v>
      </c>
      <c r="F82" s="338" t="s">
        <v>1202</v>
      </c>
      <c r="G82" s="339" t="s">
        <v>22</v>
      </c>
      <c r="H82" s="339" t="s">
        <v>954</v>
      </c>
      <c r="I82" s="321"/>
      <c r="J82" s="256" t="s">
        <v>1074</v>
      </c>
      <c r="K82" s="340" t="s">
        <v>1168</v>
      </c>
      <c r="L82" s="341" t="s">
        <v>22</v>
      </c>
      <c r="M82" s="341" t="s">
        <v>954</v>
      </c>
      <c r="N82" s="320"/>
      <c r="O82" s="321"/>
      <c r="P82" s="321"/>
      <c r="Q82" s="321"/>
      <c r="R82" s="297"/>
      <c r="S82" s="42"/>
      <c r="T82" s="42"/>
      <c r="U82" s="42"/>
      <c r="V82" s="42"/>
      <c r="W82" s="42"/>
      <c r="X82" s="42"/>
      <c r="Y82" s="42"/>
      <c r="Z82" s="42"/>
      <c r="AA82" s="42"/>
      <c r="AB82" s="42"/>
      <c r="AC82" s="42"/>
      <c r="AD82" s="42"/>
      <c r="AE82" s="42"/>
      <c r="AF82" s="42"/>
      <c r="AG82" s="42"/>
      <c r="AH82" s="42"/>
      <c r="AI82" s="42"/>
      <c r="AJ82" s="42"/>
      <c r="AK82" s="42"/>
      <c r="AL82" s="42"/>
      <c r="AM82" s="42"/>
      <c r="AN82" s="42"/>
    </row>
    <row r="83" spans="1:40" x14ac:dyDescent="0.25">
      <c r="A83" s="320"/>
      <c r="B83" s="321"/>
      <c r="C83" s="321"/>
      <c r="D83" s="321"/>
      <c r="E83" s="256" t="s">
        <v>647</v>
      </c>
      <c r="F83" s="338" t="s">
        <v>1203</v>
      </c>
      <c r="G83" s="339" t="s">
        <v>22</v>
      </c>
      <c r="H83" s="339" t="s">
        <v>955</v>
      </c>
      <c r="I83" s="321"/>
      <c r="J83" s="256" t="s">
        <v>1041</v>
      </c>
      <c r="K83" s="340" t="s">
        <v>1169</v>
      </c>
      <c r="L83" s="341" t="s">
        <v>22</v>
      </c>
      <c r="M83" s="341" t="s">
        <v>955</v>
      </c>
      <c r="N83" s="320"/>
      <c r="O83" s="321"/>
      <c r="P83" s="321"/>
      <c r="Q83" s="321"/>
      <c r="R83" s="297"/>
      <c r="S83" s="42"/>
      <c r="T83" s="42"/>
      <c r="U83" s="42"/>
      <c r="V83" s="42"/>
      <c r="W83" s="42"/>
      <c r="X83" s="42"/>
      <c r="Y83" s="42"/>
      <c r="Z83" s="42"/>
      <c r="AA83" s="42"/>
      <c r="AB83" s="42"/>
      <c r="AC83" s="42"/>
      <c r="AD83" s="42"/>
      <c r="AE83" s="42"/>
      <c r="AF83" s="42"/>
      <c r="AG83" s="42"/>
      <c r="AH83" s="42"/>
      <c r="AI83" s="42"/>
      <c r="AJ83" s="42"/>
      <c r="AK83" s="42"/>
      <c r="AL83" s="42"/>
      <c r="AM83" s="42"/>
      <c r="AN83" s="42"/>
    </row>
    <row r="84" spans="1:40" x14ac:dyDescent="0.25">
      <c r="A84" s="320"/>
      <c r="B84" s="321"/>
      <c r="C84" s="321"/>
      <c r="D84" s="321"/>
      <c r="E84" s="256" t="s">
        <v>652</v>
      </c>
      <c r="F84" s="338" t="s">
        <v>1204</v>
      </c>
      <c r="G84" s="339" t="s">
        <v>22</v>
      </c>
      <c r="H84" s="339" t="s">
        <v>956</v>
      </c>
      <c r="I84" s="321"/>
      <c r="J84" s="256" t="s">
        <v>1027</v>
      </c>
      <c r="K84" s="340" t="s">
        <v>1170</v>
      </c>
      <c r="L84" s="341" t="s">
        <v>22</v>
      </c>
      <c r="M84" s="341" t="s">
        <v>956</v>
      </c>
      <c r="N84" s="320"/>
      <c r="O84" s="321"/>
      <c r="P84" s="321"/>
      <c r="Q84" s="321"/>
      <c r="R84" s="297"/>
      <c r="S84" s="42"/>
      <c r="T84" s="42"/>
      <c r="U84" s="42"/>
      <c r="V84" s="42"/>
      <c r="W84" s="42"/>
      <c r="X84" s="42"/>
      <c r="Y84" s="42"/>
      <c r="Z84" s="42"/>
      <c r="AA84" s="42"/>
      <c r="AB84" s="42"/>
      <c r="AC84" s="42"/>
      <c r="AD84" s="42"/>
      <c r="AE84" s="42"/>
      <c r="AF84" s="42"/>
      <c r="AG84" s="42"/>
      <c r="AH84" s="42"/>
      <c r="AI84" s="42"/>
      <c r="AJ84" s="42"/>
      <c r="AK84" s="42"/>
      <c r="AL84" s="42"/>
      <c r="AM84" s="42"/>
      <c r="AN84" s="42"/>
    </row>
    <row r="85" spans="1:40" x14ac:dyDescent="0.25">
      <c r="A85" s="320"/>
      <c r="B85" s="321"/>
      <c r="C85" s="321"/>
      <c r="D85" s="321"/>
      <c r="E85" s="256" t="s">
        <v>656</v>
      </c>
      <c r="F85" s="338" t="s">
        <v>1205</v>
      </c>
      <c r="G85" s="339" t="s">
        <v>22</v>
      </c>
      <c r="H85" s="339" t="s">
        <v>957</v>
      </c>
      <c r="I85" s="321"/>
      <c r="J85" s="256" t="s">
        <v>1060</v>
      </c>
      <c r="K85" s="340" t="s">
        <v>1171</v>
      </c>
      <c r="L85" s="341" t="s">
        <v>22</v>
      </c>
      <c r="M85" s="341" t="s">
        <v>957</v>
      </c>
      <c r="N85" s="320"/>
      <c r="O85" s="321"/>
      <c r="P85" s="321"/>
      <c r="Q85" s="321"/>
      <c r="R85" s="297"/>
      <c r="S85" s="42"/>
      <c r="T85" s="42"/>
      <c r="U85" s="42"/>
      <c r="V85" s="42"/>
      <c r="W85" s="42"/>
      <c r="X85" s="42"/>
      <c r="Y85" s="42"/>
      <c r="Z85" s="42"/>
      <c r="AA85" s="42"/>
      <c r="AB85" s="42"/>
      <c r="AC85" s="42"/>
      <c r="AD85" s="42"/>
      <c r="AE85" s="42"/>
      <c r="AF85" s="42"/>
      <c r="AG85" s="42"/>
      <c r="AH85" s="42"/>
      <c r="AI85" s="42"/>
      <c r="AJ85" s="42"/>
      <c r="AK85" s="42"/>
      <c r="AL85" s="42"/>
      <c r="AM85" s="42"/>
      <c r="AN85" s="42"/>
    </row>
    <row r="86" spans="1:40" x14ac:dyDescent="0.25">
      <c r="A86" s="320"/>
      <c r="B86" s="321"/>
      <c r="C86" s="321"/>
      <c r="D86" s="321"/>
      <c r="E86" s="256" t="s">
        <v>626</v>
      </c>
      <c r="F86" s="338" t="s">
        <v>1206</v>
      </c>
      <c r="G86" s="339" t="s">
        <v>22</v>
      </c>
      <c r="H86" s="339" t="s">
        <v>958</v>
      </c>
      <c r="I86" s="321"/>
      <c r="J86" s="256" t="s">
        <v>1093</v>
      </c>
      <c r="K86" s="340" t="s">
        <v>1172</v>
      </c>
      <c r="L86" s="341" t="s">
        <v>22</v>
      </c>
      <c r="M86" s="341" t="s">
        <v>958</v>
      </c>
      <c r="N86" s="320"/>
      <c r="O86" s="321"/>
      <c r="P86" s="321"/>
      <c r="Q86" s="321"/>
      <c r="R86" s="297"/>
      <c r="S86" s="42"/>
      <c r="T86" s="42"/>
      <c r="U86" s="42"/>
      <c r="V86" s="42"/>
      <c r="W86" s="42"/>
      <c r="X86" s="42"/>
      <c r="Y86" s="42"/>
      <c r="Z86" s="42"/>
      <c r="AA86" s="42"/>
      <c r="AB86" s="42"/>
      <c r="AC86" s="42"/>
      <c r="AD86" s="42"/>
      <c r="AE86" s="42"/>
      <c r="AF86" s="42"/>
      <c r="AG86" s="42"/>
      <c r="AH86" s="42"/>
      <c r="AI86" s="42"/>
      <c r="AJ86" s="42"/>
      <c r="AK86" s="42"/>
      <c r="AL86" s="42"/>
      <c r="AM86" s="42"/>
      <c r="AN86" s="42"/>
    </row>
    <row r="87" spans="1:40" x14ac:dyDescent="0.25">
      <c r="A87" s="320"/>
      <c r="B87" s="321"/>
      <c r="C87" s="321"/>
      <c r="D87" s="321"/>
      <c r="E87" s="256" t="s">
        <v>630</v>
      </c>
      <c r="F87" s="338" t="s">
        <v>1207</v>
      </c>
      <c r="G87" s="339" t="s">
        <v>22</v>
      </c>
      <c r="H87" s="339" t="s">
        <v>959</v>
      </c>
      <c r="I87" s="321"/>
      <c r="J87" s="256" t="s">
        <v>1125</v>
      </c>
      <c r="K87" s="340" t="s">
        <v>1173</v>
      </c>
      <c r="L87" s="341" t="s">
        <v>22</v>
      </c>
      <c r="M87" s="341" t="s">
        <v>959</v>
      </c>
      <c r="N87" s="320"/>
      <c r="O87" s="321"/>
      <c r="P87" s="321"/>
      <c r="Q87" s="321"/>
      <c r="R87" s="297"/>
      <c r="S87" s="42"/>
      <c r="T87" s="42"/>
      <c r="U87" s="42"/>
      <c r="V87" s="42"/>
      <c r="W87" s="42"/>
      <c r="X87" s="42"/>
      <c r="Y87" s="42"/>
      <c r="Z87" s="42"/>
      <c r="AA87" s="42"/>
      <c r="AB87" s="42"/>
      <c r="AC87" s="42"/>
      <c r="AD87" s="42"/>
      <c r="AE87" s="42"/>
      <c r="AF87" s="42"/>
      <c r="AG87" s="42"/>
      <c r="AH87" s="42"/>
      <c r="AI87" s="42"/>
      <c r="AJ87" s="42"/>
      <c r="AK87" s="42"/>
      <c r="AL87" s="42"/>
      <c r="AM87" s="42"/>
      <c r="AN87" s="42"/>
    </row>
    <row r="88" spans="1:40" x14ac:dyDescent="0.25">
      <c r="A88" s="320"/>
      <c r="B88" s="321"/>
      <c r="C88" s="321"/>
      <c r="D88" s="321"/>
      <c r="E88" s="256" t="s">
        <v>634</v>
      </c>
      <c r="F88" s="338" t="s">
        <v>1208</v>
      </c>
      <c r="G88" s="339" t="s">
        <v>22</v>
      </c>
      <c r="H88" s="339" t="s">
        <v>960</v>
      </c>
      <c r="I88" s="321"/>
      <c r="J88" s="256" t="s">
        <v>1138</v>
      </c>
      <c r="K88" s="340" t="s">
        <v>1174</v>
      </c>
      <c r="L88" s="341" t="s">
        <v>22</v>
      </c>
      <c r="M88" s="341" t="s">
        <v>960</v>
      </c>
      <c r="N88" s="320"/>
      <c r="O88" s="321"/>
      <c r="P88" s="321"/>
      <c r="Q88" s="321"/>
      <c r="R88" s="297"/>
      <c r="S88" s="42"/>
      <c r="T88" s="42"/>
      <c r="U88" s="42"/>
      <c r="V88" s="42"/>
      <c r="W88" s="42"/>
      <c r="X88" s="42"/>
      <c r="Y88" s="42"/>
      <c r="Z88" s="42"/>
      <c r="AA88" s="42"/>
      <c r="AB88" s="42"/>
      <c r="AC88" s="42"/>
      <c r="AD88" s="42"/>
      <c r="AE88" s="42"/>
      <c r="AF88" s="42"/>
      <c r="AG88" s="42"/>
      <c r="AH88" s="42"/>
      <c r="AI88" s="42"/>
      <c r="AJ88" s="42"/>
      <c r="AK88" s="42"/>
      <c r="AL88" s="42"/>
      <c r="AM88" s="42"/>
      <c r="AN88" s="42"/>
    </row>
    <row r="89" spans="1:40" x14ac:dyDescent="0.25">
      <c r="A89" s="320"/>
      <c r="B89" s="321"/>
      <c r="C89" s="321"/>
      <c r="D89" s="321"/>
      <c r="E89" s="256" t="s">
        <v>638</v>
      </c>
      <c r="F89" s="338" t="s">
        <v>1209</v>
      </c>
      <c r="G89" s="339" t="s">
        <v>22</v>
      </c>
      <c r="H89" s="339" t="s">
        <v>961</v>
      </c>
      <c r="I89" s="321"/>
      <c r="J89" s="256" t="s">
        <v>1106</v>
      </c>
      <c r="K89" s="340" t="s">
        <v>1175</v>
      </c>
      <c r="L89" s="341" t="s">
        <v>22</v>
      </c>
      <c r="M89" s="341" t="s">
        <v>961</v>
      </c>
      <c r="N89" s="320"/>
      <c r="O89" s="321"/>
      <c r="P89" s="321"/>
      <c r="Q89" s="321"/>
      <c r="R89" s="297"/>
      <c r="S89" s="42"/>
      <c r="T89" s="42"/>
      <c r="U89" s="42"/>
      <c r="V89" s="42"/>
      <c r="W89" s="42"/>
      <c r="X89" s="42"/>
      <c r="Y89" s="42"/>
      <c r="Z89" s="42"/>
      <c r="AA89" s="42"/>
      <c r="AB89" s="42"/>
      <c r="AC89" s="42"/>
      <c r="AD89" s="42"/>
      <c r="AE89" s="42"/>
      <c r="AF89" s="42"/>
      <c r="AG89" s="42"/>
      <c r="AH89" s="42"/>
      <c r="AI89" s="42"/>
      <c r="AJ89" s="42"/>
      <c r="AK89" s="42"/>
      <c r="AL89" s="42"/>
      <c r="AM89" s="42"/>
      <c r="AN89" s="42"/>
    </row>
    <row r="90" spans="1:40" x14ac:dyDescent="0.25">
      <c r="A90" s="320"/>
      <c r="B90" s="321"/>
      <c r="C90" s="321"/>
      <c r="D90" s="321"/>
      <c r="E90" s="256" t="s">
        <v>643</v>
      </c>
      <c r="F90" s="338" t="s">
        <v>1210</v>
      </c>
      <c r="G90" s="339" t="s">
        <v>22</v>
      </c>
      <c r="H90" s="339" t="s">
        <v>962</v>
      </c>
      <c r="I90" s="321"/>
      <c r="J90" s="256" t="s">
        <v>1073</v>
      </c>
      <c r="K90" s="340" t="s">
        <v>1176</v>
      </c>
      <c r="L90" s="341" t="s">
        <v>22</v>
      </c>
      <c r="M90" s="341" t="s">
        <v>962</v>
      </c>
      <c r="N90" s="320"/>
      <c r="O90" s="321"/>
      <c r="P90" s="321"/>
      <c r="Q90" s="321"/>
      <c r="R90" s="297"/>
      <c r="S90" s="42"/>
      <c r="T90" s="42"/>
      <c r="U90" s="42"/>
      <c r="V90" s="42"/>
      <c r="W90" s="42"/>
      <c r="X90" s="42"/>
      <c r="Y90" s="42"/>
      <c r="Z90" s="42"/>
      <c r="AA90" s="42"/>
      <c r="AB90" s="42"/>
      <c r="AC90" s="42"/>
      <c r="AD90" s="42"/>
      <c r="AE90" s="42"/>
      <c r="AF90" s="42"/>
      <c r="AG90" s="42"/>
      <c r="AH90" s="42"/>
      <c r="AI90" s="42"/>
      <c r="AJ90" s="42"/>
      <c r="AK90" s="42"/>
      <c r="AL90" s="42"/>
      <c r="AM90" s="42"/>
      <c r="AN90" s="42"/>
    </row>
    <row r="91" spans="1:40" x14ac:dyDescent="0.25">
      <c r="A91" s="320"/>
      <c r="B91" s="321"/>
      <c r="C91" s="321"/>
      <c r="D91" s="321"/>
      <c r="E91" s="256" t="s">
        <v>648</v>
      </c>
      <c r="F91" s="338" t="s">
        <v>1211</v>
      </c>
      <c r="G91" s="339" t="s">
        <v>22</v>
      </c>
      <c r="H91" s="339" t="s">
        <v>963</v>
      </c>
      <c r="I91" s="321"/>
      <c r="J91" s="256" t="s">
        <v>1040</v>
      </c>
      <c r="K91" s="340" t="s">
        <v>1177</v>
      </c>
      <c r="L91" s="341" t="s">
        <v>22</v>
      </c>
      <c r="M91" s="341" t="s">
        <v>963</v>
      </c>
      <c r="N91" s="320"/>
      <c r="O91" s="321"/>
      <c r="P91" s="321"/>
      <c r="Q91" s="321"/>
      <c r="R91" s="297"/>
      <c r="S91" s="42"/>
      <c r="T91" s="42"/>
      <c r="U91" s="42"/>
      <c r="V91" s="42"/>
      <c r="W91" s="42"/>
      <c r="X91" s="42"/>
      <c r="Y91" s="42"/>
      <c r="Z91" s="42"/>
      <c r="AA91" s="42"/>
      <c r="AB91" s="42"/>
      <c r="AC91" s="42"/>
      <c r="AD91" s="42"/>
      <c r="AE91" s="42"/>
      <c r="AF91" s="42"/>
      <c r="AG91" s="42"/>
      <c r="AH91" s="42"/>
      <c r="AI91" s="42"/>
      <c r="AJ91" s="42"/>
      <c r="AK91" s="42"/>
      <c r="AL91" s="42"/>
      <c r="AM91" s="42"/>
      <c r="AN91" s="42"/>
    </row>
    <row r="92" spans="1:40" x14ac:dyDescent="0.25">
      <c r="A92" s="320"/>
      <c r="B92" s="321"/>
      <c r="C92" s="321"/>
      <c r="D92" s="321"/>
      <c r="E92" s="256" t="s">
        <v>1012</v>
      </c>
      <c r="F92" s="338" t="s">
        <v>1262</v>
      </c>
      <c r="G92" s="339" t="s">
        <v>22</v>
      </c>
      <c r="H92" s="339" t="s">
        <v>1213</v>
      </c>
      <c r="I92" s="321"/>
      <c r="J92" s="256" t="s">
        <v>1028</v>
      </c>
      <c r="K92" s="340" t="s">
        <v>1212</v>
      </c>
      <c r="L92" s="341" t="s">
        <v>22</v>
      </c>
      <c r="M92" s="341" t="s">
        <v>1213</v>
      </c>
      <c r="N92" s="320"/>
      <c r="O92" s="321"/>
      <c r="P92" s="321"/>
      <c r="Q92" s="321"/>
      <c r="R92" s="297"/>
      <c r="S92" s="42"/>
      <c r="T92" s="42"/>
      <c r="U92" s="42"/>
      <c r="V92" s="42"/>
      <c r="W92" s="42"/>
      <c r="X92" s="42"/>
      <c r="Y92" s="42"/>
      <c r="Z92" s="42"/>
      <c r="AA92" s="42"/>
      <c r="AB92" s="42"/>
      <c r="AC92" s="42"/>
      <c r="AD92" s="42"/>
      <c r="AE92" s="42"/>
      <c r="AF92" s="42"/>
      <c r="AG92" s="42"/>
      <c r="AH92" s="42"/>
      <c r="AI92" s="42"/>
      <c r="AJ92" s="42"/>
      <c r="AK92" s="42"/>
      <c r="AL92" s="42"/>
      <c r="AM92" s="42"/>
      <c r="AN92" s="42"/>
    </row>
    <row r="93" spans="1:40" x14ac:dyDescent="0.25">
      <c r="A93" s="320"/>
      <c r="B93" s="321"/>
      <c r="C93" s="321"/>
      <c r="D93" s="321"/>
      <c r="E93" s="256" t="s">
        <v>1045</v>
      </c>
      <c r="F93" s="338" t="s">
        <v>1263</v>
      </c>
      <c r="G93" s="339" t="s">
        <v>22</v>
      </c>
      <c r="H93" s="339" t="s">
        <v>1215</v>
      </c>
      <c r="I93" s="321"/>
      <c r="J93" s="256" t="s">
        <v>1061</v>
      </c>
      <c r="K93" s="340" t="s">
        <v>1214</v>
      </c>
      <c r="L93" s="341" t="s">
        <v>22</v>
      </c>
      <c r="M93" s="341" t="s">
        <v>1215</v>
      </c>
      <c r="N93" s="320"/>
      <c r="O93" s="321"/>
      <c r="P93" s="321"/>
      <c r="Q93" s="321"/>
      <c r="R93" s="297"/>
      <c r="S93" s="42"/>
      <c r="T93" s="42"/>
      <c r="U93" s="42"/>
      <c r="V93" s="42"/>
      <c r="W93" s="42"/>
      <c r="X93" s="42"/>
      <c r="Y93" s="42"/>
      <c r="Z93" s="42"/>
      <c r="AA93" s="42"/>
      <c r="AB93" s="42"/>
      <c r="AC93" s="42"/>
      <c r="AD93" s="42"/>
      <c r="AE93" s="42"/>
      <c r="AF93" s="42"/>
      <c r="AG93" s="42"/>
      <c r="AH93" s="42"/>
      <c r="AI93" s="42"/>
      <c r="AJ93" s="42"/>
      <c r="AK93" s="42"/>
      <c r="AL93" s="42"/>
      <c r="AM93" s="42"/>
      <c r="AN93" s="42"/>
    </row>
    <row r="94" spans="1:40" x14ac:dyDescent="0.25">
      <c r="A94" s="320"/>
      <c r="B94" s="321"/>
      <c r="C94" s="321"/>
      <c r="D94" s="321"/>
      <c r="E94" s="256" t="s">
        <v>1078</v>
      </c>
      <c r="F94" s="338" t="s">
        <v>1264</v>
      </c>
      <c r="G94" s="339" t="s">
        <v>22</v>
      </c>
      <c r="H94" s="339" t="s">
        <v>1213</v>
      </c>
      <c r="I94" s="321"/>
      <c r="J94" s="256" t="s">
        <v>1094</v>
      </c>
      <c r="K94" s="340" t="s">
        <v>1216</v>
      </c>
      <c r="L94" s="341" t="s">
        <v>22</v>
      </c>
      <c r="M94" s="341" t="s">
        <v>1213</v>
      </c>
      <c r="N94" s="320"/>
      <c r="O94" s="321"/>
      <c r="P94" s="321"/>
      <c r="Q94" s="321"/>
      <c r="R94" s="297"/>
      <c r="S94" s="42"/>
      <c r="T94" s="42"/>
      <c r="U94" s="42"/>
      <c r="V94" s="42"/>
      <c r="W94" s="42"/>
      <c r="X94" s="42"/>
      <c r="Y94" s="42"/>
      <c r="Z94" s="42"/>
      <c r="AA94" s="42"/>
      <c r="AB94" s="42"/>
      <c r="AC94" s="42"/>
      <c r="AD94" s="42"/>
      <c r="AE94" s="42"/>
      <c r="AF94" s="42"/>
      <c r="AG94" s="42"/>
      <c r="AH94" s="42"/>
      <c r="AI94" s="42"/>
      <c r="AJ94" s="42"/>
      <c r="AK94" s="42"/>
      <c r="AL94" s="42"/>
      <c r="AM94" s="42"/>
      <c r="AN94" s="42"/>
    </row>
    <row r="95" spans="1:40" x14ac:dyDescent="0.25">
      <c r="A95" s="320"/>
      <c r="B95" s="321"/>
      <c r="C95" s="321"/>
      <c r="D95" s="321"/>
      <c r="E95" s="256" t="s">
        <v>1110</v>
      </c>
      <c r="F95" s="338" t="s">
        <v>1265</v>
      </c>
      <c r="G95" s="339" t="s">
        <v>22</v>
      </c>
      <c r="H95" s="339" t="s">
        <v>1215</v>
      </c>
      <c r="I95" s="321"/>
      <c r="J95" s="256" t="s">
        <v>1126</v>
      </c>
      <c r="K95" s="340" t="s">
        <v>1217</v>
      </c>
      <c r="L95" s="341" t="s">
        <v>22</v>
      </c>
      <c r="M95" s="341" t="s">
        <v>1215</v>
      </c>
      <c r="N95" s="320"/>
      <c r="O95" s="321"/>
      <c r="P95" s="321"/>
      <c r="Q95" s="321"/>
      <c r="R95" s="297"/>
      <c r="S95" s="42"/>
      <c r="T95" s="42"/>
      <c r="U95" s="42"/>
      <c r="V95" s="42"/>
      <c r="W95" s="42"/>
      <c r="X95" s="42"/>
      <c r="Y95" s="42"/>
      <c r="Z95" s="42"/>
      <c r="AA95" s="42"/>
      <c r="AB95" s="42"/>
      <c r="AC95" s="42"/>
      <c r="AD95" s="42"/>
      <c r="AE95" s="42"/>
      <c r="AF95" s="42"/>
      <c r="AG95" s="42"/>
      <c r="AH95" s="42"/>
      <c r="AI95" s="42"/>
      <c r="AJ95" s="42"/>
      <c r="AK95" s="42"/>
      <c r="AL95" s="42"/>
      <c r="AM95" s="42"/>
      <c r="AN95" s="42"/>
    </row>
    <row r="96" spans="1:40" x14ac:dyDescent="0.25">
      <c r="A96" s="320"/>
      <c r="B96" s="321"/>
      <c r="C96" s="321"/>
      <c r="D96" s="321"/>
      <c r="E96" s="256" t="s">
        <v>1121</v>
      </c>
      <c r="F96" s="338" t="s">
        <v>1266</v>
      </c>
      <c r="G96" s="339" t="s">
        <v>22</v>
      </c>
      <c r="H96" s="339" t="s">
        <v>1213</v>
      </c>
      <c r="I96" s="321"/>
      <c r="J96" s="256" t="s">
        <v>1137</v>
      </c>
      <c r="K96" s="340" t="s">
        <v>1218</v>
      </c>
      <c r="L96" s="341" t="s">
        <v>22</v>
      </c>
      <c r="M96" s="341" t="s">
        <v>1213</v>
      </c>
      <c r="N96" s="320"/>
      <c r="O96" s="321"/>
      <c r="P96" s="321"/>
      <c r="Q96" s="321"/>
      <c r="R96" s="297"/>
      <c r="S96" s="42"/>
      <c r="T96" s="42"/>
      <c r="U96" s="42"/>
      <c r="V96" s="42"/>
      <c r="W96" s="42"/>
      <c r="X96" s="42"/>
      <c r="Y96" s="42"/>
      <c r="Z96" s="42"/>
      <c r="AA96" s="42"/>
      <c r="AB96" s="42"/>
      <c r="AC96" s="42"/>
      <c r="AD96" s="42"/>
      <c r="AE96" s="42"/>
      <c r="AF96" s="42"/>
      <c r="AG96" s="42"/>
      <c r="AH96" s="42"/>
      <c r="AI96" s="42"/>
      <c r="AJ96" s="42"/>
      <c r="AK96" s="42"/>
      <c r="AL96" s="42"/>
      <c r="AM96" s="42"/>
      <c r="AN96" s="42"/>
    </row>
    <row r="97" spans="1:40" x14ac:dyDescent="0.25">
      <c r="A97" s="320"/>
      <c r="B97" s="321"/>
      <c r="C97" s="321"/>
      <c r="D97" s="321"/>
      <c r="E97" s="256" t="s">
        <v>1089</v>
      </c>
      <c r="F97" s="338" t="s">
        <v>1267</v>
      </c>
      <c r="G97" s="339" t="s">
        <v>22</v>
      </c>
      <c r="H97" s="339" t="s">
        <v>1215</v>
      </c>
      <c r="I97" s="321"/>
      <c r="J97" s="256" t="s">
        <v>1105</v>
      </c>
      <c r="K97" s="340" t="s">
        <v>1219</v>
      </c>
      <c r="L97" s="341" t="s">
        <v>22</v>
      </c>
      <c r="M97" s="341" t="s">
        <v>1215</v>
      </c>
      <c r="N97" s="320"/>
      <c r="O97" s="321"/>
      <c r="P97" s="321"/>
      <c r="Q97" s="321"/>
      <c r="R97" s="297"/>
      <c r="S97" s="42"/>
      <c r="T97" s="42"/>
      <c r="U97" s="42"/>
      <c r="V97" s="42"/>
      <c r="W97" s="42"/>
      <c r="X97" s="42"/>
      <c r="Y97" s="42"/>
      <c r="Z97" s="42"/>
      <c r="AA97" s="42"/>
      <c r="AB97" s="42"/>
      <c r="AC97" s="42"/>
      <c r="AD97" s="42"/>
      <c r="AE97" s="42"/>
      <c r="AF97" s="42"/>
      <c r="AG97" s="42"/>
      <c r="AH97" s="42"/>
      <c r="AI97" s="42"/>
      <c r="AJ97" s="42"/>
      <c r="AK97" s="42"/>
      <c r="AL97" s="42"/>
      <c r="AM97" s="42"/>
      <c r="AN97" s="42"/>
    </row>
    <row r="98" spans="1:40" x14ac:dyDescent="0.25">
      <c r="A98" s="320"/>
      <c r="B98" s="321"/>
      <c r="C98" s="321"/>
      <c r="D98" s="321"/>
      <c r="E98" s="256" t="s">
        <v>1056</v>
      </c>
      <c r="F98" s="338" t="s">
        <v>1268</v>
      </c>
      <c r="G98" s="339" t="s">
        <v>22</v>
      </c>
      <c r="H98" s="339" t="s">
        <v>1213</v>
      </c>
      <c r="I98" s="321"/>
      <c r="J98" s="256" t="s">
        <v>1072</v>
      </c>
      <c r="K98" s="340" t="s">
        <v>1220</v>
      </c>
      <c r="L98" s="341" t="s">
        <v>22</v>
      </c>
      <c r="M98" s="341" t="s">
        <v>1213</v>
      </c>
      <c r="N98" s="320"/>
      <c r="O98" s="321"/>
      <c r="P98" s="321"/>
      <c r="Q98" s="321"/>
      <c r="R98" s="297"/>
      <c r="S98" s="42"/>
      <c r="T98" s="42"/>
      <c r="U98" s="42"/>
      <c r="V98" s="42"/>
      <c r="W98" s="42"/>
      <c r="X98" s="42"/>
      <c r="Y98" s="42"/>
      <c r="Z98" s="42"/>
      <c r="AA98" s="42"/>
      <c r="AB98" s="42"/>
      <c r="AC98" s="42"/>
      <c r="AD98" s="42"/>
      <c r="AE98" s="42"/>
      <c r="AF98" s="42"/>
      <c r="AG98" s="42"/>
      <c r="AH98" s="42"/>
      <c r="AI98" s="42"/>
      <c r="AJ98" s="42"/>
      <c r="AK98" s="42"/>
      <c r="AL98" s="42"/>
      <c r="AM98" s="42"/>
      <c r="AN98" s="42"/>
    </row>
    <row r="99" spans="1:40" x14ac:dyDescent="0.25">
      <c r="A99" s="320"/>
      <c r="B99" s="321"/>
      <c r="C99" s="321"/>
      <c r="D99" s="321"/>
      <c r="E99" s="256" t="s">
        <v>1023</v>
      </c>
      <c r="F99" s="338" t="s">
        <v>1269</v>
      </c>
      <c r="G99" s="339" t="s">
        <v>22</v>
      </c>
      <c r="H99" s="339" t="s">
        <v>1215</v>
      </c>
      <c r="I99" s="321"/>
      <c r="J99" s="256" t="s">
        <v>1039</v>
      </c>
      <c r="K99" s="340" t="s">
        <v>1221</v>
      </c>
      <c r="L99" s="341" t="s">
        <v>22</v>
      </c>
      <c r="M99" s="341" t="s">
        <v>1215</v>
      </c>
      <c r="N99" s="320"/>
      <c r="O99" s="321"/>
      <c r="P99" s="321"/>
      <c r="Q99" s="321"/>
      <c r="R99" s="297"/>
      <c r="S99" s="42"/>
      <c r="T99" s="42"/>
      <c r="U99" s="42"/>
      <c r="V99" s="42"/>
      <c r="W99" s="42"/>
      <c r="X99" s="42"/>
      <c r="Y99" s="42"/>
      <c r="Z99" s="42"/>
      <c r="AA99" s="42"/>
      <c r="AB99" s="42"/>
      <c r="AC99" s="42"/>
      <c r="AD99" s="42"/>
      <c r="AE99" s="42"/>
      <c r="AF99" s="42"/>
      <c r="AG99" s="42"/>
      <c r="AH99" s="42"/>
      <c r="AI99" s="42"/>
      <c r="AJ99" s="42"/>
      <c r="AK99" s="42"/>
      <c r="AL99" s="42"/>
      <c r="AM99" s="42"/>
      <c r="AN99" s="42"/>
    </row>
    <row r="100" spans="1:40" x14ac:dyDescent="0.25">
      <c r="A100" s="320"/>
      <c r="B100" s="321"/>
      <c r="C100" s="321"/>
      <c r="D100" s="321"/>
      <c r="E100" s="256" t="s">
        <v>1013</v>
      </c>
      <c r="F100" s="338" t="s">
        <v>1270</v>
      </c>
      <c r="G100" s="339" t="s">
        <v>22</v>
      </c>
      <c r="H100" s="339" t="s">
        <v>1213</v>
      </c>
      <c r="I100" s="321"/>
      <c r="J100" s="256" t="s">
        <v>1029</v>
      </c>
      <c r="K100" s="340" t="s">
        <v>1222</v>
      </c>
      <c r="L100" s="341" t="s">
        <v>22</v>
      </c>
      <c r="M100" s="341" t="s">
        <v>1213</v>
      </c>
      <c r="N100" s="320"/>
      <c r="O100" s="321"/>
      <c r="P100" s="321"/>
      <c r="Q100" s="321"/>
      <c r="R100" s="297"/>
      <c r="S100" s="42"/>
      <c r="T100" s="42"/>
      <c r="U100" s="42"/>
      <c r="V100" s="42"/>
      <c r="W100" s="42"/>
      <c r="X100" s="42"/>
      <c r="Y100" s="42"/>
      <c r="Z100" s="42"/>
      <c r="AA100" s="42"/>
      <c r="AB100" s="42"/>
      <c r="AC100" s="42"/>
      <c r="AD100" s="42"/>
      <c r="AE100" s="42"/>
      <c r="AF100" s="42"/>
      <c r="AG100" s="42"/>
      <c r="AH100" s="42"/>
      <c r="AI100" s="42"/>
      <c r="AJ100" s="42"/>
      <c r="AK100" s="42"/>
      <c r="AL100" s="42"/>
      <c r="AM100" s="42"/>
      <c r="AN100" s="42"/>
    </row>
    <row r="101" spans="1:40" x14ac:dyDescent="0.25">
      <c r="A101" s="320"/>
      <c r="B101" s="321"/>
      <c r="C101" s="321"/>
      <c r="D101" s="321"/>
      <c r="E101" s="256" t="s">
        <v>1046</v>
      </c>
      <c r="F101" s="338" t="s">
        <v>1271</v>
      </c>
      <c r="G101" s="339" t="s">
        <v>22</v>
      </c>
      <c r="H101" s="339" t="s">
        <v>1215</v>
      </c>
      <c r="I101" s="321"/>
      <c r="J101" s="256" t="s">
        <v>1062</v>
      </c>
      <c r="K101" s="340" t="s">
        <v>1223</v>
      </c>
      <c r="L101" s="341" t="s">
        <v>22</v>
      </c>
      <c r="M101" s="341" t="s">
        <v>1215</v>
      </c>
      <c r="N101" s="320"/>
      <c r="O101" s="321"/>
      <c r="P101" s="321"/>
      <c r="Q101" s="321"/>
      <c r="R101" s="297"/>
      <c r="S101" s="42"/>
      <c r="T101" s="42"/>
      <c r="U101" s="42"/>
      <c r="V101" s="42"/>
      <c r="W101" s="42"/>
      <c r="X101" s="42"/>
      <c r="Y101" s="42"/>
      <c r="Z101" s="42"/>
      <c r="AA101" s="42"/>
      <c r="AB101" s="42"/>
      <c r="AC101" s="42"/>
      <c r="AD101" s="42"/>
      <c r="AE101" s="42"/>
      <c r="AF101" s="42"/>
      <c r="AG101" s="42"/>
      <c r="AH101" s="42"/>
      <c r="AI101" s="42"/>
      <c r="AJ101" s="42"/>
      <c r="AK101" s="42"/>
      <c r="AL101" s="42"/>
      <c r="AM101" s="42"/>
      <c r="AN101" s="42"/>
    </row>
    <row r="102" spans="1:40" x14ac:dyDescent="0.25">
      <c r="A102" s="320"/>
      <c r="B102" s="321"/>
      <c r="C102" s="321"/>
      <c r="D102" s="321"/>
      <c r="E102" s="256" t="s">
        <v>1079</v>
      </c>
      <c r="F102" s="338" t="s">
        <v>1272</v>
      </c>
      <c r="G102" s="339" t="s">
        <v>22</v>
      </c>
      <c r="H102" s="339" t="s">
        <v>1213</v>
      </c>
      <c r="I102" s="321"/>
      <c r="J102" s="256" t="s">
        <v>1095</v>
      </c>
      <c r="K102" s="340" t="s">
        <v>1224</v>
      </c>
      <c r="L102" s="341" t="s">
        <v>22</v>
      </c>
      <c r="M102" s="341" t="s">
        <v>1213</v>
      </c>
      <c r="N102" s="320"/>
      <c r="O102" s="321"/>
      <c r="P102" s="321"/>
      <c r="Q102" s="321"/>
      <c r="R102" s="297"/>
      <c r="S102" s="42"/>
      <c r="T102" s="42"/>
      <c r="U102" s="42"/>
      <c r="V102" s="42"/>
      <c r="W102" s="42"/>
      <c r="X102" s="42"/>
      <c r="Y102" s="42"/>
      <c r="Z102" s="42"/>
      <c r="AA102" s="42"/>
      <c r="AB102" s="42"/>
      <c r="AC102" s="42"/>
      <c r="AD102" s="42"/>
      <c r="AE102" s="42"/>
      <c r="AF102" s="42"/>
      <c r="AG102" s="42"/>
      <c r="AH102" s="42"/>
      <c r="AI102" s="42"/>
      <c r="AJ102" s="42"/>
      <c r="AK102" s="42"/>
      <c r="AL102" s="42"/>
      <c r="AM102" s="42"/>
      <c r="AN102" s="42"/>
    </row>
    <row r="103" spans="1:40" x14ac:dyDescent="0.25">
      <c r="A103" s="320"/>
      <c r="B103" s="321"/>
      <c r="C103" s="321"/>
      <c r="D103" s="321"/>
      <c r="E103" s="256" t="s">
        <v>1111</v>
      </c>
      <c r="F103" s="338" t="s">
        <v>1273</v>
      </c>
      <c r="G103" s="339" t="s">
        <v>22</v>
      </c>
      <c r="H103" s="339" t="s">
        <v>1215</v>
      </c>
      <c r="I103" s="321"/>
      <c r="J103" s="256" t="s">
        <v>1127</v>
      </c>
      <c r="K103" s="340" t="s">
        <v>1225</v>
      </c>
      <c r="L103" s="341" t="s">
        <v>22</v>
      </c>
      <c r="M103" s="341" t="s">
        <v>1215</v>
      </c>
      <c r="N103" s="320"/>
      <c r="O103" s="321"/>
      <c r="P103" s="321"/>
      <c r="Q103" s="321"/>
      <c r="R103" s="297"/>
      <c r="S103" s="42"/>
      <c r="T103" s="42"/>
      <c r="U103" s="42"/>
      <c r="V103" s="42"/>
      <c r="W103" s="42"/>
      <c r="X103" s="42"/>
      <c r="Y103" s="42"/>
      <c r="Z103" s="42"/>
      <c r="AA103" s="42"/>
      <c r="AB103" s="42"/>
      <c r="AC103" s="42"/>
      <c r="AD103" s="42"/>
      <c r="AE103" s="42"/>
      <c r="AF103" s="42"/>
      <c r="AG103" s="42"/>
      <c r="AH103" s="42"/>
      <c r="AI103" s="42"/>
      <c r="AJ103" s="42"/>
      <c r="AK103" s="42"/>
      <c r="AL103" s="42"/>
      <c r="AM103" s="42"/>
      <c r="AN103" s="42"/>
    </row>
    <row r="104" spans="1:40" x14ac:dyDescent="0.25">
      <c r="A104" s="320"/>
      <c r="B104" s="321"/>
      <c r="C104" s="321"/>
      <c r="D104" s="321"/>
      <c r="E104" s="256" t="s">
        <v>1120</v>
      </c>
      <c r="F104" s="338" t="s">
        <v>1274</v>
      </c>
      <c r="G104" s="339" t="s">
        <v>22</v>
      </c>
      <c r="H104" s="339" t="s">
        <v>1213</v>
      </c>
      <c r="I104" s="321"/>
      <c r="J104" s="256" t="s">
        <v>1136</v>
      </c>
      <c r="K104" s="340" t="s">
        <v>1226</v>
      </c>
      <c r="L104" s="341" t="s">
        <v>22</v>
      </c>
      <c r="M104" s="341" t="s">
        <v>1213</v>
      </c>
      <c r="N104" s="320"/>
      <c r="O104" s="321"/>
      <c r="P104" s="321"/>
      <c r="Q104" s="321"/>
      <c r="R104" s="297"/>
      <c r="S104" s="42"/>
      <c r="T104" s="42"/>
      <c r="U104" s="42"/>
      <c r="V104" s="42"/>
      <c r="W104" s="42"/>
      <c r="X104" s="42"/>
      <c r="Y104" s="42"/>
      <c r="Z104" s="42"/>
      <c r="AA104" s="42"/>
      <c r="AB104" s="42"/>
      <c r="AC104" s="42"/>
      <c r="AD104" s="42"/>
      <c r="AE104" s="42"/>
      <c r="AF104" s="42"/>
      <c r="AG104" s="42"/>
      <c r="AH104" s="42"/>
      <c r="AI104" s="42"/>
      <c r="AJ104" s="42"/>
      <c r="AK104" s="42"/>
      <c r="AL104" s="42"/>
      <c r="AM104" s="42"/>
      <c r="AN104" s="42"/>
    </row>
    <row r="105" spans="1:40" x14ac:dyDescent="0.25">
      <c r="A105" s="320"/>
      <c r="B105" s="321"/>
      <c r="C105" s="321"/>
      <c r="D105" s="321"/>
      <c r="E105" s="256" t="s">
        <v>1088</v>
      </c>
      <c r="F105" s="338" t="s">
        <v>1275</v>
      </c>
      <c r="G105" s="339" t="s">
        <v>22</v>
      </c>
      <c r="H105" s="339" t="s">
        <v>1215</v>
      </c>
      <c r="I105" s="321"/>
      <c r="J105" s="256" t="s">
        <v>1104</v>
      </c>
      <c r="K105" s="340" t="s">
        <v>1227</v>
      </c>
      <c r="L105" s="341" t="s">
        <v>22</v>
      </c>
      <c r="M105" s="341" t="s">
        <v>1215</v>
      </c>
      <c r="N105" s="320"/>
      <c r="O105" s="321"/>
      <c r="P105" s="321"/>
      <c r="Q105" s="321"/>
      <c r="R105" s="297"/>
      <c r="S105" s="42"/>
      <c r="T105" s="42"/>
      <c r="U105" s="42"/>
      <c r="V105" s="42"/>
      <c r="W105" s="42"/>
      <c r="X105" s="42"/>
      <c r="Y105" s="42"/>
      <c r="Z105" s="42"/>
      <c r="AA105" s="42"/>
      <c r="AB105" s="42"/>
      <c r="AC105" s="42"/>
      <c r="AD105" s="42"/>
      <c r="AE105" s="42"/>
      <c r="AF105" s="42"/>
      <c r="AG105" s="42"/>
      <c r="AH105" s="42"/>
      <c r="AI105" s="42"/>
      <c r="AJ105" s="42"/>
      <c r="AK105" s="42"/>
      <c r="AL105" s="42"/>
      <c r="AM105" s="42"/>
      <c r="AN105" s="42"/>
    </row>
    <row r="106" spans="1:40" x14ac:dyDescent="0.25">
      <c r="A106" s="320"/>
      <c r="B106" s="321"/>
      <c r="C106" s="321"/>
      <c r="D106" s="321"/>
      <c r="E106" s="256" t="s">
        <v>1055</v>
      </c>
      <c r="F106" s="338" t="s">
        <v>1276</v>
      </c>
      <c r="G106" s="339" t="s">
        <v>22</v>
      </c>
      <c r="H106" s="339" t="s">
        <v>1213</v>
      </c>
      <c r="I106" s="321"/>
      <c r="J106" s="256" t="s">
        <v>1071</v>
      </c>
      <c r="K106" s="340" t="s">
        <v>1228</v>
      </c>
      <c r="L106" s="341" t="s">
        <v>22</v>
      </c>
      <c r="M106" s="341" t="s">
        <v>1213</v>
      </c>
      <c r="N106" s="320"/>
      <c r="O106" s="321"/>
      <c r="P106" s="321"/>
      <c r="Q106" s="321"/>
      <c r="R106" s="297"/>
      <c r="S106" s="42"/>
      <c r="T106" s="42"/>
      <c r="U106" s="42"/>
      <c r="V106" s="42"/>
      <c r="W106" s="42"/>
      <c r="X106" s="42"/>
      <c r="Y106" s="42"/>
      <c r="Z106" s="42"/>
      <c r="AA106" s="42"/>
      <c r="AB106" s="42"/>
      <c r="AC106" s="42"/>
      <c r="AD106" s="42"/>
      <c r="AE106" s="42"/>
      <c r="AF106" s="42"/>
      <c r="AG106" s="42"/>
      <c r="AH106" s="42"/>
      <c r="AI106" s="42"/>
      <c r="AJ106" s="42"/>
      <c r="AK106" s="42"/>
      <c r="AL106" s="42"/>
      <c r="AM106" s="42"/>
      <c r="AN106" s="42"/>
    </row>
    <row r="107" spans="1:40" x14ac:dyDescent="0.25">
      <c r="A107" s="320"/>
      <c r="B107" s="321"/>
      <c r="C107" s="321"/>
      <c r="D107" s="321"/>
      <c r="E107" s="256" t="s">
        <v>1022</v>
      </c>
      <c r="F107" s="338" t="s">
        <v>1277</v>
      </c>
      <c r="G107" s="339" t="s">
        <v>22</v>
      </c>
      <c r="H107" s="339" t="s">
        <v>1215</v>
      </c>
      <c r="I107" s="321"/>
      <c r="J107" s="256" t="s">
        <v>1038</v>
      </c>
      <c r="K107" s="340" t="s">
        <v>1229</v>
      </c>
      <c r="L107" s="341" t="s">
        <v>22</v>
      </c>
      <c r="M107" s="341" t="s">
        <v>1215</v>
      </c>
      <c r="N107" s="320"/>
      <c r="O107" s="321"/>
      <c r="P107" s="321"/>
      <c r="Q107" s="321"/>
      <c r="R107" s="297"/>
      <c r="S107" s="42"/>
      <c r="T107" s="42"/>
      <c r="U107" s="42"/>
      <c r="V107" s="42"/>
      <c r="W107" s="42"/>
      <c r="X107" s="42"/>
      <c r="Y107" s="42"/>
      <c r="Z107" s="42"/>
      <c r="AA107" s="42"/>
      <c r="AB107" s="42"/>
      <c r="AC107" s="42"/>
      <c r="AD107" s="42"/>
      <c r="AE107" s="42"/>
      <c r="AF107" s="42"/>
      <c r="AG107" s="42"/>
      <c r="AH107" s="42"/>
      <c r="AI107" s="42"/>
      <c r="AJ107" s="42"/>
      <c r="AK107" s="42"/>
      <c r="AL107" s="42"/>
      <c r="AM107" s="42"/>
      <c r="AN107" s="42"/>
    </row>
    <row r="108" spans="1:40" x14ac:dyDescent="0.25">
      <c r="A108" s="320"/>
      <c r="B108" s="321"/>
      <c r="C108" s="321"/>
      <c r="D108" s="321"/>
      <c r="E108" s="256" t="s">
        <v>1014</v>
      </c>
      <c r="F108" s="338" t="s">
        <v>1278</v>
      </c>
      <c r="G108" s="339" t="s">
        <v>22</v>
      </c>
      <c r="H108" s="339" t="s">
        <v>1213</v>
      </c>
      <c r="I108" s="321"/>
      <c r="J108" s="256" t="s">
        <v>1030</v>
      </c>
      <c r="K108" s="340" t="s">
        <v>1230</v>
      </c>
      <c r="L108" s="341" t="s">
        <v>22</v>
      </c>
      <c r="M108" s="341" t="s">
        <v>1213</v>
      </c>
      <c r="N108" s="320"/>
      <c r="O108" s="321"/>
      <c r="P108" s="321"/>
      <c r="Q108" s="321"/>
      <c r="R108" s="297"/>
      <c r="S108" s="42"/>
      <c r="T108" s="42"/>
      <c r="U108" s="42"/>
      <c r="V108" s="42"/>
      <c r="W108" s="42"/>
      <c r="X108" s="42"/>
      <c r="Y108" s="42"/>
      <c r="Z108" s="42"/>
      <c r="AA108" s="42"/>
      <c r="AB108" s="42"/>
      <c r="AC108" s="42"/>
      <c r="AD108" s="42"/>
      <c r="AE108" s="42"/>
      <c r="AF108" s="42"/>
      <c r="AG108" s="42"/>
      <c r="AH108" s="42"/>
      <c r="AI108" s="42"/>
      <c r="AJ108" s="42"/>
      <c r="AK108" s="42"/>
      <c r="AL108" s="42"/>
      <c r="AM108" s="42"/>
      <c r="AN108" s="42"/>
    </row>
    <row r="109" spans="1:40" x14ac:dyDescent="0.25">
      <c r="A109" s="320"/>
      <c r="B109" s="321"/>
      <c r="C109" s="321"/>
      <c r="D109" s="321"/>
      <c r="E109" s="256" t="s">
        <v>1047</v>
      </c>
      <c r="F109" s="338" t="s">
        <v>1279</v>
      </c>
      <c r="G109" s="339" t="s">
        <v>22</v>
      </c>
      <c r="H109" s="339" t="s">
        <v>1215</v>
      </c>
      <c r="I109" s="321"/>
      <c r="J109" s="256" t="s">
        <v>1063</v>
      </c>
      <c r="K109" s="340" t="s">
        <v>1231</v>
      </c>
      <c r="L109" s="341" t="s">
        <v>22</v>
      </c>
      <c r="M109" s="341" t="s">
        <v>1215</v>
      </c>
      <c r="N109" s="320"/>
      <c r="O109" s="321"/>
      <c r="P109" s="321"/>
      <c r="Q109" s="321"/>
      <c r="R109" s="297"/>
      <c r="S109" s="42"/>
      <c r="T109" s="42"/>
      <c r="U109" s="42"/>
      <c r="V109" s="42"/>
      <c r="W109" s="42"/>
      <c r="X109" s="42"/>
      <c r="Y109" s="42"/>
      <c r="Z109" s="42"/>
      <c r="AA109" s="42"/>
      <c r="AB109" s="42"/>
      <c r="AC109" s="42"/>
      <c r="AD109" s="42"/>
      <c r="AE109" s="42"/>
      <c r="AF109" s="42"/>
      <c r="AG109" s="42"/>
      <c r="AH109" s="42"/>
      <c r="AI109" s="42"/>
      <c r="AJ109" s="42"/>
      <c r="AK109" s="42"/>
      <c r="AL109" s="42"/>
      <c r="AM109" s="42"/>
      <c r="AN109" s="42"/>
    </row>
    <row r="110" spans="1:40" x14ac:dyDescent="0.25">
      <c r="A110" s="320"/>
      <c r="B110" s="321"/>
      <c r="C110" s="321"/>
      <c r="D110" s="321"/>
      <c r="E110" s="256" t="s">
        <v>1080</v>
      </c>
      <c r="F110" s="338" t="s">
        <v>1280</v>
      </c>
      <c r="G110" s="339" t="s">
        <v>22</v>
      </c>
      <c r="H110" s="339" t="s">
        <v>1213</v>
      </c>
      <c r="I110" s="321"/>
      <c r="J110" s="256" t="s">
        <v>1096</v>
      </c>
      <c r="K110" s="340" t="s">
        <v>1232</v>
      </c>
      <c r="L110" s="341" t="s">
        <v>22</v>
      </c>
      <c r="M110" s="341" t="s">
        <v>1213</v>
      </c>
      <c r="N110" s="320"/>
      <c r="O110" s="321"/>
      <c r="P110" s="321"/>
      <c r="Q110" s="321"/>
      <c r="R110" s="297"/>
      <c r="S110" s="42"/>
      <c r="T110" s="42"/>
      <c r="U110" s="42"/>
      <c r="V110" s="42"/>
      <c r="W110" s="42"/>
      <c r="X110" s="42"/>
      <c r="Y110" s="42"/>
      <c r="Z110" s="42"/>
      <c r="AA110" s="42"/>
      <c r="AB110" s="42"/>
      <c r="AC110" s="42"/>
      <c r="AD110" s="42"/>
      <c r="AE110" s="42"/>
      <c r="AF110" s="42"/>
      <c r="AG110" s="42"/>
      <c r="AH110" s="42"/>
      <c r="AI110" s="42"/>
      <c r="AJ110" s="42"/>
      <c r="AK110" s="42"/>
      <c r="AL110" s="42"/>
      <c r="AM110" s="42"/>
      <c r="AN110" s="42"/>
    </row>
    <row r="111" spans="1:40" x14ac:dyDescent="0.25">
      <c r="A111" s="320"/>
      <c r="B111" s="321"/>
      <c r="C111" s="321"/>
      <c r="D111" s="321"/>
      <c r="E111" s="256" t="s">
        <v>1112</v>
      </c>
      <c r="F111" s="338" t="s">
        <v>1281</v>
      </c>
      <c r="G111" s="339" t="s">
        <v>22</v>
      </c>
      <c r="H111" s="339" t="s">
        <v>1215</v>
      </c>
      <c r="I111" s="321"/>
      <c r="J111" s="256" t="s">
        <v>1128</v>
      </c>
      <c r="K111" s="340" t="s">
        <v>1233</v>
      </c>
      <c r="L111" s="341" t="s">
        <v>22</v>
      </c>
      <c r="M111" s="341" t="s">
        <v>1215</v>
      </c>
      <c r="N111" s="320"/>
      <c r="O111" s="321"/>
      <c r="P111" s="321"/>
      <c r="Q111" s="321"/>
      <c r="R111" s="297"/>
      <c r="S111" s="42"/>
      <c r="T111" s="42"/>
      <c r="U111" s="42"/>
      <c r="V111" s="42"/>
      <c r="W111" s="42"/>
      <c r="X111" s="42"/>
      <c r="Y111" s="42"/>
      <c r="Z111" s="42"/>
      <c r="AA111" s="42"/>
      <c r="AB111" s="42"/>
      <c r="AC111" s="42"/>
      <c r="AD111" s="42"/>
      <c r="AE111" s="42"/>
      <c r="AF111" s="42"/>
      <c r="AG111" s="42"/>
      <c r="AH111" s="42"/>
      <c r="AI111" s="42"/>
      <c r="AJ111" s="42"/>
      <c r="AK111" s="42"/>
      <c r="AL111" s="42"/>
      <c r="AM111" s="42"/>
      <c r="AN111" s="42"/>
    </row>
    <row r="112" spans="1:40" x14ac:dyDescent="0.25">
      <c r="A112" s="320"/>
      <c r="B112" s="321"/>
      <c r="C112" s="321"/>
      <c r="D112" s="321"/>
      <c r="E112" s="256" t="s">
        <v>1119</v>
      </c>
      <c r="F112" s="338" t="s">
        <v>1282</v>
      </c>
      <c r="G112" s="339" t="s">
        <v>22</v>
      </c>
      <c r="H112" s="339" t="s">
        <v>1213</v>
      </c>
      <c r="I112" s="321"/>
      <c r="J112" s="256" t="s">
        <v>1135</v>
      </c>
      <c r="K112" s="340" t="s">
        <v>1234</v>
      </c>
      <c r="L112" s="341" t="s">
        <v>22</v>
      </c>
      <c r="M112" s="341" t="s">
        <v>1213</v>
      </c>
      <c r="N112" s="320"/>
      <c r="O112" s="321"/>
      <c r="P112" s="321"/>
      <c r="Q112" s="321"/>
      <c r="R112" s="297"/>
      <c r="S112" s="42"/>
      <c r="T112" s="42"/>
      <c r="U112" s="42"/>
      <c r="V112" s="42"/>
      <c r="W112" s="42"/>
      <c r="X112" s="42"/>
      <c r="Y112" s="42"/>
      <c r="Z112" s="42"/>
      <c r="AA112" s="42"/>
      <c r="AB112" s="42"/>
      <c r="AC112" s="42"/>
      <c r="AD112" s="42"/>
      <c r="AE112" s="42"/>
      <c r="AF112" s="42"/>
      <c r="AG112" s="42"/>
      <c r="AH112" s="42"/>
      <c r="AI112" s="42"/>
      <c r="AJ112" s="42"/>
      <c r="AK112" s="42"/>
      <c r="AL112" s="42"/>
      <c r="AM112" s="42"/>
      <c r="AN112" s="42"/>
    </row>
    <row r="113" spans="1:40" x14ac:dyDescent="0.25">
      <c r="A113" s="320"/>
      <c r="B113" s="321"/>
      <c r="C113" s="321"/>
      <c r="D113" s="321"/>
      <c r="E113" s="256" t="s">
        <v>1087</v>
      </c>
      <c r="F113" s="338" t="s">
        <v>1283</v>
      </c>
      <c r="G113" s="339" t="s">
        <v>22</v>
      </c>
      <c r="H113" s="339" t="s">
        <v>1215</v>
      </c>
      <c r="I113" s="321"/>
      <c r="J113" s="256" t="s">
        <v>1103</v>
      </c>
      <c r="K113" s="340" t="s">
        <v>1235</v>
      </c>
      <c r="L113" s="341" t="s">
        <v>22</v>
      </c>
      <c r="M113" s="341" t="s">
        <v>1215</v>
      </c>
      <c r="N113" s="320"/>
      <c r="O113" s="321"/>
      <c r="P113" s="321"/>
      <c r="Q113" s="321"/>
      <c r="R113" s="297"/>
      <c r="S113" s="42"/>
      <c r="T113" s="42"/>
      <c r="U113" s="42"/>
      <c r="V113" s="42"/>
      <c r="W113" s="42"/>
      <c r="X113" s="42"/>
      <c r="Y113" s="42"/>
      <c r="Z113" s="42"/>
      <c r="AA113" s="42"/>
      <c r="AB113" s="42"/>
      <c r="AC113" s="42"/>
      <c r="AD113" s="42"/>
      <c r="AE113" s="42"/>
      <c r="AF113" s="42"/>
      <c r="AG113" s="42"/>
      <c r="AH113" s="42"/>
      <c r="AI113" s="42"/>
      <c r="AJ113" s="42"/>
      <c r="AK113" s="42"/>
      <c r="AL113" s="42"/>
      <c r="AM113" s="42"/>
      <c r="AN113" s="42"/>
    </row>
    <row r="114" spans="1:40" x14ac:dyDescent="0.25">
      <c r="A114" s="320"/>
      <c r="B114" s="321"/>
      <c r="C114" s="321"/>
      <c r="D114" s="321"/>
      <c r="E114" s="256" t="s">
        <v>1054</v>
      </c>
      <c r="F114" s="338" t="s">
        <v>1284</v>
      </c>
      <c r="G114" s="339" t="s">
        <v>22</v>
      </c>
      <c r="H114" s="339" t="s">
        <v>1213</v>
      </c>
      <c r="I114" s="321"/>
      <c r="J114" s="256" t="s">
        <v>1070</v>
      </c>
      <c r="K114" s="340" t="s">
        <v>1236</v>
      </c>
      <c r="L114" s="341" t="s">
        <v>22</v>
      </c>
      <c r="M114" s="341" t="s">
        <v>1213</v>
      </c>
      <c r="N114" s="320"/>
      <c r="O114" s="321"/>
      <c r="P114" s="321"/>
      <c r="Q114" s="321"/>
      <c r="R114" s="297"/>
      <c r="S114" s="42"/>
      <c r="T114" s="42"/>
      <c r="U114" s="42"/>
      <c r="V114" s="42"/>
      <c r="W114" s="42"/>
      <c r="X114" s="42"/>
      <c r="Y114" s="42"/>
      <c r="Z114" s="42"/>
      <c r="AA114" s="42"/>
      <c r="AB114" s="42"/>
      <c r="AC114" s="42"/>
      <c r="AD114" s="42"/>
      <c r="AE114" s="42"/>
      <c r="AF114" s="42"/>
      <c r="AG114" s="42"/>
      <c r="AH114" s="42"/>
      <c r="AI114" s="42"/>
      <c r="AJ114" s="42"/>
      <c r="AK114" s="42"/>
      <c r="AL114" s="42"/>
      <c r="AM114" s="42"/>
      <c r="AN114" s="42"/>
    </row>
    <row r="115" spans="1:40" x14ac:dyDescent="0.25">
      <c r="A115" s="320"/>
      <c r="B115" s="321"/>
      <c r="C115" s="321"/>
      <c r="D115" s="321"/>
      <c r="E115" s="256" t="s">
        <v>1021</v>
      </c>
      <c r="F115" s="338" t="s">
        <v>1285</v>
      </c>
      <c r="G115" s="339" t="s">
        <v>22</v>
      </c>
      <c r="H115" s="339" t="s">
        <v>1215</v>
      </c>
      <c r="I115" s="321"/>
      <c r="J115" s="256" t="s">
        <v>1037</v>
      </c>
      <c r="K115" s="340" t="s">
        <v>1237</v>
      </c>
      <c r="L115" s="341" t="s">
        <v>22</v>
      </c>
      <c r="M115" s="341" t="s">
        <v>1215</v>
      </c>
      <c r="N115" s="320"/>
      <c r="O115" s="321"/>
      <c r="P115" s="321"/>
      <c r="Q115" s="321"/>
      <c r="R115" s="297"/>
      <c r="S115" s="42"/>
      <c r="T115" s="42"/>
      <c r="U115" s="42"/>
      <c r="V115" s="42"/>
      <c r="W115" s="42"/>
      <c r="X115" s="42"/>
      <c r="Y115" s="42"/>
      <c r="Z115" s="42"/>
      <c r="AA115" s="42"/>
      <c r="AB115" s="42"/>
      <c r="AC115" s="42"/>
      <c r="AD115" s="42"/>
      <c r="AE115" s="42"/>
      <c r="AF115" s="42"/>
      <c r="AG115" s="42"/>
      <c r="AH115" s="42"/>
      <c r="AI115" s="42"/>
      <c r="AJ115" s="42"/>
      <c r="AK115" s="42"/>
      <c r="AL115" s="42"/>
      <c r="AM115" s="42"/>
      <c r="AN115" s="42"/>
    </row>
    <row r="116" spans="1:40" x14ac:dyDescent="0.25">
      <c r="A116" s="320"/>
      <c r="B116" s="321"/>
      <c r="C116" s="321"/>
      <c r="D116" s="321"/>
      <c r="E116" s="256" t="s">
        <v>1015</v>
      </c>
      <c r="F116" s="338" t="s">
        <v>1286</v>
      </c>
      <c r="G116" s="339" t="s">
        <v>22</v>
      </c>
      <c r="H116" s="339" t="s">
        <v>1213</v>
      </c>
      <c r="I116" s="321"/>
      <c r="J116" s="256" t="s">
        <v>1031</v>
      </c>
      <c r="K116" s="340" t="s">
        <v>1238</v>
      </c>
      <c r="L116" s="341" t="s">
        <v>22</v>
      </c>
      <c r="M116" s="341" t="s">
        <v>1213</v>
      </c>
      <c r="N116" s="320"/>
      <c r="O116" s="321"/>
      <c r="P116" s="321"/>
      <c r="Q116" s="321"/>
      <c r="R116" s="297"/>
      <c r="S116" s="42"/>
      <c r="T116" s="42"/>
      <c r="U116" s="42"/>
      <c r="V116" s="42"/>
      <c r="W116" s="42"/>
      <c r="X116" s="42"/>
      <c r="Y116" s="42"/>
      <c r="Z116" s="42"/>
      <c r="AA116" s="42"/>
      <c r="AB116" s="42"/>
      <c r="AC116" s="42"/>
      <c r="AD116" s="42"/>
      <c r="AE116" s="42"/>
      <c r="AF116" s="42"/>
      <c r="AG116" s="42"/>
      <c r="AH116" s="42"/>
      <c r="AI116" s="42"/>
      <c r="AJ116" s="42"/>
      <c r="AK116" s="42"/>
      <c r="AL116" s="42"/>
      <c r="AM116" s="42"/>
      <c r="AN116" s="42"/>
    </row>
    <row r="117" spans="1:40" x14ac:dyDescent="0.25">
      <c r="A117" s="320"/>
      <c r="B117" s="321"/>
      <c r="C117" s="321"/>
      <c r="D117" s="321"/>
      <c r="E117" s="256" t="s">
        <v>1048</v>
      </c>
      <c r="F117" s="338" t="s">
        <v>1287</v>
      </c>
      <c r="G117" s="339" t="s">
        <v>22</v>
      </c>
      <c r="H117" s="339" t="s">
        <v>1215</v>
      </c>
      <c r="I117" s="321"/>
      <c r="J117" s="256" t="s">
        <v>1064</v>
      </c>
      <c r="K117" s="340" t="s">
        <v>1239</v>
      </c>
      <c r="L117" s="341" t="s">
        <v>22</v>
      </c>
      <c r="M117" s="341" t="s">
        <v>1215</v>
      </c>
      <c r="N117" s="320"/>
      <c r="O117" s="321"/>
      <c r="P117" s="321"/>
      <c r="Q117" s="321"/>
      <c r="R117" s="297"/>
      <c r="S117" s="42"/>
      <c r="T117" s="42"/>
      <c r="U117" s="42"/>
      <c r="V117" s="42"/>
      <c r="W117" s="42"/>
      <c r="X117" s="42"/>
      <c r="Y117" s="42"/>
      <c r="Z117" s="42"/>
      <c r="AA117" s="42"/>
      <c r="AB117" s="42"/>
      <c r="AC117" s="42"/>
      <c r="AD117" s="42"/>
      <c r="AE117" s="42"/>
      <c r="AF117" s="42"/>
      <c r="AG117" s="42"/>
      <c r="AH117" s="42"/>
      <c r="AI117" s="42"/>
      <c r="AJ117" s="42"/>
      <c r="AK117" s="42"/>
      <c r="AL117" s="42"/>
      <c r="AM117" s="42"/>
      <c r="AN117" s="42"/>
    </row>
    <row r="118" spans="1:40" x14ac:dyDescent="0.25">
      <c r="A118" s="320"/>
      <c r="B118" s="321"/>
      <c r="C118" s="321"/>
      <c r="D118" s="321"/>
      <c r="E118" s="256" t="s">
        <v>1081</v>
      </c>
      <c r="F118" s="338" t="s">
        <v>1288</v>
      </c>
      <c r="G118" s="339" t="s">
        <v>22</v>
      </c>
      <c r="H118" s="339" t="s">
        <v>1213</v>
      </c>
      <c r="I118" s="321"/>
      <c r="J118" s="256" t="s">
        <v>1097</v>
      </c>
      <c r="K118" s="340" t="s">
        <v>1240</v>
      </c>
      <c r="L118" s="341" t="s">
        <v>22</v>
      </c>
      <c r="M118" s="341" t="s">
        <v>1213</v>
      </c>
      <c r="N118" s="320"/>
      <c r="O118" s="321"/>
      <c r="P118" s="321"/>
      <c r="Q118" s="321"/>
      <c r="R118" s="297"/>
      <c r="S118" s="42"/>
      <c r="T118" s="42"/>
      <c r="U118" s="42"/>
      <c r="V118" s="42"/>
      <c r="W118" s="42"/>
      <c r="X118" s="42"/>
      <c r="Y118" s="42"/>
      <c r="Z118" s="42"/>
      <c r="AA118" s="42"/>
      <c r="AB118" s="42"/>
      <c r="AC118" s="42"/>
      <c r="AD118" s="42"/>
      <c r="AE118" s="42"/>
      <c r="AF118" s="42"/>
      <c r="AG118" s="42"/>
      <c r="AH118" s="42"/>
      <c r="AI118" s="42"/>
      <c r="AJ118" s="42"/>
      <c r="AK118" s="42"/>
      <c r="AL118" s="42"/>
      <c r="AM118" s="42"/>
      <c r="AN118" s="42"/>
    </row>
    <row r="119" spans="1:40" x14ac:dyDescent="0.25">
      <c r="A119" s="320"/>
      <c r="B119" s="321"/>
      <c r="C119" s="321"/>
      <c r="D119" s="321"/>
      <c r="E119" s="256" t="s">
        <v>1113</v>
      </c>
      <c r="F119" s="338" t="s">
        <v>1289</v>
      </c>
      <c r="G119" s="339" t="s">
        <v>22</v>
      </c>
      <c r="H119" s="339" t="s">
        <v>1215</v>
      </c>
      <c r="I119" s="321"/>
      <c r="J119" s="256" t="s">
        <v>1129</v>
      </c>
      <c r="K119" s="340" t="s">
        <v>1241</v>
      </c>
      <c r="L119" s="341" t="s">
        <v>22</v>
      </c>
      <c r="M119" s="341" t="s">
        <v>1215</v>
      </c>
      <c r="N119" s="320"/>
      <c r="O119" s="321"/>
      <c r="P119" s="321"/>
      <c r="Q119" s="321"/>
      <c r="R119" s="297"/>
      <c r="S119" s="42"/>
      <c r="T119" s="42"/>
      <c r="U119" s="42"/>
      <c r="V119" s="42"/>
      <c r="W119" s="42"/>
      <c r="X119" s="42"/>
      <c r="Y119" s="42"/>
      <c r="Z119" s="42"/>
      <c r="AA119" s="42"/>
      <c r="AB119" s="42"/>
      <c r="AC119" s="42"/>
      <c r="AD119" s="42"/>
      <c r="AE119" s="42"/>
      <c r="AF119" s="42"/>
      <c r="AG119" s="42"/>
      <c r="AH119" s="42"/>
      <c r="AI119" s="42"/>
      <c r="AJ119" s="42"/>
      <c r="AK119" s="42"/>
      <c r="AL119" s="42"/>
      <c r="AM119" s="42"/>
      <c r="AN119" s="42"/>
    </row>
    <row r="120" spans="1:40" x14ac:dyDescent="0.25">
      <c r="A120" s="320"/>
      <c r="B120" s="321"/>
      <c r="C120" s="321"/>
      <c r="D120" s="321"/>
      <c r="E120" s="256" t="s">
        <v>1118</v>
      </c>
      <c r="F120" s="338" t="s">
        <v>1290</v>
      </c>
      <c r="G120" s="339" t="s">
        <v>22</v>
      </c>
      <c r="H120" s="339" t="s">
        <v>1213</v>
      </c>
      <c r="I120" s="321"/>
      <c r="J120" s="256" t="s">
        <v>1134</v>
      </c>
      <c r="K120" s="340" t="s">
        <v>1242</v>
      </c>
      <c r="L120" s="341" t="s">
        <v>22</v>
      </c>
      <c r="M120" s="341" t="s">
        <v>1213</v>
      </c>
      <c r="N120" s="320"/>
      <c r="O120" s="321"/>
      <c r="P120" s="321"/>
      <c r="Q120" s="321"/>
      <c r="R120" s="297"/>
      <c r="S120" s="42"/>
      <c r="T120" s="42"/>
      <c r="U120" s="42"/>
      <c r="V120" s="42"/>
      <c r="W120" s="42"/>
      <c r="X120" s="42"/>
      <c r="Y120" s="42"/>
      <c r="Z120" s="42"/>
      <c r="AA120" s="42"/>
      <c r="AB120" s="42"/>
      <c r="AC120" s="42"/>
      <c r="AD120" s="42"/>
      <c r="AE120" s="42"/>
      <c r="AF120" s="42"/>
      <c r="AG120" s="42"/>
      <c r="AH120" s="42"/>
      <c r="AI120" s="42"/>
      <c r="AJ120" s="42"/>
      <c r="AK120" s="42"/>
      <c r="AL120" s="42"/>
      <c r="AM120" s="42"/>
      <c r="AN120" s="42"/>
    </row>
    <row r="121" spans="1:40" x14ac:dyDescent="0.25">
      <c r="A121" s="320"/>
      <c r="B121" s="321"/>
      <c r="C121" s="321"/>
      <c r="D121" s="321"/>
      <c r="E121" s="256" t="s">
        <v>1086</v>
      </c>
      <c r="F121" s="338" t="s">
        <v>1291</v>
      </c>
      <c r="G121" s="339" t="s">
        <v>22</v>
      </c>
      <c r="H121" s="339" t="s">
        <v>1215</v>
      </c>
      <c r="I121" s="321"/>
      <c r="J121" s="256" t="s">
        <v>1102</v>
      </c>
      <c r="K121" s="340" t="s">
        <v>1243</v>
      </c>
      <c r="L121" s="341" t="s">
        <v>22</v>
      </c>
      <c r="M121" s="341" t="s">
        <v>1215</v>
      </c>
      <c r="N121" s="320"/>
      <c r="O121" s="321"/>
      <c r="P121" s="321"/>
      <c r="Q121" s="321"/>
      <c r="R121" s="297"/>
      <c r="S121" s="42"/>
      <c r="T121" s="42"/>
      <c r="U121" s="42"/>
      <c r="V121" s="42"/>
      <c r="W121" s="42"/>
      <c r="X121" s="42"/>
      <c r="Y121" s="42"/>
      <c r="Z121" s="42"/>
      <c r="AA121" s="42"/>
      <c r="AB121" s="42"/>
      <c r="AC121" s="42"/>
      <c r="AD121" s="42"/>
      <c r="AE121" s="42"/>
      <c r="AF121" s="42"/>
      <c r="AG121" s="42"/>
      <c r="AH121" s="42"/>
      <c r="AI121" s="42"/>
      <c r="AJ121" s="42"/>
      <c r="AK121" s="42"/>
      <c r="AL121" s="42"/>
      <c r="AM121" s="42"/>
      <c r="AN121" s="42"/>
    </row>
    <row r="122" spans="1:40" x14ac:dyDescent="0.25">
      <c r="A122" s="320"/>
      <c r="B122" s="321"/>
      <c r="C122" s="321"/>
      <c r="D122" s="321"/>
      <c r="E122" s="256" t="s">
        <v>1053</v>
      </c>
      <c r="F122" s="338" t="s">
        <v>1292</v>
      </c>
      <c r="G122" s="339" t="s">
        <v>22</v>
      </c>
      <c r="H122" s="339" t="s">
        <v>1213</v>
      </c>
      <c r="I122" s="321"/>
      <c r="J122" s="256" t="s">
        <v>1069</v>
      </c>
      <c r="K122" s="340" t="s">
        <v>1244</v>
      </c>
      <c r="L122" s="341" t="s">
        <v>22</v>
      </c>
      <c r="M122" s="341" t="s">
        <v>1213</v>
      </c>
      <c r="N122" s="320"/>
      <c r="O122" s="321"/>
      <c r="P122" s="321"/>
      <c r="Q122" s="321"/>
      <c r="R122" s="297"/>
      <c r="S122" s="42"/>
      <c r="T122" s="42"/>
      <c r="U122" s="42"/>
      <c r="V122" s="42"/>
      <c r="W122" s="42"/>
      <c r="X122" s="42"/>
      <c r="Y122" s="42"/>
      <c r="Z122" s="42"/>
      <c r="AA122" s="42"/>
      <c r="AB122" s="42"/>
      <c r="AC122" s="42"/>
      <c r="AD122" s="42"/>
      <c r="AE122" s="42"/>
      <c r="AF122" s="42"/>
      <c r="AG122" s="42"/>
      <c r="AH122" s="42"/>
      <c r="AI122" s="42"/>
      <c r="AJ122" s="42"/>
      <c r="AK122" s="42"/>
      <c r="AL122" s="42"/>
      <c r="AM122" s="42"/>
      <c r="AN122" s="42"/>
    </row>
    <row r="123" spans="1:40" x14ac:dyDescent="0.25">
      <c r="A123" s="320"/>
      <c r="B123" s="321"/>
      <c r="C123" s="321"/>
      <c r="D123" s="321"/>
      <c r="E123" s="256" t="s">
        <v>1020</v>
      </c>
      <c r="F123" s="338" t="s">
        <v>1293</v>
      </c>
      <c r="G123" s="339" t="s">
        <v>22</v>
      </c>
      <c r="H123" s="339" t="s">
        <v>1215</v>
      </c>
      <c r="I123" s="321"/>
      <c r="J123" s="256" t="s">
        <v>1036</v>
      </c>
      <c r="K123" s="340" t="s">
        <v>1245</v>
      </c>
      <c r="L123" s="341" t="s">
        <v>22</v>
      </c>
      <c r="M123" s="341" t="s">
        <v>1215</v>
      </c>
      <c r="N123" s="320"/>
      <c r="O123" s="321"/>
      <c r="P123" s="321"/>
      <c r="Q123" s="321"/>
      <c r="R123" s="297"/>
      <c r="S123" s="42"/>
      <c r="T123" s="42"/>
      <c r="U123" s="42"/>
      <c r="V123" s="42"/>
      <c r="W123" s="42"/>
      <c r="X123" s="42"/>
      <c r="Y123" s="42"/>
      <c r="Z123" s="42"/>
      <c r="AA123" s="42"/>
      <c r="AB123" s="42"/>
      <c r="AC123" s="42"/>
      <c r="AD123" s="42"/>
      <c r="AE123" s="42"/>
      <c r="AF123" s="42"/>
      <c r="AG123" s="42"/>
      <c r="AH123" s="42"/>
      <c r="AI123" s="42"/>
      <c r="AJ123" s="42"/>
      <c r="AK123" s="42"/>
      <c r="AL123" s="42"/>
      <c r="AM123" s="42"/>
      <c r="AN123" s="42"/>
    </row>
    <row r="124" spans="1:40" x14ac:dyDescent="0.25">
      <c r="A124" s="320"/>
      <c r="B124" s="321"/>
      <c r="C124" s="321"/>
      <c r="D124" s="321"/>
      <c r="E124" s="256" t="s">
        <v>1016</v>
      </c>
      <c r="F124" s="338" t="s">
        <v>1294</v>
      </c>
      <c r="G124" s="339" t="s">
        <v>22</v>
      </c>
      <c r="H124" s="339" t="s">
        <v>1213</v>
      </c>
      <c r="I124" s="321"/>
      <c r="J124" s="256" t="s">
        <v>1032</v>
      </c>
      <c r="K124" s="340" t="s">
        <v>1246</v>
      </c>
      <c r="L124" s="341" t="s">
        <v>22</v>
      </c>
      <c r="M124" s="341" t="s">
        <v>1213</v>
      </c>
      <c r="N124" s="320"/>
      <c r="O124" s="321"/>
      <c r="P124" s="321"/>
      <c r="Q124" s="321"/>
      <c r="R124" s="297"/>
      <c r="S124" s="42"/>
      <c r="T124" s="42"/>
      <c r="U124" s="42"/>
      <c r="V124" s="42"/>
      <c r="W124" s="42"/>
      <c r="X124" s="42"/>
      <c r="Y124" s="42"/>
      <c r="Z124" s="42"/>
      <c r="AA124" s="42"/>
      <c r="AB124" s="42"/>
      <c r="AC124" s="42"/>
      <c r="AD124" s="42"/>
      <c r="AE124" s="42"/>
      <c r="AF124" s="42"/>
      <c r="AG124" s="42"/>
      <c r="AH124" s="42"/>
      <c r="AI124" s="42"/>
      <c r="AJ124" s="42"/>
      <c r="AK124" s="42"/>
      <c r="AL124" s="42"/>
      <c r="AM124" s="42"/>
      <c r="AN124" s="42"/>
    </row>
    <row r="125" spans="1:40" x14ac:dyDescent="0.25">
      <c r="A125" s="320"/>
      <c r="B125" s="321"/>
      <c r="C125" s="321"/>
      <c r="D125" s="321"/>
      <c r="E125" s="256" t="s">
        <v>1049</v>
      </c>
      <c r="F125" s="338" t="s">
        <v>1295</v>
      </c>
      <c r="G125" s="339" t="s">
        <v>22</v>
      </c>
      <c r="H125" s="339" t="s">
        <v>1215</v>
      </c>
      <c r="I125" s="321"/>
      <c r="J125" s="256" t="s">
        <v>1065</v>
      </c>
      <c r="K125" s="340" t="s">
        <v>1247</v>
      </c>
      <c r="L125" s="341" t="s">
        <v>22</v>
      </c>
      <c r="M125" s="341" t="s">
        <v>1215</v>
      </c>
      <c r="N125" s="320"/>
      <c r="O125" s="321"/>
      <c r="P125" s="321"/>
      <c r="Q125" s="321"/>
      <c r="R125" s="297"/>
      <c r="S125" s="42"/>
      <c r="T125" s="42"/>
      <c r="U125" s="42"/>
      <c r="V125" s="42"/>
      <c r="W125" s="42"/>
      <c r="X125" s="42"/>
      <c r="Y125" s="42"/>
      <c r="Z125" s="42"/>
      <c r="AA125" s="42"/>
      <c r="AB125" s="42"/>
      <c r="AC125" s="42"/>
      <c r="AD125" s="42"/>
      <c r="AE125" s="42"/>
      <c r="AF125" s="42"/>
      <c r="AG125" s="42"/>
      <c r="AH125" s="42"/>
      <c r="AI125" s="42"/>
      <c r="AJ125" s="42"/>
      <c r="AK125" s="42"/>
      <c r="AL125" s="42"/>
      <c r="AM125" s="42"/>
      <c r="AN125" s="42"/>
    </row>
    <row r="126" spans="1:40" x14ac:dyDescent="0.25">
      <c r="A126" s="320"/>
      <c r="B126" s="321"/>
      <c r="C126" s="321"/>
      <c r="D126" s="321"/>
      <c r="E126" s="256" t="s">
        <v>1082</v>
      </c>
      <c r="F126" s="338" t="s">
        <v>1296</v>
      </c>
      <c r="G126" s="339" t="s">
        <v>22</v>
      </c>
      <c r="H126" s="339" t="s">
        <v>1213</v>
      </c>
      <c r="I126" s="321"/>
      <c r="J126" s="256" t="s">
        <v>1098</v>
      </c>
      <c r="K126" s="340" t="s">
        <v>1248</v>
      </c>
      <c r="L126" s="341" t="s">
        <v>22</v>
      </c>
      <c r="M126" s="341" t="s">
        <v>1213</v>
      </c>
      <c r="N126" s="320"/>
      <c r="O126" s="321"/>
      <c r="P126" s="321"/>
      <c r="Q126" s="321"/>
      <c r="R126" s="297"/>
      <c r="S126" s="42"/>
      <c r="T126" s="42"/>
      <c r="U126" s="42"/>
      <c r="V126" s="42"/>
      <c r="W126" s="42"/>
      <c r="X126" s="42"/>
      <c r="Y126" s="42"/>
      <c r="Z126" s="42"/>
      <c r="AA126" s="42"/>
      <c r="AB126" s="42"/>
      <c r="AC126" s="42"/>
      <c r="AD126" s="42"/>
      <c r="AE126" s="42"/>
      <c r="AF126" s="42"/>
      <c r="AG126" s="42"/>
      <c r="AH126" s="42"/>
      <c r="AI126" s="42"/>
      <c r="AJ126" s="42"/>
      <c r="AK126" s="42"/>
      <c r="AL126" s="42"/>
      <c r="AM126" s="42"/>
      <c r="AN126" s="42"/>
    </row>
    <row r="127" spans="1:40" x14ac:dyDescent="0.25">
      <c r="A127" s="320"/>
      <c r="B127" s="321"/>
      <c r="C127" s="321"/>
      <c r="D127" s="321"/>
      <c r="E127" s="256" t="s">
        <v>1114</v>
      </c>
      <c r="F127" s="338" t="s">
        <v>1297</v>
      </c>
      <c r="G127" s="339" t="s">
        <v>22</v>
      </c>
      <c r="H127" s="339" t="s">
        <v>1215</v>
      </c>
      <c r="I127" s="321"/>
      <c r="J127" s="256" t="s">
        <v>1130</v>
      </c>
      <c r="K127" s="340" t="s">
        <v>1249</v>
      </c>
      <c r="L127" s="341" t="s">
        <v>22</v>
      </c>
      <c r="M127" s="341" t="s">
        <v>1215</v>
      </c>
      <c r="N127" s="320"/>
      <c r="O127" s="321"/>
      <c r="P127" s="321"/>
      <c r="Q127" s="321"/>
      <c r="R127" s="297"/>
      <c r="S127" s="42"/>
      <c r="T127" s="42"/>
      <c r="U127" s="42"/>
      <c r="V127" s="42"/>
      <c r="W127" s="42"/>
      <c r="X127" s="42"/>
      <c r="Y127" s="42"/>
      <c r="Z127" s="42"/>
      <c r="AA127" s="42"/>
      <c r="AB127" s="42"/>
      <c r="AC127" s="42"/>
      <c r="AD127" s="42"/>
      <c r="AE127" s="42"/>
      <c r="AF127" s="42"/>
      <c r="AG127" s="42"/>
      <c r="AH127" s="42"/>
      <c r="AI127" s="42"/>
      <c r="AJ127" s="42"/>
      <c r="AK127" s="42"/>
      <c r="AL127" s="42"/>
      <c r="AM127" s="42"/>
      <c r="AN127" s="42"/>
    </row>
    <row r="128" spans="1:40" x14ac:dyDescent="0.25">
      <c r="A128" s="320"/>
      <c r="B128" s="321"/>
      <c r="C128" s="321"/>
      <c r="D128" s="321"/>
      <c r="E128" s="256" t="s">
        <v>1117</v>
      </c>
      <c r="F128" s="338" t="s">
        <v>1298</v>
      </c>
      <c r="G128" s="339" t="s">
        <v>22</v>
      </c>
      <c r="H128" s="339" t="s">
        <v>1213</v>
      </c>
      <c r="I128" s="321"/>
      <c r="J128" s="256" t="s">
        <v>1133</v>
      </c>
      <c r="K128" s="340" t="s">
        <v>1250</v>
      </c>
      <c r="L128" s="341" t="s">
        <v>22</v>
      </c>
      <c r="M128" s="341" t="s">
        <v>1213</v>
      </c>
      <c r="N128" s="320"/>
      <c r="O128" s="321"/>
      <c r="P128" s="321"/>
      <c r="Q128" s="321"/>
      <c r="R128" s="297"/>
      <c r="S128" s="42"/>
      <c r="T128" s="42"/>
      <c r="U128" s="42"/>
      <c r="V128" s="42"/>
      <c r="W128" s="42"/>
      <c r="X128" s="42"/>
      <c r="Y128" s="42"/>
      <c r="Z128" s="42"/>
      <c r="AA128" s="42"/>
      <c r="AB128" s="42"/>
      <c r="AC128" s="42"/>
      <c r="AD128" s="42"/>
      <c r="AE128" s="42"/>
      <c r="AF128" s="42"/>
      <c r="AG128" s="42"/>
      <c r="AH128" s="42"/>
      <c r="AI128" s="42"/>
      <c r="AJ128" s="42"/>
      <c r="AK128" s="42"/>
      <c r="AL128" s="42"/>
      <c r="AM128" s="42"/>
      <c r="AN128" s="42"/>
    </row>
    <row r="129" spans="1:40" x14ac:dyDescent="0.25">
      <c r="A129" s="320"/>
      <c r="B129" s="321"/>
      <c r="C129" s="321"/>
      <c r="D129" s="321"/>
      <c r="E129" s="256" t="s">
        <v>1085</v>
      </c>
      <c r="F129" s="338" t="s">
        <v>1299</v>
      </c>
      <c r="G129" s="339" t="s">
        <v>22</v>
      </c>
      <c r="H129" s="339" t="s">
        <v>1215</v>
      </c>
      <c r="I129" s="321"/>
      <c r="J129" s="256" t="s">
        <v>1101</v>
      </c>
      <c r="K129" s="340" t="s">
        <v>1251</v>
      </c>
      <c r="L129" s="341" t="s">
        <v>22</v>
      </c>
      <c r="M129" s="341" t="s">
        <v>1215</v>
      </c>
      <c r="N129" s="320"/>
      <c r="O129" s="321"/>
      <c r="P129" s="321"/>
      <c r="Q129" s="321"/>
      <c r="R129" s="297"/>
      <c r="S129" s="42"/>
      <c r="T129" s="42"/>
      <c r="U129" s="42"/>
      <c r="V129" s="42"/>
      <c r="W129" s="42"/>
      <c r="X129" s="42"/>
      <c r="Y129" s="42"/>
      <c r="Z129" s="42"/>
      <c r="AA129" s="42"/>
      <c r="AB129" s="42"/>
      <c r="AC129" s="42"/>
      <c r="AD129" s="42"/>
      <c r="AE129" s="42"/>
      <c r="AF129" s="42"/>
      <c r="AG129" s="42"/>
      <c r="AH129" s="42"/>
      <c r="AI129" s="42"/>
      <c r="AJ129" s="42"/>
      <c r="AK129" s="42"/>
      <c r="AL129" s="42"/>
      <c r="AM129" s="42"/>
      <c r="AN129" s="42"/>
    </row>
    <row r="130" spans="1:40" x14ac:dyDescent="0.25">
      <c r="A130" s="320"/>
      <c r="B130" s="321"/>
      <c r="C130" s="321"/>
      <c r="D130" s="321"/>
      <c r="E130" s="256" t="s">
        <v>1052</v>
      </c>
      <c r="F130" s="338" t="s">
        <v>1300</v>
      </c>
      <c r="G130" s="339" t="s">
        <v>22</v>
      </c>
      <c r="H130" s="339" t="s">
        <v>1213</v>
      </c>
      <c r="I130" s="321"/>
      <c r="J130" s="256" t="s">
        <v>1068</v>
      </c>
      <c r="K130" s="340" t="s">
        <v>1252</v>
      </c>
      <c r="L130" s="341" t="s">
        <v>22</v>
      </c>
      <c r="M130" s="341" t="s">
        <v>1213</v>
      </c>
      <c r="N130" s="320"/>
      <c r="O130" s="321"/>
      <c r="P130" s="321"/>
      <c r="Q130" s="321"/>
      <c r="R130" s="297"/>
      <c r="S130" s="42"/>
      <c r="T130" s="42"/>
      <c r="U130" s="42"/>
      <c r="V130" s="42"/>
      <c r="W130" s="42"/>
      <c r="X130" s="42"/>
      <c r="Y130" s="42"/>
      <c r="Z130" s="42"/>
      <c r="AA130" s="42"/>
      <c r="AB130" s="42"/>
      <c r="AC130" s="42"/>
      <c r="AD130" s="42"/>
      <c r="AE130" s="42"/>
      <c r="AF130" s="42"/>
      <c r="AG130" s="42"/>
      <c r="AH130" s="42"/>
      <c r="AI130" s="42"/>
      <c r="AJ130" s="42"/>
      <c r="AK130" s="42"/>
      <c r="AL130" s="42"/>
      <c r="AM130" s="42"/>
      <c r="AN130" s="42"/>
    </row>
    <row r="131" spans="1:40" x14ac:dyDescent="0.25">
      <c r="A131" s="320"/>
      <c r="B131" s="321"/>
      <c r="C131" s="321"/>
      <c r="D131" s="321"/>
      <c r="E131" s="256" t="s">
        <v>1019</v>
      </c>
      <c r="F131" s="338" t="s">
        <v>1301</v>
      </c>
      <c r="G131" s="339" t="s">
        <v>22</v>
      </c>
      <c r="H131" s="339" t="s">
        <v>1215</v>
      </c>
      <c r="I131" s="321"/>
      <c r="J131" s="256" t="s">
        <v>1035</v>
      </c>
      <c r="K131" s="340" t="s">
        <v>1253</v>
      </c>
      <c r="L131" s="341" t="s">
        <v>22</v>
      </c>
      <c r="M131" s="341" t="s">
        <v>1215</v>
      </c>
      <c r="N131" s="320"/>
      <c r="O131" s="321"/>
      <c r="P131" s="321"/>
      <c r="Q131" s="321"/>
      <c r="R131" s="297"/>
      <c r="S131" s="42"/>
      <c r="T131" s="42"/>
      <c r="U131" s="42"/>
      <c r="V131" s="42"/>
      <c r="W131" s="42"/>
      <c r="X131" s="42"/>
      <c r="Y131" s="42"/>
      <c r="Z131" s="42"/>
      <c r="AA131" s="42"/>
      <c r="AB131" s="42"/>
      <c r="AC131" s="42"/>
      <c r="AD131" s="42"/>
      <c r="AE131" s="42"/>
      <c r="AF131" s="42"/>
      <c r="AG131" s="42"/>
      <c r="AH131" s="42"/>
      <c r="AI131" s="42"/>
      <c r="AJ131" s="42"/>
      <c r="AK131" s="42"/>
      <c r="AL131" s="42"/>
      <c r="AM131" s="42"/>
      <c r="AN131" s="42"/>
    </row>
    <row r="132" spans="1:40" x14ac:dyDescent="0.25">
      <c r="A132" s="320"/>
      <c r="B132" s="321"/>
      <c r="C132" s="321"/>
      <c r="D132" s="321"/>
      <c r="E132" s="256" t="s">
        <v>1017</v>
      </c>
      <c r="F132" s="338" t="s">
        <v>1302</v>
      </c>
      <c r="G132" s="339" t="s">
        <v>22</v>
      </c>
      <c r="H132" s="339" t="s">
        <v>1213</v>
      </c>
      <c r="I132" s="321"/>
      <c r="J132" s="256" t="s">
        <v>1033</v>
      </c>
      <c r="K132" s="340" t="s">
        <v>1254</v>
      </c>
      <c r="L132" s="341" t="s">
        <v>22</v>
      </c>
      <c r="M132" s="341" t="s">
        <v>1213</v>
      </c>
      <c r="N132" s="320"/>
      <c r="O132" s="321"/>
      <c r="P132" s="321"/>
      <c r="Q132" s="321"/>
      <c r="R132" s="297"/>
      <c r="S132" s="42"/>
      <c r="T132" s="42"/>
      <c r="U132" s="42"/>
      <c r="V132" s="42"/>
      <c r="W132" s="42"/>
      <c r="X132" s="42"/>
      <c r="Y132" s="42"/>
      <c r="Z132" s="42"/>
      <c r="AA132" s="42"/>
      <c r="AB132" s="42"/>
      <c r="AC132" s="42"/>
      <c r="AD132" s="42"/>
      <c r="AE132" s="42"/>
      <c r="AF132" s="42"/>
      <c r="AG132" s="42"/>
      <c r="AH132" s="42"/>
      <c r="AI132" s="42"/>
      <c r="AJ132" s="42"/>
      <c r="AK132" s="42"/>
      <c r="AL132" s="42"/>
      <c r="AM132" s="42"/>
      <c r="AN132" s="42"/>
    </row>
    <row r="133" spans="1:40" x14ac:dyDescent="0.25">
      <c r="A133" s="320"/>
      <c r="B133" s="321"/>
      <c r="C133" s="321"/>
      <c r="D133" s="321"/>
      <c r="E133" s="256" t="s">
        <v>1050</v>
      </c>
      <c r="F133" s="338" t="s">
        <v>1303</v>
      </c>
      <c r="G133" s="339" t="s">
        <v>22</v>
      </c>
      <c r="H133" s="339" t="s">
        <v>1215</v>
      </c>
      <c r="I133" s="321"/>
      <c r="J133" s="256" t="s">
        <v>1066</v>
      </c>
      <c r="K133" s="340" t="s">
        <v>1255</v>
      </c>
      <c r="L133" s="341" t="s">
        <v>22</v>
      </c>
      <c r="M133" s="341" t="s">
        <v>1215</v>
      </c>
      <c r="N133" s="320"/>
      <c r="O133" s="321"/>
      <c r="P133" s="321"/>
      <c r="Q133" s="321"/>
      <c r="R133" s="297"/>
      <c r="S133" s="42"/>
      <c r="T133" s="42"/>
      <c r="U133" s="42"/>
      <c r="V133" s="42"/>
      <c r="W133" s="42"/>
      <c r="X133" s="42"/>
      <c r="Y133" s="42"/>
      <c r="Z133" s="42"/>
      <c r="AA133" s="42"/>
      <c r="AB133" s="42"/>
      <c r="AC133" s="42"/>
      <c r="AD133" s="42"/>
      <c r="AE133" s="42"/>
      <c r="AF133" s="42"/>
      <c r="AG133" s="42"/>
      <c r="AH133" s="42"/>
      <c r="AI133" s="42"/>
      <c r="AJ133" s="42"/>
      <c r="AK133" s="42"/>
      <c r="AL133" s="42"/>
      <c r="AM133" s="42"/>
      <c r="AN133" s="42"/>
    </row>
    <row r="134" spans="1:40" x14ac:dyDescent="0.25">
      <c r="A134" s="320"/>
      <c r="B134" s="321"/>
      <c r="C134" s="321"/>
      <c r="D134" s="321"/>
      <c r="E134" s="256" t="s">
        <v>1083</v>
      </c>
      <c r="F134" s="338" t="s">
        <v>1304</v>
      </c>
      <c r="G134" s="339" t="s">
        <v>22</v>
      </c>
      <c r="H134" s="339" t="s">
        <v>1213</v>
      </c>
      <c r="I134" s="321"/>
      <c r="J134" s="256" t="s">
        <v>1099</v>
      </c>
      <c r="K134" s="340" t="s">
        <v>1256</v>
      </c>
      <c r="L134" s="341" t="s">
        <v>22</v>
      </c>
      <c r="M134" s="341" t="s">
        <v>1213</v>
      </c>
      <c r="N134" s="320"/>
      <c r="O134" s="321"/>
      <c r="P134" s="321"/>
      <c r="Q134" s="321"/>
      <c r="R134" s="297"/>
      <c r="S134" s="42"/>
      <c r="T134" s="42"/>
      <c r="U134" s="42"/>
      <c r="V134" s="42"/>
      <c r="W134" s="42"/>
      <c r="X134" s="42"/>
      <c r="Y134" s="42"/>
      <c r="Z134" s="42"/>
      <c r="AA134" s="42"/>
      <c r="AB134" s="42"/>
      <c r="AC134" s="42"/>
      <c r="AD134" s="42"/>
      <c r="AE134" s="42"/>
      <c r="AF134" s="42"/>
      <c r="AG134" s="42"/>
      <c r="AH134" s="42"/>
      <c r="AI134" s="42"/>
      <c r="AJ134" s="42"/>
      <c r="AK134" s="42"/>
      <c r="AL134" s="42"/>
      <c r="AM134" s="42"/>
      <c r="AN134" s="42"/>
    </row>
    <row r="135" spans="1:40" x14ac:dyDescent="0.25">
      <c r="A135" s="320"/>
      <c r="B135" s="321"/>
      <c r="C135" s="321"/>
      <c r="D135" s="321"/>
      <c r="E135" s="256" t="s">
        <v>1115</v>
      </c>
      <c r="F135" s="338" t="s">
        <v>1305</v>
      </c>
      <c r="G135" s="339" t="s">
        <v>22</v>
      </c>
      <c r="H135" s="339" t="s">
        <v>1215</v>
      </c>
      <c r="I135" s="321"/>
      <c r="J135" s="256" t="s">
        <v>1131</v>
      </c>
      <c r="K135" s="340" t="s">
        <v>1257</v>
      </c>
      <c r="L135" s="341" t="s">
        <v>22</v>
      </c>
      <c r="M135" s="341" t="s">
        <v>1215</v>
      </c>
      <c r="N135" s="320"/>
      <c r="O135" s="321"/>
      <c r="P135" s="321"/>
      <c r="Q135" s="321"/>
      <c r="R135" s="297"/>
      <c r="S135" s="42"/>
      <c r="T135" s="42"/>
      <c r="U135" s="42"/>
      <c r="V135" s="42"/>
      <c r="W135" s="42"/>
      <c r="X135" s="42"/>
      <c r="Y135" s="42"/>
      <c r="Z135" s="42"/>
      <c r="AA135" s="42"/>
      <c r="AB135" s="42"/>
      <c r="AC135" s="42"/>
      <c r="AD135" s="42"/>
      <c r="AE135" s="42"/>
      <c r="AF135" s="42"/>
      <c r="AG135" s="42"/>
      <c r="AH135" s="42"/>
      <c r="AI135" s="42"/>
      <c r="AJ135" s="42"/>
      <c r="AK135" s="42"/>
      <c r="AL135" s="42"/>
      <c r="AM135" s="42"/>
      <c r="AN135" s="42"/>
    </row>
    <row r="136" spans="1:40" x14ac:dyDescent="0.25">
      <c r="A136" s="320"/>
      <c r="B136" s="321"/>
      <c r="C136" s="321"/>
      <c r="D136" s="321"/>
      <c r="E136" s="256" t="s">
        <v>1116</v>
      </c>
      <c r="F136" s="338" t="s">
        <v>1306</v>
      </c>
      <c r="G136" s="339" t="s">
        <v>22</v>
      </c>
      <c r="H136" s="339" t="s">
        <v>1213</v>
      </c>
      <c r="I136" s="321"/>
      <c r="J136" s="256" t="s">
        <v>1132</v>
      </c>
      <c r="K136" s="340" t="s">
        <v>1258</v>
      </c>
      <c r="L136" s="341" t="s">
        <v>22</v>
      </c>
      <c r="M136" s="341" t="s">
        <v>1213</v>
      </c>
      <c r="N136" s="320"/>
      <c r="O136" s="321"/>
      <c r="P136" s="321"/>
      <c r="Q136" s="321"/>
      <c r="R136" s="297"/>
      <c r="S136" s="42"/>
      <c r="T136" s="42"/>
      <c r="U136" s="42"/>
      <c r="V136" s="42"/>
      <c r="W136" s="42"/>
      <c r="X136" s="42"/>
      <c r="Y136" s="42"/>
      <c r="Z136" s="42"/>
      <c r="AA136" s="42"/>
      <c r="AB136" s="42"/>
      <c r="AC136" s="42"/>
      <c r="AD136" s="42"/>
      <c r="AE136" s="42"/>
      <c r="AF136" s="42"/>
      <c r="AG136" s="42"/>
      <c r="AH136" s="42"/>
      <c r="AI136" s="42"/>
      <c r="AJ136" s="42"/>
      <c r="AK136" s="42"/>
      <c r="AL136" s="42"/>
      <c r="AM136" s="42"/>
      <c r="AN136" s="42"/>
    </row>
    <row r="137" spans="1:40" x14ac:dyDescent="0.25">
      <c r="A137" s="320"/>
      <c r="B137" s="321"/>
      <c r="C137" s="321"/>
      <c r="D137" s="321"/>
      <c r="E137" s="256" t="s">
        <v>1084</v>
      </c>
      <c r="F137" s="338" t="s">
        <v>1307</v>
      </c>
      <c r="G137" s="339" t="s">
        <v>22</v>
      </c>
      <c r="H137" s="339" t="s">
        <v>1215</v>
      </c>
      <c r="I137" s="321"/>
      <c r="J137" s="256" t="s">
        <v>1100</v>
      </c>
      <c r="K137" s="340" t="s">
        <v>1259</v>
      </c>
      <c r="L137" s="341" t="s">
        <v>22</v>
      </c>
      <c r="M137" s="341" t="s">
        <v>1215</v>
      </c>
      <c r="N137" s="320"/>
      <c r="O137" s="321"/>
      <c r="P137" s="321"/>
      <c r="Q137" s="321"/>
      <c r="R137" s="297"/>
      <c r="S137" s="42"/>
      <c r="T137" s="42"/>
      <c r="U137" s="42"/>
      <c r="V137" s="42"/>
      <c r="W137" s="42"/>
      <c r="X137" s="42"/>
      <c r="Y137" s="42"/>
      <c r="Z137" s="42"/>
      <c r="AA137" s="42"/>
      <c r="AB137" s="42"/>
      <c r="AC137" s="42"/>
      <c r="AD137" s="42"/>
      <c r="AE137" s="42"/>
      <c r="AF137" s="42"/>
      <c r="AG137" s="42"/>
      <c r="AH137" s="42"/>
      <c r="AI137" s="42"/>
      <c r="AJ137" s="42"/>
      <c r="AK137" s="42"/>
      <c r="AL137" s="42"/>
      <c r="AM137" s="42"/>
      <c r="AN137" s="42"/>
    </row>
    <row r="138" spans="1:40" x14ac:dyDescent="0.25">
      <c r="A138" s="320"/>
      <c r="B138" s="321"/>
      <c r="C138" s="321"/>
      <c r="D138" s="321"/>
      <c r="E138" s="256" t="s">
        <v>1051</v>
      </c>
      <c r="F138" s="338" t="s">
        <v>1308</v>
      </c>
      <c r="G138" s="339" t="s">
        <v>22</v>
      </c>
      <c r="H138" s="339" t="s">
        <v>1213</v>
      </c>
      <c r="I138" s="321"/>
      <c r="J138" s="256" t="s">
        <v>1067</v>
      </c>
      <c r="K138" s="340" t="s">
        <v>1260</v>
      </c>
      <c r="L138" s="341" t="s">
        <v>22</v>
      </c>
      <c r="M138" s="341" t="s">
        <v>1213</v>
      </c>
      <c r="N138" s="320"/>
      <c r="O138" s="321"/>
      <c r="P138" s="321"/>
      <c r="Q138" s="321"/>
      <c r="R138" s="297"/>
      <c r="S138" s="42"/>
      <c r="T138" s="42"/>
      <c r="U138" s="42"/>
      <c r="V138" s="42"/>
      <c r="W138" s="42"/>
      <c r="X138" s="42"/>
      <c r="Y138" s="42"/>
      <c r="Z138" s="42"/>
      <c r="AA138" s="42"/>
      <c r="AB138" s="42"/>
      <c r="AC138" s="42"/>
      <c r="AD138" s="42"/>
      <c r="AE138" s="42"/>
      <c r="AF138" s="42"/>
      <c r="AG138" s="42"/>
      <c r="AH138" s="42"/>
      <c r="AI138" s="42"/>
      <c r="AJ138" s="42"/>
      <c r="AK138" s="42"/>
      <c r="AL138" s="42"/>
      <c r="AM138" s="42"/>
      <c r="AN138" s="42"/>
    </row>
    <row r="139" spans="1:40" x14ac:dyDescent="0.25">
      <c r="A139" s="320"/>
      <c r="B139" s="321"/>
      <c r="C139" s="321"/>
      <c r="D139" s="321"/>
      <c r="E139" s="256" t="s">
        <v>1018</v>
      </c>
      <c r="F139" s="338" t="s">
        <v>1309</v>
      </c>
      <c r="G139" s="339" t="s">
        <v>22</v>
      </c>
      <c r="H139" s="339" t="s">
        <v>1215</v>
      </c>
      <c r="I139" s="321"/>
      <c r="J139" s="256" t="s">
        <v>1034</v>
      </c>
      <c r="K139" s="340" t="s">
        <v>1261</v>
      </c>
      <c r="L139" s="341" t="s">
        <v>22</v>
      </c>
      <c r="M139" s="341" t="s">
        <v>1215</v>
      </c>
      <c r="N139" s="320"/>
      <c r="O139" s="321"/>
      <c r="P139" s="321"/>
      <c r="Q139" s="321"/>
      <c r="R139" s="297"/>
      <c r="S139" s="42"/>
      <c r="T139" s="42"/>
      <c r="U139" s="42"/>
      <c r="V139" s="42"/>
      <c r="W139" s="42"/>
      <c r="X139" s="42"/>
      <c r="Y139" s="42"/>
      <c r="Z139" s="42"/>
      <c r="AA139" s="42"/>
      <c r="AB139" s="42"/>
      <c r="AC139" s="42"/>
      <c r="AD139" s="42"/>
      <c r="AE139" s="42"/>
      <c r="AF139" s="42"/>
      <c r="AG139" s="42"/>
      <c r="AH139" s="42"/>
      <c r="AI139" s="42"/>
      <c r="AJ139" s="42"/>
      <c r="AK139" s="42"/>
      <c r="AL139" s="42"/>
      <c r="AM139" s="42"/>
      <c r="AN139" s="42"/>
    </row>
    <row r="140" spans="1:40" x14ac:dyDescent="0.25">
      <c r="A140" s="320"/>
      <c r="B140" s="321"/>
      <c r="C140" s="321"/>
      <c r="D140" s="321"/>
      <c r="E140" s="322"/>
      <c r="F140" s="321"/>
      <c r="G140" s="321"/>
      <c r="H140" s="321"/>
      <c r="I140" s="321"/>
      <c r="J140" s="321"/>
      <c r="K140" s="321"/>
      <c r="L140" s="321"/>
      <c r="M140" s="321"/>
      <c r="N140" s="320"/>
      <c r="O140" s="321"/>
      <c r="P140" s="321"/>
      <c r="Q140" s="321"/>
      <c r="R140" s="297"/>
      <c r="S140" s="42"/>
      <c r="T140" s="42"/>
      <c r="U140" s="42"/>
      <c r="V140" s="42"/>
      <c r="W140" s="42"/>
      <c r="X140" s="42"/>
      <c r="Y140" s="42"/>
      <c r="Z140" s="42"/>
      <c r="AA140" s="42"/>
      <c r="AB140" s="42"/>
      <c r="AC140" s="42"/>
      <c r="AD140" s="42"/>
      <c r="AE140" s="42"/>
      <c r="AF140" s="42"/>
      <c r="AG140" s="42"/>
      <c r="AH140" s="42"/>
      <c r="AI140" s="42"/>
      <c r="AJ140" s="42"/>
      <c r="AK140" s="42"/>
      <c r="AL140" s="42"/>
      <c r="AM140" s="42"/>
      <c r="AN140" s="42"/>
    </row>
    <row r="141" spans="1:40" s="25" customFormat="1" x14ac:dyDescent="0.25">
      <c r="A141" s="26"/>
      <c r="B141" s="26"/>
      <c r="C141" s="26"/>
      <c r="D141" s="26"/>
      <c r="E141" s="26"/>
      <c r="F141" s="26"/>
      <c r="G141" s="26"/>
      <c r="H141" s="26"/>
      <c r="I141" s="26"/>
      <c r="J141" s="26"/>
      <c r="K141" s="26"/>
      <c r="L141" s="26"/>
      <c r="M141" s="26"/>
      <c r="N141" s="384"/>
      <c r="O141" s="26"/>
      <c r="P141" s="26"/>
      <c r="Q141" s="26"/>
      <c r="R141" s="26"/>
    </row>
    <row r="142" spans="1:40" s="25" customFormat="1" x14ac:dyDescent="0.25">
      <c r="A142" s="384"/>
      <c r="B142" s="26"/>
      <c r="C142" s="26"/>
      <c r="D142" s="26"/>
      <c r="E142" s="79"/>
      <c r="F142" s="26"/>
      <c r="G142" s="26"/>
      <c r="H142" s="26"/>
      <c r="I142" s="26"/>
      <c r="J142" s="26"/>
      <c r="K142" s="26"/>
      <c r="L142" s="26"/>
      <c r="M142" s="26"/>
      <c r="N142" s="384"/>
      <c r="O142" s="26"/>
      <c r="P142" s="26"/>
      <c r="Q142" s="26"/>
      <c r="R142" s="26"/>
    </row>
    <row r="143" spans="1:40" s="25" customFormat="1" x14ac:dyDescent="0.25">
      <c r="A143" s="26"/>
      <c r="B143" s="26"/>
      <c r="C143" s="26"/>
      <c r="D143" s="26"/>
      <c r="E143" s="79"/>
      <c r="F143" s="26"/>
      <c r="G143" s="26"/>
      <c r="H143" s="26"/>
      <c r="I143" s="26"/>
      <c r="J143" s="26"/>
      <c r="K143" s="26"/>
      <c r="L143" s="26"/>
      <c r="M143" s="26"/>
      <c r="N143" s="384"/>
      <c r="O143" s="26"/>
      <c r="P143" s="26"/>
      <c r="Q143" s="26"/>
      <c r="R143" s="26"/>
    </row>
    <row r="144" spans="1:40" s="25" customFormat="1" x14ac:dyDescent="0.25">
      <c r="A144" s="384"/>
      <c r="B144" s="26"/>
      <c r="C144" s="26"/>
      <c r="D144" s="26"/>
      <c r="E144" s="79"/>
      <c r="F144" s="26"/>
      <c r="G144" s="26"/>
      <c r="H144" s="26"/>
      <c r="I144" s="26"/>
      <c r="J144" s="26"/>
      <c r="K144" s="26"/>
      <c r="L144" s="26"/>
      <c r="M144" s="26"/>
      <c r="N144" s="384"/>
      <c r="O144" s="26"/>
      <c r="P144" s="26"/>
      <c r="Q144" s="26"/>
      <c r="R144" s="26"/>
    </row>
    <row r="145" spans="1:18" s="25" customFormat="1" x14ac:dyDescent="0.25">
      <c r="A145" s="26"/>
      <c r="B145" s="26"/>
      <c r="C145" s="26"/>
      <c r="D145" s="26"/>
      <c r="E145" s="79"/>
      <c r="F145" s="26"/>
      <c r="G145" s="26"/>
      <c r="H145" s="26"/>
      <c r="I145" s="26"/>
      <c r="J145" s="26"/>
      <c r="K145" s="26"/>
      <c r="L145" s="26"/>
      <c r="M145" s="26"/>
      <c r="N145" s="384"/>
      <c r="O145" s="26"/>
      <c r="P145" s="26"/>
      <c r="Q145" s="26"/>
      <c r="R145" s="26"/>
    </row>
    <row r="146" spans="1:18" s="25" customFormat="1" x14ac:dyDescent="0.25">
      <c r="A146" s="384"/>
      <c r="B146" s="26"/>
      <c r="C146" s="26"/>
      <c r="D146" s="26"/>
      <c r="E146" s="79"/>
      <c r="F146" s="26"/>
      <c r="G146" s="26"/>
      <c r="H146" s="26"/>
      <c r="I146" s="26"/>
      <c r="J146" s="26"/>
      <c r="K146" s="26"/>
      <c r="L146" s="26"/>
      <c r="M146" s="26"/>
      <c r="N146" s="384"/>
      <c r="O146" s="26"/>
      <c r="P146" s="26"/>
      <c r="Q146" s="26"/>
      <c r="R146" s="26"/>
    </row>
    <row r="147" spans="1:18" s="25" customFormat="1" x14ac:dyDescent="0.25">
      <c r="A147" s="384"/>
      <c r="B147" s="26"/>
      <c r="C147" s="26"/>
      <c r="D147" s="26"/>
      <c r="E147" s="79"/>
      <c r="F147" s="26"/>
      <c r="G147" s="26"/>
      <c r="H147" s="26"/>
      <c r="I147" s="26"/>
      <c r="J147" s="26"/>
      <c r="K147" s="26"/>
      <c r="L147" s="26"/>
      <c r="M147" s="26"/>
      <c r="N147" s="384"/>
      <c r="O147" s="26"/>
      <c r="P147" s="26"/>
      <c r="Q147" s="26"/>
      <c r="R147" s="26"/>
    </row>
    <row r="148" spans="1:18" s="25" customFormat="1" x14ac:dyDescent="0.25">
      <c r="A148" s="280"/>
      <c r="E148" s="279"/>
      <c r="N148" s="280"/>
    </row>
    <row r="149" spans="1:18" s="25" customFormat="1" x14ac:dyDescent="0.25">
      <c r="A149" s="280"/>
      <c r="E149" s="279"/>
      <c r="N149" s="280"/>
    </row>
    <row r="150" spans="1:18" s="25" customFormat="1" x14ac:dyDescent="0.25">
      <c r="A150" s="280"/>
      <c r="E150" s="279"/>
      <c r="N150" s="280"/>
    </row>
    <row r="151" spans="1:18" s="25" customFormat="1" x14ac:dyDescent="0.25">
      <c r="A151" s="280"/>
      <c r="E151" s="279"/>
      <c r="N151" s="280"/>
    </row>
    <row r="152" spans="1:18" s="25" customFormat="1" x14ac:dyDescent="0.25">
      <c r="A152" s="280"/>
      <c r="E152" s="279"/>
      <c r="N152" s="280"/>
    </row>
    <row r="153" spans="1:18" s="25" customFormat="1" x14ac:dyDescent="0.25">
      <c r="A153" s="280"/>
      <c r="E153" s="279"/>
      <c r="N153" s="280"/>
    </row>
    <row r="154" spans="1:18" s="25" customFormat="1" x14ac:dyDescent="0.25">
      <c r="A154" s="280"/>
      <c r="E154" s="279"/>
      <c r="N154" s="280"/>
    </row>
    <row r="155" spans="1:18" s="25" customFormat="1" x14ac:dyDescent="0.25">
      <c r="A155" s="280"/>
      <c r="E155" s="279"/>
      <c r="N155" s="280"/>
    </row>
    <row r="156" spans="1:18" s="25" customFormat="1" x14ac:dyDescent="0.25">
      <c r="A156" s="280"/>
      <c r="E156" s="279"/>
      <c r="N156" s="280"/>
    </row>
    <row r="157" spans="1:18" s="25" customFormat="1" x14ac:dyDescent="0.25">
      <c r="A157" s="280"/>
      <c r="E157" s="279"/>
      <c r="N157" s="280"/>
    </row>
    <row r="158" spans="1:18" s="25" customFormat="1" x14ac:dyDescent="0.25">
      <c r="A158" s="280"/>
      <c r="E158" s="279"/>
      <c r="N158" s="280"/>
    </row>
    <row r="159" spans="1:18" s="25" customFormat="1" x14ac:dyDescent="0.25">
      <c r="A159" s="280"/>
      <c r="E159" s="279"/>
      <c r="N159" s="280"/>
    </row>
    <row r="160" spans="1:18" s="25" customFormat="1" x14ac:dyDescent="0.25">
      <c r="A160" s="280"/>
      <c r="E160" s="279"/>
      <c r="N160" s="280"/>
    </row>
    <row r="161" spans="1:14" s="25" customFormat="1" x14ac:dyDescent="0.25">
      <c r="A161" s="280"/>
      <c r="E161" s="279"/>
      <c r="N161" s="280"/>
    </row>
    <row r="162" spans="1:14" s="25" customFormat="1" x14ac:dyDescent="0.25">
      <c r="A162" s="280"/>
      <c r="E162" s="279"/>
      <c r="N162" s="280"/>
    </row>
    <row r="163" spans="1:14" s="25" customFormat="1" x14ac:dyDescent="0.25">
      <c r="A163" s="280"/>
      <c r="E163" s="279"/>
      <c r="N163" s="280"/>
    </row>
    <row r="164" spans="1:14" s="25" customFormat="1" x14ac:dyDescent="0.25">
      <c r="A164" s="280"/>
      <c r="E164" s="279"/>
      <c r="N164" s="280"/>
    </row>
    <row r="165" spans="1:14" s="25" customFormat="1" x14ac:dyDescent="0.25">
      <c r="A165" s="280"/>
      <c r="E165" s="279"/>
      <c r="N165" s="280"/>
    </row>
    <row r="166" spans="1:14" s="25" customFormat="1" x14ac:dyDescent="0.25">
      <c r="A166" s="280"/>
      <c r="E166" s="279"/>
      <c r="N166" s="280"/>
    </row>
    <row r="167" spans="1:14" s="25" customFormat="1" x14ac:dyDescent="0.25">
      <c r="A167" s="280"/>
      <c r="E167" s="279"/>
      <c r="N167" s="280"/>
    </row>
    <row r="168" spans="1:14" s="25" customFormat="1" x14ac:dyDescent="0.25">
      <c r="A168" s="280"/>
      <c r="E168" s="279"/>
      <c r="N168" s="280"/>
    </row>
    <row r="169" spans="1:14" s="25" customFormat="1" x14ac:dyDescent="0.25">
      <c r="A169" s="280"/>
      <c r="E169" s="279"/>
      <c r="N169" s="280"/>
    </row>
    <row r="170" spans="1:14" s="25" customFormat="1" x14ac:dyDescent="0.25">
      <c r="A170" s="280"/>
      <c r="E170" s="279"/>
      <c r="N170" s="280"/>
    </row>
    <row r="171" spans="1:14" s="25" customFormat="1" x14ac:dyDescent="0.25">
      <c r="A171" s="280"/>
      <c r="E171" s="279"/>
      <c r="N171" s="280"/>
    </row>
    <row r="172" spans="1:14" s="25" customFormat="1" x14ac:dyDescent="0.25">
      <c r="A172" s="280"/>
      <c r="E172" s="279"/>
      <c r="N172" s="280"/>
    </row>
    <row r="173" spans="1:14" s="25" customFormat="1" x14ac:dyDescent="0.25">
      <c r="A173" s="280"/>
      <c r="E173" s="279"/>
      <c r="N173" s="280"/>
    </row>
    <row r="174" spans="1:14" s="25" customFormat="1" x14ac:dyDescent="0.25">
      <c r="A174" s="280"/>
      <c r="E174" s="279"/>
      <c r="N174" s="280"/>
    </row>
    <row r="175" spans="1:14" s="25" customFormat="1" x14ac:dyDescent="0.25">
      <c r="A175" s="280"/>
      <c r="E175" s="279"/>
      <c r="N175" s="280"/>
    </row>
    <row r="176" spans="1:14" s="25" customFormat="1" x14ac:dyDescent="0.25">
      <c r="A176" s="280"/>
      <c r="E176" s="279"/>
      <c r="N176" s="280"/>
    </row>
    <row r="177" spans="1:14" s="25" customFormat="1" x14ac:dyDescent="0.25">
      <c r="A177" s="280"/>
      <c r="E177" s="279"/>
      <c r="N177" s="280"/>
    </row>
    <row r="178" spans="1:14" s="25" customFormat="1" x14ac:dyDescent="0.25">
      <c r="A178" s="280"/>
      <c r="E178" s="279"/>
      <c r="N178" s="280"/>
    </row>
    <row r="179" spans="1:14" s="25" customFormat="1" x14ac:dyDescent="0.25">
      <c r="A179" s="280"/>
      <c r="E179" s="279"/>
      <c r="N179" s="280"/>
    </row>
    <row r="180" spans="1:14" s="25" customFormat="1" x14ac:dyDescent="0.25">
      <c r="A180" s="280"/>
      <c r="E180" s="279"/>
      <c r="N180" s="280"/>
    </row>
    <row r="181" spans="1:14" s="25" customFormat="1" x14ac:dyDescent="0.25">
      <c r="A181" s="280"/>
      <c r="E181" s="279"/>
      <c r="N181" s="280"/>
    </row>
    <row r="182" spans="1:14" s="25" customFormat="1" x14ac:dyDescent="0.25">
      <c r="A182" s="280"/>
      <c r="E182" s="279"/>
      <c r="N182" s="280"/>
    </row>
    <row r="183" spans="1:14" s="25" customFormat="1" x14ac:dyDescent="0.25">
      <c r="A183" s="280"/>
      <c r="E183" s="279"/>
      <c r="N183" s="280"/>
    </row>
    <row r="184" spans="1:14" s="25" customFormat="1" x14ac:dyDescent="0.25">
      <c r="A184" s="280"/>
      <c r="E184" s="279"/>
      <c r="N184" s="280"/>
    </row>
    <row r="185" spans="1:14" s="25" customFormat="1" x14ac:dyDescent="0.25">
      <c r="A185" s="280"/>
      <c r="E185" s="279"/>
      <c r="N185" s="280"/>
    </row>
    <row r="186" spans="1:14" s="25" customFormat="1" x14ac:dyDescent="0.25">
      <c r="A186" s="280"/>
      <c r="E186" s="279"/>
      <c r="N186" s="280"/>
    </row>
    <row r="187" spans="1:14" s="25" customFormat="1" x14ac:dyDescent="0.25">
      <c r="A187" s="280"/>
      <c r="E187" s="279"/>
      <c r="N187" s="280"/>
    </row>
    <row r="188" spans="1:14" s="25" customFormat="1" x14ac:dyDescent="0.25">
      <c r="A188" s="280"/>
      <c r="E188" s="279"/>
      <c r="N188" s="280"/>
    </row>
    <row r="189" spans="1:14" s="25" customFormat="1" x14ac:dyDescent="0.25">
      <c r="A189" s="280"/>
      <c r="E189" s="279"/>
      <c r="N189" s="280"/>
    </row>
    <row r="190" spans="1:14" s="25" customFormat="1" x14ac:dyDescent="0.25">
      <c r="A190" s="280"/>
      <c r="E190" s="279"/>
      <c r="N190" s="280"/>
    </row>
    <row r="191" spans="1:14" s="25" customFormat="1" x14ac:dyDescent="0.25">
      <c r="A191" s="280"/>
      <c r="E191" s="279"/>
      <c r="N191" s="280"/>
    </row>
    <row r="192" spans="1:14" s="25" customFormat="1" x14ac:dyDescent="0.25">
      <c r="A192" s="280"/>
      <c r="E192" s="279"/>
      <c r="N192" s="280"/>
    </row>
    <row r="193" spans="1:14" s="25" customFormat="1" x14ac:dyDescent="0.25">
      <c r="A193" s="280"/>
      <c r="E193" s="279"/>
      <c r="N193" s="280"/>
    </row>
    <row r="194" spans="1:14" s="25" customFormat="1" x14ac:dyDescent="0.25">
      <c r="A194" s="280"/>
      <c r="E194" s="279"/>
      <c r="N194" s="280"/>
    </row>
    <row r="195" spans="1:14" s="25" customFormat="1" x14ac:dyDescent="0.25">
      <c r="A195" s="280"/>
      <c r="E195" s="279"/>
      <c r="N195" s="280"/>
    </row>
    <row r="196" spans="1:14" s="25" customFormat="1" x14ac:dyDescent="0.25">
      <c r="A196" s="280"/>
      <c r="E196" s="279"/>
      <c r="N196" s="280"/>
    </row>
    <row r="197" spans="1:14" s="25" customFormat="1" x14ac:dyDescent="0.25">
      <c r="A197" s="280"/>
      <c r="E197" s="279"/>
      <c r="N197" s="280"/>
    </row>
    <row r="198" spans="1:14" s="25" customFormat="1" x14ac:dyDescent="0.25">
      <c r="A198" s="280"/>
      <c r="E198" s="279"/>
      <c r="N198" s="280"/>
    </row>
    <row r="199" spans="1:14" s="25" customFormat="1" x14ac:dyDescent="0.25">
      <c r="A199" s="280"/>
      <c r="E199" s="279"/>
      <c r="N199" s="280"/>
    </row>
    <row r="200" spans="1:14" s="25" customFormat="1" x14ac:dyDescent="0.25">
      <c r="A200" s="280"/>
      <c r="E200" s="279"/>
      <c r="N200" s="280"/>
    </row>
    <row r="201" spans="1:14" s="25" customFormat="1" x14ac:dyDescent="0.25">
      <c r="A201" s="280"/>
      <c r="E201" s="279"/>
      <c r="N201" s="280"/>
    </row>
    <row r="202" spans="1:14" s="25" customFormat="1" x14ac:dyDescent="0.25">
      <c r="A202" s="280"/>
      <c r="E202" s="279"/>
      <c r="N202" s="280"/>
    </row>
    <row r="203" spans="1:14" s="25" customFormat="1" x14ac:dyDescent="0.25">
      <c r="A203" s="280"/>
      <c r="E203" s="279"/>
      <c r="N203" s="280"/>
    </row>
    <row r="204" spans="1:14" s="25" customFormat="1" x14ac:dyDescent="0.25">
      <c r="A204" s="280"/>
      <c r="E204" s="279"/>
      <c r="N204" s="280"/>
    </row>
    <row r="205" spans="1:14" s="25" customFormat="1" x14ac:dyDescent="0.25">
      <c r="A205" s="280"/>
      <c r="E205" s="279"/>
      <c r="N205" s="280"/>
    </row>
    <row r="206" spans="1:14" s="25" customFormat="1" x14ac:dyDescent="0.25">
      <c r="A206" s="280"/>
      <c r="E206" s="279"/>
      <c r="N206" s="280"/>
    </row>
    <row r="207" spans="1:14" s="25" customFormat="1" x14ac:dyDescent="0.25">
      <c r="A207" s="280"/>
      <c r="E207" s="279"/>
      <c r="N207" s="280"/>
    </row>
    <row r="208" spans="1:14" s="25" customFormat="1" x14ac:dyDescent="0.25">
      <c r="A208" s="280"/>
      <c r="E208" s="279"/>
      <c r="N208" s="280"/>
    </row>
    <row r="209" spans="1:14" s="25" customFormat="1" x14ac:dyDescent="0.25">
      <c r="A209" s="280"/>
      <c r="E209" s="279"/>
      <c r="N209" s="280"/>
    </row>
    <row r="210" spans="1:14" s="25" customFormat="1" x14ac:dyDescent="0.25">
      <c r="A210" s="280"/>
      <c r="E210" s="279"/>
      <c r="N210" s="280"/>
    </row>
    <row r="211" spans="1:14" s="25" customFormat="1" x14ac:dyDescent="0.25">
      <c r="A211" s="280"/>
      <c r="E211" s="279"/>
      <c r="N211" s="280"/>
    </row>
    <row r="212" spans="1:14" s="25" customFormat="1" x14ac:dyDescent="0.25">
      <c r="A212" s="280"/>
      <c r="E212" s="279"/>
      <c r="N212" s="280"/>
    </row>
    <row r="213" spans="1:14" s="25" customFormat="1" x14ac:dyDescent="0.25">
      <c r="A213" s="280"/>
      <c r="E213" s="279"/>
      <c r="N213" s="280"/>
    </row>
    <row r="214" spans="1:14" s="25" customFormat="1" x14ac:dyDescent="0.25">
      <c r="A214" s="280"/>
      <c r="E214" s="279"/>
      <c r="N214" s="280"/>
    </row>
    <row r="215" spans="1:14" s="25" customFormat="1" x14ac:dyDescent="0.25">
      <c r="A215" s="280"/>
      <c r="E215" s="279"/>
      <c r="N215" s="280"/>
    </row>
    <row r="216" spans="1:14" s="25" customFormat="1" x14ac:dyDescent="0.25">
      <c r="A216" s="280"/>
      <c r="E216" s="279"/>
      <c r="N216" s="280"/>
    </row>
    <row r="217" spans="1:14" s="25" customFormat="1" x14ac:dyDescent="0.25">
      <c r="A217" s="280"/>
      <c r="E217" s="279"/>
      <c r="N217" s="280"/>
    </row>
    <row r="218" spans="1:14" s="25" customFormat="1" x14ac:dyDescent="0.25">
      <c r="A218" s="280"/>
      <c r="E218" s="279"/>
      <c r="N218" s="280"/>
    </row>
    <row r="219" spans="1:14" s="25" customFormat="1" x14ac:dyDescent="0.25">
      <c r="A219" s="280"/>
      <c r="E219" s="279"/>
      <c r="N219" s="280"/>
    </row>
    <row r="220" spans="1:14" s="25" customFormat="1" x14ac:dyDescent="0.25">
      <c r="A220" s="280"/>
      <c r="E220" s="279"/>
      <c r="N220" s="280"/>
    </row>
    <row r="221" spans="1:14" s="25" customFormat="1" x14ac:dyDescent="0.25">
      <c r="A221" s="280"/>
      <c r="E221" s="279"/>
      <c r="N221" s="280"/>
    </row>
    <row r="222" spans="1:14" s="25" customFormat="1" x14ac:dyDescent="0.25">
      <c r="A222" s="280"/>
      <c r="E222" s="279"/>
      <c r="N222" s="280"/>
    </row>
    <row r="223" spans="1:14" s="25" customFormat="1" x14ac:dyDescent="0.25">
      <c r="A223" s="280"/>
      <c r="E223" s="279"/>
      <c r="N223" s="280"/>
    </row>
  </sheetData>
  <mergeCells count="9">
    <mergeCell ref="E4:L4"/>
    <mergeCell ref="B33:D33"/>
    <mergeCell ref="E54:H54"/>
    <mergeCell ref="E8:N8"/>
    <mergeCell ref="E33:N33"/>
    <mergeCell ref="E31:M31"/>
    <mergeCell ref="J54:M54"/>
    <mergeCell ref="I10:J10"/>
    <mergeCell ref="E10:F10"/>
  </mergeCells>
  <conditionalFormatting sqref="O12:O27 O10">
    <cfRule type="cellIs" dxfId="217" priority="2" operator="greaterThan">
      <formula>0.000001</formula>
    </cfRule>
  </conditionalFormatting>
  <conditionalFormatting sqref="J11:J16">
    <cfRule type="cellIs" dxfId="216" priority="1" operator="equal">
      <formula>#N/A</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67585" r:id="rId3" name="Button 1">
              <controlPr defaultSize="0" print="0" autoFill="0" autoPict="0" macro="[0]!GetFile">
                <anchor moveWithCells="1" sizeWithCells="1">
                  <from>
                    <xdr:col>14</xdr:col>
                    <xdr:colOff>19050</xdr:colOff>
                    <xdr:row>6</xdr:row>
                    <xdr:rowOff>161925</xdr:rowOff>
                  </from>
                  <to>
                    <xdr:col>16</xdr:col>
                    <xdr:colOff>0</xdr:colOff>
                    <xdr:row>8</xdr:row>
                    <xdr:rowOff>38100</xdr:rowOff>
                  </to>
                </anchor>
              </controlPr>
            </control>
          </mc:Choice>
        </mc:AlternateContent>
        <mc:AlternateContent xmlns:mc="http://schemas.openxmlformats.org/markup-compatibility/2006">
          <mc:Choice Requires="x14">
            <control shapeId="3267588" r:id="rId4" name="Drop Down 4">
              <controlPr defaultSize="0" autoLine="0" autoPict="0" macro="[0]!DropDown_Plate_Change">
                <anchor moveWithCells="1">
                  <from>
                    <xdr:col>4</xdr:col>
                    <xdr:colOff>0</xdr:colOff>
                    <xdr:row>27</xdr:row>
                    <xdr:rowOff>180975</xdr:rowOff>
                  </from>
                  <to>
                    <xdr:col>12</xdr:col>
                    <xdr:colOff>171450</xdr:colOff>
                    <xdr:row>29</xdr:row>
                    <xdr:rowOff>19050</xdr:rowOff>
                  </to>
                </anchor>
              </controlPr>
            </control>
          </mc:Choice>
        </mc:AlternateContent>
        <mc:AlternateContent xmlns:mc="http://schemas.openxmlformats.org/markup-compatibility/2006">
          <mc:Choice Requires="x14">
            <control shapeId="3267594" r:id="rId5" name="Drop Down 10">
              <controlPr defaultSize="0" autoLine="0" autoPict="0" macro="[0]!DropDown10_Change">
                <anchor moveWithCells="1">
                  <from>
                    <xdr:col>3</xdr:col>
                    <xdr:colOff>523875</xdr:colOff>
                    <xdr:row>54</xdr:row>
                    <xdr:rowOff>0</xdr:rowOff>
                  </from>
                  <to>
                    <xdr:col>8</xdr:col>
                    <xdr:colOff>0</xdr:colOff>
                    <xdr:row>55</xdr:row>
                    <xdr:rowOff>19050</xdr:rowOff>
                  </to>
                </anchor>
              </controlPr>
            </control>
          </mc:Choice>
        </mc:AlternateContent>
        <mc:AlternateContent xmlns:mc="http://schemas.openxmlformats.org/markup-compatibility/2006">
          <mc:Choice Requires="x14">
            <control shapeId="3267595" r:id="rId6" name="Button 11">
              <controlPr defaultSize="0" print="0" autoFill="0" autoPict="0" macro="[0]!GetLogFile">
                <anchor moveWithCells="1" sizeWithCells="1">
                  <from>
                    <xdr:col>14</xdr:col>
                    <xdr:colOff>28575</xdr:colOff>
                    <xdr:row>31</xdr:row>
                    <xdr:rowOff>171450</xdr:rowOff>
                  </from>
                  <to>
                    <xdr:col>16</xdr:col>
                    <xdr:colOff>76200</xdr:colOff>
                    <xdr:row>33</xdr:row>
                    <xdr:rowOff>28575</xdr:rowOff>
                  </to>
                </anchor>
              </controlPr>
            </control>
          </mc:Choice>
        </mc:AlternateContent>
        <mc:AlternateContent xmlns:mc="http://schemas.openxmlformats.org/markup-compatibility/2006">
          <mc:Choice Requires="x14">
            <control shapeId="3267598" r:id="rId7" name="Option Button 14">
              <controlPr defaultSize="0" autoFill="0" autoLine="0" autoPict="0" macro="[0]!OptionButton26_Click">
                <anchor moveWithCells="1">
                  <from>
                    <xdr:col>4</xdr:col>
                    <xdr:colOff>314325</xdr:colOff>
                    <xdr:row>9</xdr:row>
                    <xdr:rowOff>276225</xdr:rowOff>
                  </from>
                  <to>
                    <xdr:col>4</xdr:col>
                    <xdr:colOff>581025</xdr:colOff>
                    <xdr:row>11</xdr:row>
                    <xdr:rowOff>19050</xdr:rowOff>
                  </to>
                </anchor>
              </controlPr>
            </control>
          </mc:Choice>
        </mc:AlternateContent>
        <mc:AlternateContent xmlns:mc="http://schemas.openxmlformats.org/markup-compatibility/2006">
          <mc:Choice Requires="x14">
            <control shapeId="3267599" r:id="rId8" name="Option Button 15">
              <controlPr defaultSize="0" autoFill="0" autoLine="0" autoPict="0" macro="[0]!OptionButton26_Click">
                <anchor moveWithCells="1">
                  <from>
                    <xdr:col>4</xdr:col>
                    <xdr:colOff>314325</xdr:colOff>
                    <xdr:row>10</xdr:row>
                    <xdr:rowOff>180975</xdr:rowOff>
                  </from>
                  <to>
                    <xdr:col>4</xdr:col>
                    <xdr:colOff>542925</xdr:colOff>
                    <xdr:row>12</xdr:row>
                    <xdr:rowOff>19050</xdr:rowOff>
                  </to>
                </anchor>
              </controlPr>
            </control>
          </mc:Choice>
        </mc:AlternateContent>
        <mc:AlternateContent xmlns:mc="http://schemas.openxmlformats.org/markup-compatibility/2006">
          <mc:Choice Requires="x14">
            <control shapeId="3267600" r:id="rId9" name="Option Button 16">
              <controlPr defaultSize="0" autoFill="0" autoLine="0" autoPict="0" macro="[0]!OptionButton26_Click">
                <anchor moveWithCells="1">
                  <from>
                    <xdr:col>4</xdr:col>
                    <xdr:colOff>314325</xdr:colOff>
                    <xdr:row>11</xdr:row>
                    <xdr:rowOff>180975</xdr:rowOff>
                  </from>
                  <to>
                    <xdr:col>4</xdr:col>
                    <xdr:colOff>542925</xdr:colOff>
                    <xdr:row>13</xdr:row>
                    <xdr:rowOff>19050</xdr:rowOff>
                  </to>
                </anchor>
              </controlPr>
            </control>
          </mc:Choice>
        </mc:AlternateContent>
        <mc:AlternateContent xmlns:mc="http://schemas.openxmlformats.org/markup-compatibility/2006">
          <mc:Choice Requires="x14">
            <control shapeId="3267601" r:id="rId10" name="Option Button 17">
              <controlPr defaultSize="0" autoFill="0" autoLine="0" autoPict="0" macro="[0]!OptionButton26_Click">
                <anchor moveWithCells="1">
                  <from>
                    <xdr:col>4</xdr:col>
                    <xdr:colOff>314325</xdr:colOff>
                    <xdr:row>12</xdr:row>
                    <xdr:rowOff>171450</xdr:rowOff>
                  </from>
                  <to>
                    <xdr:col>4</xdr:col>
                    <xdr:colOff>542925</xdr:colOff>
                    <xdr:row>14</xdr:row>
                    <xdr:rowOff>9525</xdr:rowOff>
                  </to>
                </anchor>
              </controlPr>
            </control>
          </mc:Choice>
        </mc:AlternateContent>
        <mc:AlternateContent xmlns:mc="http://schemas.openxmlformats.org/markup-compatibility/2006">
          <mc:Choice Requires="x14">
            <control shapeId="3267602" r:id="rId11" name="Option Button 18">
              <controlPr defaultSize="0" autoFill="0" autoLine="0" autoPict="0" macro="[0]!OptionButton26_Click">
                <anchor moveWithCells="1">
                  <from>
                    <xdr:col>4</xdr:col>
                    <xdr:colOff>314325</xdr:colOff>
                    <xdr:row>13</xdr:row>
                    <xdr:rowOff>161925</xdr:rowOff>
                  </from>
                  <to>
                    <xdr:col>4</xdr:col>
                    <xdr:colOff>533400</xdr:colOff>
                    <xdr:row>15</xdr:row>
                    <xdr:rowOff>0</xdr:rowOff>
                  </to>
                </anchor>
              </controlPr>
            </control>
          </mc:Choice>
        </mc:AlternateContent>
        <mc:AlternateContent xmlns:mc="http://schemas.openxmlformats.org/markup-compatibility/2006">
          <mc:Choice Requires="x14">
            <control shapeId="3267603" r:id="rId12" name="Option Button 19">
              <controlPr defaultSize="0" autoFill="0" autoLine="0" autoPict="0" macro="[0]!OptionButton26_Click">
                <anchor moveWithCells="1">
                  <from>
                    <xdr:col>4</xdr:col>
                    <xdr:colOff>314325</xdr:colOff>
                    <xdr:row>14</xdr:row>
                    <xdr:rowOff>161925</xdr:rowOff>
                  </from>
                  <to>
                    <xdr:col>4</xdr:col>
                    <xdr:colOff>533400</xdr:colOff>
                    <xdr:row>16</xdr:row>
                    <xdr:rowOff>0</xdr:rowOff>
                  </to>
                </anchor>
              </controlPr>
            </control>
          </mc:Choice>
        </mc:AlternateContent>
        <mc:AlternateContent xmlns:mc="http://schemas.openxmlformats.org/markup-compatibility/2006">
          <mc:Choice Requires="x14">
            <control shapeId="3267605" r:id="rId13" name="Drop Down 21">
              <controlPr defaultSize="0" autoLine="0" autoPict="0" macro="[0]!DropDown11_Change">
                <anchor moveWithCells="1">
                  <from>
                    <xdr:col>8</xdr:col>
                    <xdr:colOff>942975</xdr:colOff>
                    <xdr:row>53</xdr:row>
                    <xdr:rowOff>180975</xdr:rowOff>
                  </from>
                  <to>
                    <xdr:col>12</xdr:col>
                    <xdr:colOff>419100</xdr:colOff>
                    <xdr:row>55</xdr:row>
                    <xdr:rowOff>9525</xdr:rowOff>
                  </to>
                </anchor>
              </controlPr>
            </control>
          </mc:Choice>
        </mc:AlternateContent>
        <mc:AlternateContent xmlns:mc="http://schemas.openxmlformats.org/markup-compatibility/2006">
          <mc:Choice Requires="x14">
            <control shapeId="3267606" r:id="rId14" name="Drop Down 22">
              <controlPr defaultSize="0" autoLine="0" autoPict="0">
                <anchor moveWithCells="1">
                  <from>
                    <xdr:col>3</xdr:col>
                    <xdr:colOff>523875</xdr:colOff>
                    <xdr:row>0</xdr:row>
                    <xdr:rowOff>171450</xdr:rowOff>
                  </from>
                  <to>
                    <xdr:col>12</xdr:col>
                    <xdr:colOff>276225</xdr:colOff>
                    <xdr:row>2</xdr:row>
                    <xdr:rowOff>9525</xdr:rowOff>
                  </to>
                </anchor>
              </controlPr>
            </control>
          </mc:Choice>
        </mc:AlternateContent>
        <mc:AlternateContent xmlns:mc="http://schemas.openxmlformats.org/markup-compatibility/2006">
          <mc:Choice Requires="x14">
            <control shapeId="3267607" r:id="rId15" name="Drop Down 23">
              <controlPr defaultSize="0" autoLine="0" autoPict="0">
                <anchor moveWithCells="1">
                  <from>
                    <xdr:col>3</xdr:col>
                    <xdr:colOff>523875</xdr:colOff>
                    <xdr:row>4</xdr:row>
                    <xdr:rowOff>171450</xdr:rowOff>
                  </from>
                  <to>
                    <xdr:col>12</xdr:col>
                    <xdr:colOff>285750</xdr:colOff>
                    <xdr:row>6</xdr:row>
                    <xdr:rowOff>19050</xdr:rowOff>
                  </to>
                </anchor>
              </controlPr>
            </control>
          </mc:Choice>
        </mc:AlternateContent>
        <mc:AlternateContent xmlns:mc="http://schemas.openxmlformats.org/markup-compatibility/2006">
          <mc:Choice Requires="x14">
            <control shapeId="3267608" r:id="rId16" name="Button 24">
              <controlPr defaultSize="0" print="0" autoFill="0" autoPict="0" macro="[0]!CheckTemplate_and_LoadData">
                <anchor>
                  <from>
                    <xdr:col>17</xdr:col>
                    <xdr:colOff>142875</xdr:colOff>
                    <xdr:row>0</xdr:row>
                    <xdr:rowOff>123825</xdr:rowOff>
                  </from>
                  <to>
                    <xdr:col>20</xdr:col>
                    <xdr:colOff>495300</xdr:colOff>
                    <xdr:row>14</xdr:row>
                    <xdr:rowOff>38100</xdr:rowOff>
                  </to>
                </anchor>
              </controlPr>
            </control>
          </mc:Choice>
        </mc:AlternateContent>
        <mc:AlternateContent xmlns:mc="http://schemas.openxmlformats.org/markup-compatibility/2006">
          <mc:Choice Requires="x14">
            <control shapeId="3267609" r:id="rId17" name="Option Button 25">
              <controlPr defaultSize="0" autoFill="0" autoLine="0" autoPict="0" macro="[0]!OptionButton26_Click">
                <anchor moveWithCells="1">
                  <from>
                    <xdr:col>4</xdr:col>
                    <xdr:colOff>314325</xdr:colOff>
                    <xdr:row>15</xdr:row>
                    <xdr:rowOff>161925</xdr:rowOff>
                  </from>
                  <to>
                    <xdr:col>4</xdr:col>
                    <xdr:colOff>533400</xdr:colOff>
                    <xdr:row>17</xdr:row>
                    <xdr:rowOff>0</xdr:rowOff>
                  </to>
                </anchor>
              </controlPr>
            </control>
          </mc:Choice>
        </mc:AlternateContent>
        <mc:AlternateContent xmlns:mc="http://schemas.openxmlformats.org/markup-compatibility/2006">
          <mc:Choice Requires="x14">
            <control shapeId="3267610" r:id="rId18" name="Option Button 26">
              <controlPr defaultSize="0" autoFill="0" autoLine="0" autoPict="0" macro="[0]!OptionButton26_Click">
                <anchor moveWithCells="1">
                  <from>
                    <xdr:col>4</xdr:col>
                    <xdr:colOff>314325</xdr:colOff>
                    <xdr:row>16</xdr:row>
                    <xdr:rowOff>161925</xdr:rowOff>
                  </from>
                  <to>
                    <xdr:col>4</xdr:col>
                    <xdr:colOff>533400</xdr:colOff>
                    <xdr:row>18</xdr:row>
                    <xdr:rowOff>0</xdr:rowOff>
                  </to>
                </anchor>
              </controlPr>
            </control>
          </mc:Choice>
        </mc:AlternateContent>
        <mc:AlternateContent xmlns:mc="http://schemas.openxmlformats.org/markup-compatibility/2006">
          <mc:Choice Requires="x14">
            <control shapeId="3267611" r:id="rId19" name="Option Button 27">
              <controlPr defaultSize="0" autoFill="0" autoLine="0" autoPict="0" macro="[0]!OptionButton26_Click">
                <anchor moveWithCells="1">
                  <from>
                    <xdr:col>4</xdr:col>
                    <xdr:colOff>314325</xdr:colOff>
                    <xdr:row>17</xdr:row>
                    <xdr:rowOff>161925</xdr:rowOff>
                  </from>
                  <to>
                    <xdr:col>4</xdr:col>
                    <xdr:colOff>533400</xdr:colOff>
                    <xdr:row>19</xdr:row>
                    <xdr:rowOff>0</xdr:rowOff>
                  </to>
                </anchor>
              </controlPr>
            </control>
          </mc:Choice>
        </mc:AlternateContent>
        <mc:AlternateContent xmlns:mc="http://schemas.openxmlformats.org/markup-compatibility/2006">
          <mc:Choice Requires="x14">
            <control shapeId="3267612" r:id="rId20" name="Option Button 28">
              <controlPr defaultSize="0" autoFill="0" autoLine="0" autoPict="0" macro="[0]!OptionButton26_Click">
                <anchor moveWithCells="1">
                  <from>
                    <xdr:col>4</xdr:col>
                    <xdr:colOff>314325</xdr:colOff>
                    <xdr:row>17</xdr:row>
                    <xdr:rowOff>161925</xdr:rowOff>
                  </from>
                  <to>
                    <xdr:col>4</xdr:col>
                    <xdr:colOff>533400</xdr:colOff>
                    <xdr:row>19</xdr:row>
                    <xdr:rowOff>0</xdr:rowOff>
                  </to>
                </anchor>
              </controlPr>
            </control>
          </mc:Choice>
        </mc:AlternateContent>
        <mc:AlternateContent xmlns:mc="http://schemas.openxmlformats.org/markup-compatibility/2006">
          <mc:Choice Requires="x14">
            <control shapeId="3267613" r:id="rId21" name="Option Button 29">
              <controlPr defaultSize="0" autoFill="0" autoLine="0" autoPict="0" macro="[0]!OptionButton26_Click">
                <anchor moveWithCells="1">
                  <from>
                    <xdr:col>4</xdr:col>
                    <xdr:colOff>314325</xdr:colOff>
                    <xdr:row>18</xdr:row>
                    <xdr:rowOff>161925</xdr:rowOff>
                  </from>
                  <to>
                    <xdr:col>4</xdr:col>
                    <xdr:colOff>533400</xdr:colOff>
                    <xdr:row>20</xdr:row>
                    <xdr:rowOff>0</xdr:rowOff>
                  </to>
                </anchor>
              </controlPr>
            </control>
          </mc:Choice>
        </mc:AlternateContent>
        <mc:AlternateContent xmlns:mc="http://schemas.openxmlformats.org/markup-compatibility/2006">
          <mc:Choice Requires="x14">
            <control shapeId="3267614" r:id="rId22" name="Option Button 30">
              <controlPr defaultSize="0" autoFill="0" autoLine="0" autoPict="0" macro="[0]!OptionButton26_Click">
                <anchor moveWithCells="1">
                  <from>
                    <xdr:col>4</xdr:col>
                    <xdr:colOff>314325</xdr:colOff>
                    <xdr:row>18</xdr:row>
                    <xdr:rowOff>161925</xdr:rowOff>
                  </from>
                  <to>
                    <xdr:col>4</xdr:col>
                    <xdr:colOff>533400</xdr:colOff>
                    <xdr:row>20</xdr:row>
                    <xdr:rowOff>0</xdr:rowOff>
                  </to>
                </anchor>
              </controlPr>
            </control>
          </mc:Choice>
        </mc:AlternateContent>
        <mc:AlternateContent xmlns:mc="http://schemas.openxmlformats.org/markup-compatibility/2006">
          <mc:Choice Requires="x14">
            <control shapeId="3267615" r:id="rId23" name="Option Button 31">
              <controlPr defaultSize="0" autoFill="0" autoLine="0" autoPict="0" macro="[0]!OptionButton26_Click">
                <anchor moveWithCells="1">
                  <from>
                    <xdr:col>4</xdr:col>
                    <xdr:colOff>314325</xdr:colOff>
                    <xdr:row>19</xdr:row>
                    <xdr:rowOff>161925</xdr:rowOff>
                  </from>
                  <to>
                    <xdr:col>4</xdr:col>
                    <xdr:colOff>533400</xdr:colOff>
                    <xdr:row>21</xdr:row>
                    <xdr:rowOff>0</xdr:rowOff>
                  </to>
                </anchor>
              </controlPr>
            </control>
          </mc:Choice>
        </mc:AlternateContent>
        <mc:AlternateContent xmlns:mc="http://schemas.openxmlformats.org/markup-compatibility/2006">
          <mc:Choice Requires="x14">
            <control shapeId="3267616" r:id="rId24" name="Option Button 32">
              <controlPr defaultSize="0" autoFill="0" autoLine="0" autoPict="0" macro="[0]!OptionButton26_Click">
                <anchor moveWithCells="1">
                  <from>
                    <xdr:col>4</xdr:col>
                    <xdr:colOff>314325</xdr:colOff>
                    <xdr:row>19</xdr:row>
                    <xdr:rowOff>161925</xdr:rowOff>
                  </from>
                  <to>
                    <xdr:col>4</xdr:col>
                    <xdr:colOff>533400</xdr:colOff>
                    <xdr:row>21</xdr:row>
                    <xdr:rowOff>0</xdr:rowOff>
                  </to>
                </anchor>
              </controlPr>
            </control>
          </mc:Choice>
        </mc:AlternateContent>
        <mc:AlternateContent xmlns:mc="http://schemas.openxmlformats.org/markup-compatibility/2006">
          <mc:Choice Requires="x14">
            <control shapeId="3267617" r:id="rId25" name="Option Button 33">
              <controlPr defaultSize="0" autoFill="0" autoLine="0" autoPict="0" macro="[0]!OptionButton26_Click">
                <anchor moveWithCells="1">
                  <from>
                    <xdr:col>4</xdr:col>
                    <xdr:colOff>314325</xdr:colOff>
                    <xdr:row>20</xdr:row>
                    <xdr:rowOff>161925</xdr:rowOff>
                  </from>
                  <to>
                    <xdr:col>4</xdr:col>
                    <xdr:colOff>533400</xdr:colOff>
                    <xdr:row>26</xdr:row>
                    <xdr:rowOff>0</xdr:rowOff>
                  </to>
                </anchor>
              </controlPr>
            </control>
          </mc:Choice>
        </mc:AlternateContent>
        <mc:AlternateContent xmlns:mc="http://schemas.openxmlformats.org/markup-compatibility/2006">
          <mc:Choice Requires="x14">
            <control shapeId="3267618" r:id="rId26" name="Option Button 34">
              <controlPr defaultSize="0" autoFill="0" autoLine="0" autoPict="0" macro="[0]!OptionButton26_Click">
                <anchor moveWithCells="1">
                  <from>
                    <xdr:col>4</xdr:col>
                    <xdr:colOff>314325</xdr:colOff>
                    <xdr:row>20</xdr:row>
                    <xdr:rowOff>161925</xdr:rowOff>
                  </from>
                  <to>
                    <xdr:col>4</xdr:col>
                    <xdr:colOff>533400</xdr:colOff>
                    <xdr:row>26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5B391-CD08-477E-A3D5-B738590E1532}">
  <sheetPr codeName="Sheet20"/>
  <dimension ref="A1:AM224"/>
  <sheetViews>
    <sheetView topLeftCell="A14" workbookViewId="0">
      <selection activeCell="F44" sqref="F44"/>
    </sheetView>
  </sheetViews>
  <sheetFormatPr defaultRowHeight="15" x14ac:dyDescent="0.25"/>
  <cols>
    <col min="1" max="1" width="9.140625" style="253" bestFit="1" customWidth="1"/>
    <col min="2" max="2" width="17.28515625" style="199" bestFit="1" customWidth="1"/>
    <col min="3" max="3" width="26.85546875" style="253" customWidth="1"/>
    <col min="4" max="4" width="28.42578125" style="253" customWidth="1"/>
    <col min="5" max="6" width="7.5703125" style="253" bestFit="1" customWidth="1"/>
    <col min="7" max="9" width="10" style="253" customWidth="1"/>
    <col min="10" max="10" width="12.7109375" style="122" customWidth="1"/>
    <col min="11" max="14" width="7.28515625" style="122" customWidth="1"/>
    <col min="15" max="15" width="11.42578125" style="122" bestFit="1" customWidth="1"/>
    <col min="16" max="17" width="9.28515625" style="122" bestFit="1" customWidth="1"/>
    <col min="18" max="18" width="20.7109375" style="253" bestFit="1" customWidth="1"/>
    <col min="19" max="19" width="7.28515625" style="122" customWidth="1"/>
    <col min="20" max="20" width="9.140625" style="122" customWidth="1"/>
    <col min="21" max="21" width="16" style="122" bestFit="1" customWidth="1"/>
    <col min="22" max="22" width="9.140625" style="253"/>
    <col min="23" max="24" width="9.140625" style="122"/>
    <col min="25" max="25" width="11.42578125" style="122" customWidth="1"/>
    <col min="26" max="26" width="27.85546875" style="122" customWidth="1"/>
    <col min="27" max="28" width="9.140625" style="122"/>
    <col min="29" max="29" width="9.140625" style="253"/>
    <col min="30" max="30" width="19.7109375" style="122" bestFit="1" customWidth="1"/>
    <col min="31" max="33" width="9.140625" style="122"/>
    <col min="34" max="34" width="17.5703125" style="122" customWidth="1"/>
    <col min="35" max="35" width="8.42578125" style="122" bestFit="1" customWidth="1"/>
    <col min="36" max="37" width="9.140625" style="122"/>
    <col min="38" max="38" width="10.28515625" style="122" customWidth="1"/>
    <col min="39" max="16384" width="9.140625" style="122"/>
  </cols>
  <sheetData>
    <row r="1" spans="1:24" x14ac:dyDescent="0.25">
      <c r="C1" s="278" t="s">
        <v>914</v>
      </c>
      <c r="D1" s="278" t="s">
        <v>913</v>
      </c>
      <c r="E1" s="287"/>
      <c r="F1" s="287"/>
      <c r="G1" s="277"/>
    </row>
    <row r="2" spans="1:24" ht="30" x14ac:dyDescent="0.25">
      <c r="B2" s="497" t="s">
        <v>713</v>
      </c>
      <c r="C2" s="294" t="str">
        <f ca="1">"Assay Analysis TEMPLATE "&amp;C17&amp;"well"&amp;"_"&amp;C6&amp;"_"&amp;TEXT(TODAY(),"yyyymmdd")&amp;"_"&amp;C5</f>
        <v>Assay Analysis TEMPLATE 384well_Lot 55_20180828_BM</v>
      </c>
      <c r="D2" s="311" t="str">
        <f ca="1">"Assay Analysis TEMPLATE "&amp;C17&amp;"well"&amp;"_"&amp;C6&amp;"_"&amp;TEXT(TODAY(),"yyyymmdd")&amp;"_"&amp;C5</f>
        <v>Assay Analysis TEMPLATE 384well_Lot 55_20180828_BM</v>
      </c>
      <c r="E2" s="288"/>
      <c r="F2" s="289"/>
      <c r="J2" s="276"/>
      <c r="K2" s="276"/>
      <c r="L2" s="276"/>
      <c r="M2" s="276"/>
      <c r="N2" s="276"/>
      <c r="O2" s="276"/>
      <c r="P2" s="276"/>
      <c r="Q2" s="276"/>
      <c r="R2" s="491"/>
      <c r="S2" s="276"/>
      <c r="T2" s="276"/>
      <c r="U2" s="276"/>
      <c r="V2" s="276"/>
      <c r="W2" s="276"/>
      <c r="X2" s="276"/>
    </row>
    <row r="3" spans="1:24" x14ac:dyDescent="0.25">
      <c r="A3" s="275">
        <v>6</v>
      </c>
      <c r="B3" s="498" t="s">
        <v>714</v>
      </c>
      <c r="C3" s="294" t="str">
        <f>VLOOKUP(Internal!AM20,Internal!AK20:AL35,2,0)</f>
        <v>GDF-15</v>
      </c>
      <c r="D3" s="311" t="str">
        <f>C3</f>
        <v>GDF-15</v>
      </c>
      <c r="E3" s="289"/>
      <c r="F3" s="289"/>
      <c r="J3" s="274"/>
      <c r="K3" s="274"/>
      <c r="L3" s="274"/>
      <c r="M3" s="274"/>
      <c r="N3" s="274"/>
      <c r="O3" s="274"/>
      <c r="P3" s="274"/>
      <c r="Q3" s="274"/>
      <c r="R3" s="492"/>
      <c r="S3" s="274"/>
      <c r="T3" s="274"/>
      <c r="U3" s="274"/>
      <c r="V3" s="274"/>
      <c r="W3" s="274"/>
      <c r="X3" s="274"/>
    </row>
    <row r="4" spans="1:24" x14ac:dyDescent="0.25">
      <c r="B4" s="498" t="s">
        <v>715</v>
      </c>
      <c r="C4" s="294" t="str">
        <f>VLOOKUP(Internal!V20,Internal!T20:U22,2,0)</f>
        <v>BioTEK µQuant B</v>
      </c>
      <c r="D4" s="311" t="str">
        <f>C4</f>
        <v>BioTEK µQuant B</v>
      </c>
      <c r="E4" s="289"/>
      <c r="F4" s="289"/>
      <c r="J4" s="274"/>
      <c r="K4" s="274"/>
      <c r="L4" s="274"/>
      <c r="M4" s="274"/>
      <c r="N4" s="274"/>
      <c r="O4" s="274"/>
      <c r="P4" s="274"/>
      <c r="Q4" s="274"/>
      <c r="R4" s="492"/>
      <c r="S4" s="274"/>
      <c r="T4" s="274"/>
      <c r="U4" s="274"/>
      <c r="V4" s="274"/>
      <c r="W4" s="274"/>
      <c r="X4" s="274"/>
    </row>
    <row r="5" spans="1:24" x14ac:dyDescent="0.25">
      <c r="B5" s="498" t="s">
        <v>716</v>
      </c>
      <c r="C5" s="294" t="str">
        <f>VLOOKUP(Internal!AA20,Internal!X20:Y23,2,0)</f>
        <v>BM</v>
      </c>
      <c r="D5" s="311" t="str">
        <f>C5</f>
        <v>BM</v>
      </c>
      <c r="E5" s="289"/>
      <c r="F5" s="289"/>
      <c r="J5" s="274"/>
      <c r="K5" s="274"/>
      <c r="L5" s="274"/>
      <c r="M5" s="274"/>
      <c r="N5" s="274"/>
      <c r="O5" s="274"/>
      <c r="P5" s="274"/>
      <c r="Q5" s="274"/>
      <c r="R5" s="492"/>
      <c r="S5" s="274"/>
      <c r="T5" s="274"/>
      <c r="U5" s="274"/>
      <c r="V5" s="274"/>
      <c r="W5" s="274"/>
      <c r="X5" s="274"/>
    </row>
    <row r="6" spans="1:24" x14ac:dyDescent="0.25">
      <c r="B6" s="498" t="s">
        <v>753</v>
      </c>
      <c r="C6" s="294" t="str">
        <f>VLOOKUP(Internal!AE20,Internal!AC20:AD119,2,0)</f>
        <v>Lot 55</v>
      </c>
      <c r="D6" s="311" t="str">
        <f>VLOOKUP(Internal!AF20,Internal!AC20:AD119,2,0)</f>
        <v>Lot 56</v>
      </c>
      <c r="E6" s="289"/>
      <c r="F6" s="289"/>
      <c r="J6" s="274"/>
      <c r="K6" s="274"/>
      <c r="L6" s="274"/>
      <c r="M6" s="274"/>
      <c r="N6" s="274"/>
      <c r="O6" s="274"/>
      <c r="P6" s="274"/>
      <c r="Q6" s="274"/>
      <c r="R6" s="492"/>
      <c r="S6" s="274"/>
      <c r="T6" s="274"/>
      <c r="U6" s="274"/>
      <c r="V6" s="274"/>
      <c r="W6" s="274"/>
      <c r="X6" s="274"/>
    </row>
    <row r="7" spans="1:24" x14ac:dyDescent="0.25">
      <c r="B7" s="498" t="s">
        <v>611</v>
      </c>
      <c r="C7" s="294" t="str">
        <f ca="1">TEXT(TODAY(),"yyyymmdd")</f>
        <v>20180828</v>
      </c>
      <c r="D7" s="311" t="str">
        <f t="shared" ref="D7:D17" ca="1" si="0">C7</f>
        <v>20180828</v>
      </c>
      <c r="E7" s="289"/>
      <c r="F7" s="289"/>
      <c r="J7" s="274"/>
      <c r="K7" s="274"/>
      <c r="L7" s="274"/>
      <c r="M7" s="274"/>
      <c r="N7" s="274"/>
      <c r="O7" s="274"/>
      <c r="P7" s="274"/>
      <c r="Q7" s="274"/>
      <c r="R7" s="492"/>
      <c r="S7" s="274"/>
      <c r="T7" s="274"/>
      <c r="U7" s="274"/>
      <c r="V7" s="274"/>
      <c r="W7" s="274"/>
      <c r="X7" s="274"/>
    </row>
    <row r="8" spans="1:24" ht="45" x14ac:dyDescent="0.25">
      <c r="B8" s="497" t="s">
        <v>755</v>
      </c>
      <c r="C8" s="294" t="str">
        <f>IF(ISBLANK(Master!E8),"",Master!E8)</f>
        <v>I:\COPD\BIO-TEK Gen5 Uquant 384 - B\22Aug2018 raw data set 1 BM.xlsx</v>
      </c>
      <c r="D8" s="311" t="str">
        <f t="shared" si="0"/>
        <v>I:\COPD\BIO-TEK Gen5 Uquant 384 - B\22Aug2018 raw data set 1 BM.xlsx</v>
      </c>
      <c r="E8" s="289"/>
      <c r="F8" s="289"/>
      <c r="J8" s="274"/>
      <c r="K8" s="274"/>
      <c r="L8" s="274"/>
      <c r="M8" s="274"/>
      <c r="N8" s="274"/>
      <c r="O8" s="274"/>
      <c r="P8" s="274"/>
      <c r="Q8" s="274"/>
      <c r="R8" s="492"/>
      <c r="S8" s="274"/>
      <c r="T8" s="274"/>
      <c r="U8" s="274"/>
      <c r="V8" s="274"/>
      <c r="W8" s="274"/>
      <c r="X8" s="274"/>
    </row>
    <row r="9" spans="1:24" x14ac:dyDescent="0.25">
      <c r="B9" s="497" t="s">
        <v>756</v>
      </c>
      <c r="C9" s="294" t="str">
        <f>Master!E4</f>
        <v>232Aug2018 batch</v>
      </c>
      <c r="D9" s="311" t="str">
        <f t="shared" si="0"/>
        <v>232Aug2018 batch</v>
      </c>
      <c r="E9" s="289"/>
      <c r="F9" s="289"/>
      <c r="J9" s="274"/>
      <c r="K9" s="274"/>
      <c r="L9" s="274"/>
      <c r="M9" s="274"/>
      <c r="N9" s="274"/>
      <c r="O9" s="274"/>
      <c r="P9" s="274"/>
      <c r="Q9" s="274"/>
      <c r="R9" s="492"/>
      <c r="S9" s="274"/>
      <c r="T9" s="274"/>
      <c r="U9" s="274"/>
      <c r="V9" s="274"/>
      <c r="W9" s="274"/>
      <c r="X9" s="274"/>
    </row>
    <row r="10" spans="1:24" x14ac:dyDescent="0.25">
      <c r="B10" s="497" t="s">
        <v>115</v>
      </c>
      <c r="C10" s="295">
        <f>Master!J13</f>
        <v>3</v>
      </c>
      <c r="D10" s="312">
        <f t="shared" si="0"/>
        <v>3</v>
      </c>
      <c r="E10" s="289"/>
      <c r="F10" s="289"/>
      <c r="J10" s="274"/>
      <c r="K10" s="274"/>
      <c r="L10" s="274"/>
      <c r="M10" s="274"/>
      <c r="N10" s="274"/>
      <c r="O10" s="274"/>
      <c r="P10" s="274"/>
      <c r="Q10" s="274"/>
      <c r="R10" s="492"/>
      <c r="S10" s="274"/>
      <c r="T10" s="274"/>
      <c r="U10" s="274"/>
      <c r="V10" s="274"/>
      <c r="W10" s="274"/>
      <c r="X10" s="274"/>
    </row>
    <row r="11" spans="1:24" x14ac:dyDescent="0.25">
      <c r="B11" s="497" t="s">
        <v>29</v>
      </c>
      <c r="C11" s="295">
        <f>Master!J12</f>
        <v>1000</v>
      </c>
      <c r="D11" s="312">
        <f t="shared" si="0"/>
        <v>1000</v>
      </c>
      <c r="E11" s="289"/>
      <c r="F11" s="289"/>
      <c r="J11" s="274"/>
      <c r="K11" s="274"/>
      <c r="L11" s="274"/>
      <c r="M11" s="274"/>
      <c r="N11" s="274"/>
      <c r="O11" s="274"/>
      <c r="P11" s="274"/>
      <c r="Q11" s="274"/>
      <c r="R11" s="492"/>
      <c r="S11" s="274"/>
      <c r="T11" s="274"/>
      <c r="U11" s="274"/>
      <c r="V11" s="274"/>
      <c r="W11" s="274"/>
      <c r="X11" s="274"/>
    </row>
    <row r="12" spans="1:24" x14ac:dyDescent="0.25">
      <c r="B12" s="497" t="s">
        <v>717</v>
      </c>
      <c r="C12" s="296" t="str">
        <f>Master!J11</f>
        <v>pg/mL</v>
      </c>
      <c r="D12" s="313" t="str">
        <f t="shared" si="0"/>
        <v>pg/mL</v>
      </c>
      <c r="E12" s="289"/>
      <c r="F12" s="289"/>
      <c r="J12" s="274"/>
      <c r="K12" s="274"/>
      <c r="L12" s="274"/>
      <c r="M12" s="274"/>
      <c r="N12" s="274"/>
      <c r="O12" s="274"/>
      <c r="P12" s="274"/>
      <c r="Q12" s="274"/>
      <c r="R12" s="492"/>
      <c r="S12" s="274"/>
      <c r="T12" s="274"/>
      <c r="U12" s="274"/>
      <c r="V12" s="274"/>
      <c r="W12" s="274"/>
      <c r="X12" s="274"/>
    </row>
    <row r="13" spans="1:24" x14ac:dyDescent="0.25">
      <c r="B13" s="498" t="s">
        <v>1334</v>
      </c>
      <c r="C13" s="296">
        <f>Master!J14</f>
        <v>60</v>
      </c>
      <c r="D13" s="313">
        <f t="shared" si="0"/>
        <v>60</v>
      </c>
      <c r="E13" s="290"/>
      <c r="F13" s="290"/>
      <c r="J13" s="273"/>
      <c r="K13" s="273"/>
      <c r="L13" s="273"/>
      <c r="M13" s="273"/>
      <c r="N13" s="273"/>
      <c r="O13" s="273"/>
      <c r="P13" s="273"/>
      <c r="Q13" s="273"/>
      <c r="R13" s="493"/>
      <c r="S13" s="273"/>
      <c r="T13" s="273"/>
      <c r="U13" s="273"/>
      <c r="V13" s="273"/>
      <c r="W13" s="273"/>
      <c r="X13" s="273"/>
    </row>
    <row r="14" spans="1:24" x14ac:dyDescent="0.25">
      <c r="B14" s="498" t="s">
        <v>1359</v>
      </c>
      <c r="C14" s="296">
        <f>Master!J15</f>
        <v>300</v>
      </c>
      <c r="D14" s="313">
        <f t="shared" si="0"/>
        <v>300</v>
      </c>
      <c r="E14" s="290"/>
      <c r="F14" s="290"/>
      <c r="J14" s="273"/>
      <c r="K14" s="273"/>
      <c r="L14" s="273"/>
      <c r="M14" s="273"/>
      <c r="N14" s="273"/>
      <c r="O14" s="273"/>
      <c r="P14" s="273"/>
      <c r="Q14" s="273"/>
      <c r="R14" s="493"/>
      <c r="S14" s="273"/>
      <c r="T14" s="273"/>
      <c r="U14" s="273"/>
      <c r="V14" s="273"/>
      <c r="W14" s="273"/>
      <c r="X14" s="273"/>
    </row>
    <row r="15" spans="1:24" x14ac:dyDescent="0.25">
      <c r="B15" s="498" t="s">
        <v>1360</v>
      </c>
      <c r="C15" s="296">
        <f>Master!J16</f>
        <v>12</v>
      </c>
      <c r="D15" s="313">
        <f t="shared" si="0"/>
        <v>12</v>
      </c>
      <c r="E15" s="290"/>
      <c r="F15" s="290"/>
      <c r="J15" s="273"/>
      <c r="K15" s="273"/>
      <c r="L15" s="273"/>
      <c r="M15" s="273"/>
      <c r="N15" s="273"/>
      <c r="O15" s="273"/>
      <c r="P15" s="273"/>
      <c r="Q15" s="273"/>
      <c r="R15" s="493"/>
      <c r="S15" s="273"/>
      <c r="T15" s="273"/>
      <c r="U15" s="273"/>
      <c r="V15" s="273"/>
      <c r="W15" s="273"/>
      <c r="X15" s="273"/>
    </row>
    <row r="16" spans="1:24" x14ac:dyDescent="0.25">
      <c r="B16" s="498" t="s">
        <v>746</v>
      </c>
      <c r="C16" s="296" t="str">
        <f>VLOOKUP(Internal!AA20,Internal!X20:Z23,3,0)</f>
        <v>bmahender@proterixbio.com</v>
      </c>
      <c r="D16" s="313" t="str">
        <f t="shared" si="0"/>
        <v>bmahender@proterixbio.com</v>
      </c>
      <c r="E16" s="290"/>
      <c r="F16" s="291"/>
    </row>
    <row r="17" spans="1:39" x14ac:dyDescent="0.25">
      <c r="B17" s="498" t="s">
        <v>758</v>
      </c>
      <c r="C17" s="295">
        <f>VLOOKUP(Internal!AI20,Internal!AG20:AH21,2,0)</f>
        <v>384</v>
      </c>
      <c r="D17" s="312">
        <f t="shared" si="0"/>
        <v>384</v>
      </c>
      <c r="E17" s="292"/>
      <c r="F17" s="293"/>
    </row>
    <row r="18" spans="1:39" x14ac:dyDescent="0.25">
      <c r="B18" s="499" t="s">
        <v>1324</v>
      </c>
      <c r="C18" s="500">
        <f>Master!J18</f>
        <v>10</v>
      </c>
      <c r="D18" s="501">
        <f>C18</f>
        <v>10</v>
      </c>
      <c r="E18" s="292"/>
      <c r="F18" s="293"/>
      <c r="K18" s="199">
        <v>11</v>
      </c>
      <c r="L18" s="199">
        <v>12</v>
      </c>
      <c r="M18" s="199">
        <v>13</v>
      </c>
      <c r="N18" s="199">
        <v>14</v>
      </c>
      <c r="O18" s="199">
        <v>15</v>
      </c>
      <c r="P18" s="199">
        <v>16</v>
      </c>
      <c r="Q18" s="199">
        <v>17</v>
      </c>
      <c r="R18" s="199">
        <v>18</v>
      </c>
    </row>
    <row r="19" spans="1:39" ht="15.75" x14ac:dyDescent="0.25">
      <c r="A19" s="272" t="s">
        <v>109</v>
      </c>
      <c r="B19" s="271" t="s">
        <v>695</v>
      </c>
      <c r="C19" s="272" t="s">
        <v>109</v>
      </c>
      <c r="D19" s="578" t="s">
        <v>29</v>
      </c>
      <c r="E19" s="271"/>
      <c r="F19" s="271"/>
      <c r="G19" s="271"/>
      <c r="H19" s="271"/>
      <c r="I19" s="271"/>
      <c r="J19" s="271"/>
      <c r="K19" s="271" t="s">
        <v>908</v>
      </c>
      <c r="L19" s="271" t="s">
        <v>907</v>
      </c>
      <c r="M19" s="271" t="s">
        <v>621</v>
      </c>
      <c r="N19" s="271" t="s">
        <v>906</v>
      </c>
      <c r="O19" s="271" t="s">
        <v>717</v>
      </c>
      <c r="P19" s="268" t="s">
        <v>925</v>
      </c>
      <c r="Q19" s="268" t="s">
        <v>926</v>
      </c>
      <c r="R19" s="268" t="s">
        <v>1323</v>
      </c>
      <c r="S19" s="268"/>
      <c r="T19" s="303" t="s">
        <v>109</v>
      </c>
      <c r="U19" s="304" t="s">
        <v>715</v>
      </c>
      <c r="V19" s="305" t="s">
        <v>108</v>
      </c>
      <c r="X19" s="270" t="s">
        <v>109</v>
      </c>
      <c r="Y19" s="269" t="s">
        <v>716</v>
      </c>
      <c r="Z19" s="269" t="s">
        <v>905</v>
      </c>
      <c r="AA19" s="268" t="s">
        <v>108</v>
      </c>
      <c r="AC19" s="317" t="s">
        <v>109</v>
      </c>
      <c r="AD19" s="318" t="s">
        <v>904</v>
      </c>
      <c r="AE19" s="319" t="s">
        <v>925</v>
      </c>
      <c r="AF19" s="319" t="s">
        <v>926</v>
      </c>
      <c r="AG19" s="270" t="s">
        <v>109</v>
      </c>
      <c r="AH19" s="269" t="s">
        <v>903</v>
      </c>
      <c r="AI19" s="268" t="s">
        <v>108</v>
      </c>
      <c r="AK19" s="267" t="s">
        <v>109</v>
      </c>
      <c r="AL19" s="267" t="s">
        <v>902</v>
      </c>
      <c r="AM19" s="267" t="s">
        <v>108</v>
      </c>
    </row>
    <row r="20" spans="1:39" x14ac:dyDescent="0.25">
      <c r="A20" s="255">
        <v>1</v>
      </c>
      <c r="B20" s="254" t="s">
        <v>901</v>
      </c>
      <c r="C20" s="255">
        <v>1</v>
      </c>
      <c r="D20" s="579">
        <v>15000</v>
      </c>
      <c r="E20" s="263"/>
      <c r="F20" s="263"/>
      <c r="G20" s="263"/>
      <c r="H20" s="263"/>
      <c r="I20" s="263"/>
      <c r="J20" s="263"/>
      <c r="K20" s="315">
        <v>82.836354748113919</v>
      </c>
      <c r="L20" s="315">
        <v>4459.4329041201909</v>
      </c>
      <c r="M20" s="315">
        <v>2924</v>
      </c>
      <c r="N20" s="254">
        <v>3</v>
      </c>
      <c r="O20" s="254" t="s">
        <v>859</v>
      </c>
      <c r="P20" s="642">
        <f>VLOOKUP(C3,B20:C56,2,0)</f>
        <v>14</v>
      </c>
      <c r="Q20" s="300"/>
      <c r="R20" s="425"/>
      <c r="S20" s="300"/>
      <c r="T20" s="306">
        <v>1</v>
      </c>
      <c r="U20" s="307" t="s">
        <v>1342</v>
      </c>
      <c r="V20" s="646">
        <v>2</v>
      </c>
      <c r="X20" s="266">
        <v>1</v>
      </c>
      <c r="Y20" s="254" t="s">
        <v>900</v>
      </c>
      <c r="Z20" s="265" t="s">
        <v>899</v>
      </c>
      <c r="AA20" s="648">
        <v>1</v>
      </c>
      <c r="AC20" s="314">
        <v>1</v>
      </c>
      <c r="AD20" s="315" t="s">
        <v>898</v>
      </c>
      <c r="AE20" s="647">
        <v>55</v>
      </c>
      <c r="AF20" s="649">
        <v>56</v>
      </c>
      <c r="AG20" s="316">
        <v>1</v>
      </c>
      <c r="AH20" s="264">
        <v>96</v>
      </c>
      <c r="AI20" s="642">
        <v>2</v>
      </c>
      <c r="AK20" s="264">
        <v>1</v>
      </c>
      <c r="AL20" s="264" t="str">
        <f>Master!F11</f>
        <v>PTX3</v>
      </c>
      <c r="AM20" s="642">
        <v>2</v>
      </c>
    </row>
    <row r="21" spans="1:39" x14ac:dyDescent="0.25">
      <c r="A21" s="255">
        <v>2</v>
      </c>
      <c r="B21" s="254" t="s">
        <v>897</v>
      </c>
      <c r="C21" s="255">
        <v>2</v>
      </c>
      <c r="D21" s="264">
        <v>50</v>
      </c>
      <c r="E21" s="263"/>
      <c r="F21" s="263"/>
      <c r="G21" s="263"/>
      <c r="H21" s="263"/>
      <c r="I21" s="263"/>
      <c r="J21" s="263"/>
      <c r="K21" s="315">
        <v>0.21</v>
      </c>
      <c r="L21" s="315">
        <v>6.67</v>
      </c>
      <c r="M21" s="315">
        <v>0.6</v>
      </c>
      <c r="N21" s="254">
        <v>3</v>
      </c>
      <c r="O21" s="254" t="s">
        <v>859</v>
      </c>
      <c r="P21" s="643"/>
      <c r="Q21" s="301"/>
      <c r="R21" s="496">
        <v>1000000</v>
      </c>
      <c r="S21" s="301"/>
      <c r="T21" s="306">
        <v>2</v>
      </c>
      <c r="U21" s="307" t="s">
        <v>1343</v>
      </c>
      <c r="V21" s="646"/>
      <c r="X21" s="266">
        <v>2</v>
      </c>
      <c r="Y21" s="254" t="s">
        <v>896</v>
      </c>
      <c r="Z21" s="265" t="s">
        <v>895</v>
      </c>
      <c r="AA21" s="648"/>
      <c r="AC21" s="314">
        <v>2</v>
      </c>
      <c r="AD21" s="315" t="s">
        <v>894</v>
      </c>
      <c r="AE21" s="647"/>
      <c r="AF21" s="650"/>
      <c r="AG21" s="316">
        <v>2</v>
      </c>
      <c r="AH21" s="264">
        <v>384</v>
      </c>
      <c r="AI21" s="644"/>
      <c r="AK21" s="264">
        <v>2</v>
      </c>
      <c r="AL21" s="264" t="str">
        <f>Master!F12</f>
        <v>GDF-15</v>
      </c>
      <c r="AM21" s="643"/>
    </row>
    <row r="22" spans="1:39" x14ac:dyDescent="0.25">
      <c r="A22" s="255">
        <v>3</v>
      </c>
      <c r="B22" s="254" t="s">
        <v>893</v>
      </c>
      <c r="C22" s="255">
        <v>3</v>
      </c>
      <c r="D22" s="264">
        <v>8000</v>
      </c>
      <c r="E22" s="263"/>
      <c r="F22" s="263"/>
      <c r="G22" s="263"/>
      <c r="H22" s="263"/>
      <c r="I22" s="263"/>
      <c r="J22" s="263"/>
      <c r="K22" s="315">
        <v>425</v>
      </c>
      <c r="L22" s="315">
        <v>4443.6606971394203</v>
      </c>
      <c r="M22" s="315">
        <v>550</v>
      </c>
      <c r="N22" s="254">
        <v>2</v>
      </c>
      <c r="O22" s="254" t="s">
        <v>718</v>
      </c>
      <c r="P22" s="643"/>
      <c r="Q22" s="301"/>
      <c r="R22" s="425"/>
      <c r="S22" s="301"/>
      <c r="T22" s="306"/>
      <c r="U22" s="307"/>
      <c r="V22" s="646"/>
      <c r="X22" s="266">
        <v>3</v>
      </c>
      <c r="Y22" s="254" t="s">
        <v>760</v>
      </c>
      <c r="Z22" s="265" t="s">
        <v>761</v>
      </c>
      <c r="AA22" s="648"/>
      <c r="AC22" s="314">
        <v>3</v>
      </c>
      <c r="AD22" s="315" t="s">
        <v>892</v>
      </c>
      <c r="AE22" s="647"/>
      <c r="AF22" s="650"/>
      <c r="AK22" s="264">
        <v>3</v>
      </c>
      <c r="AL22" s="264" t="str">
        <f>Master!F13</f>
        <v>NE</v>
      </c>
      <c r="AM22" s="643"/>
    </row>
    <row r="23" spans="1:39" x14ac:dyDescent="0.25">
      <c r="A23" s="255">
        <v>4</v>
      </c>
      <c r="B23" s="254" t="s">
        <v>891</v>
      </c>
      <c r="C23" s="255">
        <v>4</v>
      </c>
      <c r="D23" s="264">
        <v>5000</v>
      </c>
      <c r="E23" s="263"/>
      <c r="F23" s="263"/>
      <c r="G23" s="263"/>
      <c r="H23" s="263"/>
      <c r="I23" s="263"/>
      <c r="J23" s="263"/>
      <c r="K23" s="315">
        <v>156.25</v>
      </c>
      <c r="L23" s="315">
        <v>3858.5787074084669</v>
      </c>
      <c r="M23" s="315">
        <v>399.28</v>
      </c>
      <c r="N23" s="254">
        <v>2</v>
      </c>
      <c r="O23" s="254" t="s">
        <v>718</v>
      </c>
      <c r="P23" s="643"/>
      <c r="Q23" s="301"/>
      <c r="R23" s="425"/>
      <c r="S23" s="301"/>
      <c r="T23" s="306"/>
      <c r="U23" s="307"/>
      <c r="V23" s="646"/>
      <c r="X23" s="266">
        <v>4</v>
      </c>
      <c r="Y23" s="254" t="s">
        <v>890</v>
      </c>
      <c r="Z23" s="265" t="s">
        <v>889</v>
      </c>
      <c r="AA23" s="648"/>
      <c r="AC23" s="314">
        <v>4</v>
      </c>
      <c r="AD23" s="315" t="s">
        <v>888</v>
      </c>
      <c r="AE23" s="647"/>
      <c r="AF23" s="650"/>
      <c r="AK23" s="264">
        <v>4</v>
      </c>
      <c r="AL23" s="264" t="str">
        <f>Master!F14</f>
        <v>IgE</v>
      </c>
      <c r="AM23" s="643"/>
    </row>
    <row r="24" spans="1:39" x14ac:dyDescent="0.25">
      <c r="A24" s="255">
        <v>5</v>
      </c>
      <c r="B24" s="254" t="s">
        <v>887</v>
      </c>
      <c r="C24" s="255">
        <v>5</v>
      </c>
      <c r="D24" s="264">
        <v>10</v>
      </c>
      <c r="E24" s="263"/>
      <c r="F24" s="263"/>
      <c r="G24" s="263"/>
      <c r="H24" s="263"/>
      <c r="I24" s="263"/>
      <c r="J24" s="263"/>
      <c r="K24" s="315">
        <v>0.3125</v>
      </c>
      <c r="L24" s="315">
        <v>5</v>
      </c>
      <c r="M24" s="315">
        <v>1.25</v>
      </c>
      <c r="N24" s="254">
        <v>2</v>
      </c>
      <c r="O24" s="254" t="s">
        <v>859</v>
      </c>
      <c r="P24" s="643"/>
      <c r="Q24" s="301"/>
      <c r="R24" s="425"/>
      <c r="S24" s="301"/>
      <c r="AC24" s="314">
        <v>5</v>
      </c>
      <c r="AD24" s="315" t="s">
        <v>886</v>
      </c>
      <c r="AE24" s="647"/>
      <c r="AF24" s="650"/>
      <c r="AK24" s="264">
        <v>5</v>
      </c>
      <c r="AL24" s="264" t="str">
        <f>Master!F15</f>
        <v>HNL</v>
      </c>
      <c r="AM24" s="643"/>
    </row>
    <row r="25" spans="1:39" x14ac:dyDescent="0.25">
      <c r="A25" s="255">
        <v>6</v>
      </c>
      <c r="B25" s="254" t="s">
        <v>885</v>
      </c>
      <c r="C25" s="255">
        <v>6</v>
      </c>
      <c r="D25" s="264">
        <v>1000</v>
      </c>
      <c r="E25" s="263"/>
      <c r="F25" s="263"/>
      <c r="G25" s="263"/>
      <c r="H25" s="263"/>
      <c r="I25" s="263"/>
      <c r="J25" s="263"/>
      <c r="K25" s="315">
        <v>70</v>
      </c>
      <c r="L25" s="315">
        <v>479</v>
      </c>
      <c r="M25" s="315">
        <v>150.72999999999999</v>
      </c>
      <c r="N25" s="254">
        <v>2</v>
      </c>
      <c r="O25" s="254" t="s">
        <v>718</v>
      </c>
      <c r="P25" s="643"/>
      <c r="Q25" s="301"/>
      <c r="R25" s="425"/>
      <c r="S25" s="301"/>
      <c r="AC25" s="314">
        <v>6</v>
      </c>
      <c r="AD25" s="315" t="s">
        <v>884</v>
      </c>
      <c r="AE25" s="647"/>
      <c r="AF25" s="650"/>
      <c r="AK25" s="264">
        <v>6</v>
      </c>
      <c r="AL25" s="264" t="str">
        <f>Master!F16</f>
        <v>CC16</v>
      </c>
      <c r="AM25" s="643"/>
    </row>
    <row r="26" spans="1:39" x14ac:dyDescent="0.25">
      <c r="A26" s="255">
        <v>7</v>
      </c>
      <c r="B26" s="254" t="s">
        <v>883</v>
      </c>
      <c r="C26" s="255">
        <v>7</v>
      </c>
      <c r="D26" s="264">
        <v>12000</v>
      </c>
      <c r="E26" s="263"/>
      <c r="F26" s="263"/>
      <c r="G26" s="263"/>
      <c r="H26" s="263"/>
      <c r="I26" s="263"/>
      <c r="J26" s="263"/>
      <c r="K26" s="315">
        <v>375</v>
      </c>
      <c r="L26" s="315">
        <v>6000</v>
      </c>
      <c r="M26" s="315">
        <v>300</v>
      </c>
      <c r="N26" s="254">
        <v>2</v>
      </c>
      <c r="O26" s="254" t="s">
        <v>718</v>
      </c>
      <c r="P26" s="643"/>
      <c r="Q26" s="301"/>
      <c r="R26" s="425">
        <v>10</v>
      </c>
      <c r="S26" s="301"/>
      <c r="V26" s="494"/>
      <c r="W26" s="495"/>
      <c r="AC26" s="314">
        <v>7</v>
      </c>
      <c r="AD26" s="315" t="s">
        <v>882</v>
      </c>
      <c r="AE26" s="647"/>
      <c r="AF26" s="650"/>
      <c r="AK26" s="264">
        <v>7</v>
      </c>
      <c r="AL26" s="264" t="str">
        <f>Master!F17</f>
        <v>IgG1</v>
      </c>
      <c r="AM26" s="643"/>
    </row>
    <row r="27" spans="1:39" x14ac:dyDescent="0.25">
      <c r="A27" s="255">
        <v>8</v>
      </c>
      <c r="B27" s="254" t="s">
        <v>881</v>
      </c>
      <c r="C27" s="255">
        <v>8</v>
      </c>
      <c r="D27" s="264">
        <v>3000</v>
      </c>
      <c r="E27" s="263"/>
      <c r="F27" s="263"/>
      <c r="G27" s="263"/>
      <c r="H27" s="263"/>
      <c r="I27" s="263"/>
      <c r="J27" s="263"/>
      <c r="K27" s="315">
        <v>94</v>
      </c>
      <c r="L27" s="315">
        <v>1500</v>
      </c>
      <c r="M27" s="315">
        <v>120</v>
      </c>
      <c r="N27" s="254">
        <v>2</v>
      </c>
      <c r="O27" s="254" t="s">
        <v>718</v>
      </c>
      <c r="P27" s="643"/>
      <c r="Q27" s="301"/>
      <c r="R27" s="496">
        <v>10000</v>
      </c>
      <c r="S27" s="301"/>
      <c r="AC27" s="314">
        <v>8</v>
      </c>
      <c r="AD27" s="315" t="s">
        <v>880</v>
      </c>
      <c r="AE27" s="647"/>
      <c r="AF27" s="650"/>
      <c r="AK27" s="264">
        <v>8</v>
      </c>
      <c r="AL27" s="264" t="str">
        <f>Master!F18</f>
        <v>IgG</v>
      </c>
      <c r="AM27" s="643"/>
    </row>
    <row r="28" spans="1:39" x14ac:dyDescent="0.25">
      <c r="A28" s="255">
        <v>9</v>
      </c>
      <c r="B28" s="254" t="s">
        <v>1311</v>
      </c>
      <c r="C28" s="255">
        <v>9</v>
      </c>
      <c r="D28" s="264">
        <v>20</v>
      </c>
      <c r="E28" s="263"/>
      <c r="F28" s="263"/>
      <c r="G28" s="263"/>
      <c r="H28" s="263"/>
      <c r="I28" s="263"/>
      <c r="J28" s="263"/>
      <c r="K28" s="315">
        <v>0.63</v>
      </c>
      <c r="L28" s="315">
        <v>10</v>
      </c>
      <c r="M28" s="315">
        <v>1</v>
      </c>
      <c r="N28" s="254">
        <v>2</v>
      </c>
      <c r="O28" s="254" t="s">
        <v>859</v>
      </c>
      <c r="P28" s="643"/>
      <c r="Q28" s="301"/>
      <c r="R28" s="425">
        <v>1000</v>
      </c>
      <c r="S28" s="301"/>
      <c r="AC28" s="314">
        <v>9</v>
      </c>
      <c r="AD28" s="315" t="s">
        <v>879</v>
      </c>
      <c r="AE28" s="647"/>
      <c r="AF28" s="650"/>
      <c r="AK28" s="264">
        <v>10</v>
      </c>
      <c r="AL28" s="264" t="str">
        <f>Master!F19</f>
        <v>sRAGE</v>
      </c>
      <c r="AM28" s="643"/>
    </row>
    <row r="29" spans="1:39" x14ac:dyDescent="0.25">
      <c r="A29" s="255">
        <v>10</v>
      </c>
      <c r="B29" s="254" t="s">
        <v>878</v>
      </c>
      <c r="C29" s="255">
        <v>10</v>
      </c>
      <c r="D29" s="264">
        <v>100</v>
      </c>
      <c r="E29" s="263"/>
      <c r="F29" s="263"/>
      <c r="G29" s="263"/>
      <c r="H29" s="263"/>
      <c r="I29" s="263"/>
      <c r="J29" s="263"/>
      <c r="K29" s="315">
        <v>4.71</v>
      </c>
      <c r="L29" s="315">
        <v>51.27</v>
      </c>
      <c r="M29" s="315">
        <v>70.64</v>
      </c>
      <c r="N29" s="254">
        <v>2</v>
      </c>
      <c r="O29" s="254" t="s">
        <v>718</v>
      </c>
      <c r="P29" s="643"/>
      <c r="Q29" s="301"/>
      <c r="R29" s="425"/>
      <c r="S29" s="301"/>
      <c r="AC29" s="314">
        <v>10</v>
      </c>
      <c r="AD29" s="315" t="s">
        <v>877</v>
      </c>
      <c r="AE29" s="647"/>
      <c r="AF29" s="650"/>
      <c r="AK29" s="264">
        <v>12</v>
      </c>
      <c r="AL29" s="264" t="str">
        <f>Master!F20</f>
        <v>YKL-40</v>
      </c>
      <c r="AM29" s="643"/>
    </row>
    <row r="30" spans="1:39" x14ac:dyDescent="0.25">
      <c r="A30" s="255">
        <v>11</v>
      </c>
      <c r="B30" s="254" t="s">
        <v>876</v>
      </c>
      <c r="C30" s="255">
        <v>11</v>
      </c>
      <c r="D30" s="264">
        <v>400</v>
      </c>
      <c r="E30" s="263"/>
      <c r="F30" s="263"/>
      <c r="G30" s="263"/>
      <c r="H30" s="263"/>
      <c r="I30" s="263"/>
      <c r="J30" s="263"/>
      <c r="K30" s="315">
        <v>1.6460905349794241</v>
      </c>
      <c r="L30" s="315">
        <v>133.33333333333334</v>
      </c>
      <c r="M30" s="315">
        <v>14.814814814814817</v>
      </c>
      <c r="N30" s="254">
        <v>3</v>
      </c>
      <c r="O30" s="254" t="s">
        <v>718</v>
      </c>
      <c r="P30" s="643"/>
      <c r="Q30" s="301"/>
      <c r="R30" s="425"/>
      <c r="S30" s="301"/>
      <c r="AC30" s="314">
        <v>11</v>
      </c>
      <c r="AD30" s="315" t="s">
        <v>875</v>
      </c>
      <c r="AE30" s="647"/>
      <c r="AF30" s="650"/>
      <c r="AK30" s="264">
        <v>14</v>
      </c>
      <c r="AL30" s="264" t="str">
        <f>Master!F21</f>
        <v>PARC</v>
      </c>
      <c r="AM30" s="643"/>
    </row>
    <row r="31" spans="1:39" x14ac:dyDescent="0.25">
      <c r="A31" s="255">
        <v>12</v>
      </c>
      <c r="B31" s="254" t="s">
        <v>874</v>
      </c>
      <c r="C31" s="255">
        <v>12</v>
      </c>
      <c r="D31" s="264">
        <v>1000</v>
      </c>
      <c r="E31" s="263"/>
      <c r="F31" s="263"/>
      <c r="G31" s="263"/>
      <c r="H31" s="263"/>
      <c r="I31" s="263"/>
      <c r="J31" s="263"/>
      <c r="K31" s="315">
        <v>4.1150000000000002</v>
      </c>
      <c r="L31" s="315">
        <v>460.97750634874359</v>
      </c>
      <c r="M31" s="315">
        <v>37.036999999999999</v>
      </c>
      <c r="N31" s="254">
        <v>3</v>
      </c>
      <c r="O31" s="254" t="s">
        <v>859</v>
      </c>
      <c r="P31" s="643"/>
      <c r="Q31" s="301"/>
      <c r="R31" s="425"/>
      <c r="S31" s="301"/>
      <c r="AC31" s="314">
        <v>12</v>
      </c>
      <c r="AD31" s="315" t="s">
        <v>873</v>
      </c>
      <c r="AE31" s="647"/>
      <c r="AF31" s="650"/>
      <c r="AK31" s="264">
        <v>16</v>
      </c>
      <c r="AL31" s="264">
        <f>Master!F22</f>
        <v>0</v>
      </c>
      <c r="AM31" s="643"/>
    </row>
    <row r="32" spans="1:39" x14ac:dyDescent="0.25">
      <c r="A32" s="255">
        <v>13</v>
      </c>
      <c r="B32" s="254" t="s">
        <v>872</v>
      </c>
      <c r="C32" s="255">
        <v>13</v>
      </c>
      <c r="D32" s="264">
        <v>25</v>
      </c>
      <c r="E32" s="263"/>
      <c r="F32" s="263"/>
      <c r="G32" s="263"/>
      <c r="H32" s="263"/>
      <c r="I32" s="263"/>
      <c r="J32" s="263"/>
      <c r="K32" s="315">
        <v>0.78125</v>
      </c>
      <c r="L32" s="315">
        <v>12.5</v>
      </c>
      <c r="M32" s="315">
        <v>3.125</v>
      </c>
      <c r="N32" s="254">
        <v>2</v>
      </c>
      <c r="O32" s="254" t="s">
        <v>859</v>
      </c>
      <c r="P32" s="643"/>
      <c r="Q32" s="301"/>
      <c r="R32" s="425"/>
      <c r="S32" s="301"/>
      <c r="AC32" s="314">
        <v>13</v>
      </c>
      <c r="AD32" s="315" t="s">
        <v>871</v>
      </c>
      <c r="AE32" s="647"/>
      <c r="AF32" s="650"/>
      <c r="AK32" s="264">
        <v>18</v>
      </c>
      <c r="AL32" s="264">
        <f>Master!I23</f>
        <v>0</v>
      </c>
      <c r="AM32" s="643"/>
    </row>
    <row r="33" spans="1:39" x14ac:dyDescent="0.25">
      <c r="A33" s="255">
        <v>14</v>
      </c>
      <c r="B33" s="254" t="s">
        <v>964</v>
      </c>
      <c r="C33" s="255">
        <v>14</v>
      </c>
      <c r="D33" s="264">
        <v>1000</v>
      </c>
      <c r="E33" s="263"/>
      <c r="F33" s="263"/>
      <c r="G33" s="263"/>
      <c r="H33" s="263"/>
      <c r="I33" s="263"/>
      <c r="J33" s="263"/>
      <c r="K33" s="315">
        <v>12</v>
      </c>
      <c r="L33" s="315">
        <v>300</v>
      </c>
      <c r="M33" s="315">
        <v>60</v>
      </c>
      <c r="N33" s="254">
        <v>3</v>
      </c>
      <c r="O33" s="254" t="s">
        <v>718</v>
      </c>
      <c r="P33" s="643"/>
      <c r="Q33" s="301"/>
      <c r="R33" s="425">
        <v>10</v>
      </c>
      <c r="S33" s="301"/>
      <c r="AC33" s="314">
        <v>14</v>
      </c>
      <c r="AD33" s="315" t="s">
        <v>870</v>
      </c>
      <c r="AE33" s="647"/>
      <c r="AF33" s="650"/>
      <c r="AK33" s="264">
        <v>20</v>
      </c>
      <c r="AL33" s="264">
        <f>Master!I24</f>
        <v>0</v>
      </c>
      <c r="AM33" s="643"/>
    </row>
    <row r="34" spans="1:39" x14ac:dyDescent="0.25">
      <c r="A34" s="255">
        <v>15</v>
      </c>
      <c r="B34" s="254" t="s">
        <v>751</v>
      </c>
      <c r="C34" s="255">
        <v>15</v>
      </c>
      <c r="D34" s="264">
        <v>4000</v>
      </c>
      <c r="E34" s="263"/>
      <c r="F34" s="263"/>
      <c r="G34" s="263"/>
      <c r="H34" s="263"/>
      <c r="I34" s="263"/>
      <c r="J34" s="263"/>
      <c r="K34" s="315">
        <v>125</v>
      </c>
      <c r="L34" s="315">
        <v>2000</v>
      </c>
      <c r="M34" s="315">
        <v>250</v>
      </c>
      <c r="N34" s="254">
        <v>2</v>
      </c>
      <c r="O34" s="254" t="s">
        <v>718</v>
      </c>
      <c r="P34" s="643"/>
      <c r="Q34" s="301"/>
      <c r="R34" s="425">
        <v>100</v>
      </c>
      <c r="S34" s="301"/>
      <c r="AC34" s="314">
        <v>15</v>
      </c>
      <c r="AD34" s="315" t="s">
        <v>869</v>
      </c>
      <c r="AE34" s="647"/>
      <c r="AF34" s="650"/>
      <c r="AK34" s="264">
        <v>22</v>
      </c>
      <c r="AL34" s="264">
        <f>Master!I25</f>
        <v>0</v>
      </c>
      <c r="AM34" s="643"/>
    </row>
    <row r="35" spans="1:39" x14ac:dyDescent="0.25">
      <c r="A35" s="255">
        <v>16</v>
      </c>
      <c r="B35" s="254" t="s">
        <v>868</v>
      </c>
      <c r="C35" s="255">
        <v>16</v>
      </c>
      <c r="D35" s="264">
        <v>125</v>
      </c>
      <c r="E35" s="263"/>
      <c r="F35" s="263"/>
      <c r="G35" s="263"/>
      <c r="H35" s="263"/>
      <c r="I35" s="263"/>
      <c r="J35" s="263"/>
      <c r="K35" s="315">
        <v>3.90625</v>
      </c>
      <c r="L35" s="315">
        <v>62.5</v>
      </c>
      <c r="M35" s="315">
        <v>15.625</v>
      </c>
      <c r="N35" s="254">
        <v>2</v>
      </c>
      <c r="O35" s="254" t="s">
        <v>859</v>
      </c>
      <c r="P35" s="643"/>
      <c r="Q35" s="301"/>
      <c r="R35" s="496">
        <v>100000</v>
      </c>
      <c r="S35" s="301"/>
      <c r="AC35" s="314">
        <v>16</v>
      </c>
      <c r="AD35" s="315" t="s">
        <v>867</v>
      </c>
      <c r="AE35" s="647"/>
      <c r="AF35" s="650"/>
      <c r="AK35" s="264">
        <v>24</v>
      </c>
      <c r="AL35" s="264">
        <f>Master!I26</f>
        <v>0</v>
      </c>
      <c r="AM35" s="644"/>
    </row>
    <row r="36" spans="1:39" x14ac:dyDescent="0.25">
      <c r="A36" s="255">
        <v>17</v>
      </c>
      <c r="B36" s="254" t="s">
        <v>866</v>
      </c>
      <c r="C36" s="255">
        <v>17</v>
      </c>
      <c r="D36" s="264">
        <v>125</v>
      </c>
      <c r="E36" s="263"/>
      <c r="F36" s="263"/>
      <c r="G36" s="263"/>
      <c r="H36" s="263"/>
      <c r="I36" s="263"/>
      <c r="J36" s="263"/>
      <c r="K36" s="315">
        <v>0.52</v>
      </c>
      <c r="L36" s="315">
        <v>40</v>
      </c>
      <c r="M36" s="315">
        <v>0.6</v>
      </c>
      <c r="N36" s="254">
        <v>3</v>
      </c>
      <c r="O36" s="254" t="s">
        <v>859</v>
      </c>
      <c r="P36" s="643"/>
      <c r="Q36" s="301"/>
      <c r="R36" s="425">
        <v>100</v>
      </c>
      <c r="S36" s="301"/>
      <c r="AC36" s="314">
        <v>17</v>
      </c>
      <c r="AD36" s="315" t="s">
        <v>865</v>
      </c>
      <c r="AE36" s="647"/>
      <c r="AF36" s="650"/>
    </row>
    <row r="37" spans="1:39" x14ac:dyDescent="0.25">
      <c r="A37" s="255">
        <v>18</v>
      </c>
      <c r="B37" s="254" t="s">
        <v>864</v>
      </c>
      <c r="C37" s="255">
        <v>18</v>
      </c>
      <c r="D37" s="264">
        <v>50</v>
      </c>
      <c r="E37" s="263"/>
      <c r="F37" s="263"/>
      <c r="G37" s="263"/>
      <c r="H37" s="263"/>
      <c r="I37" s="263"/>
      <c r="J37" s="263"/>
      <c r="K37" s="315">
        <v>0.21</v>
      </c>
      <c r="L37" s="315">
        <v>16.670000000000002</v>
      </c>
      <c r="M37" s="315">
        <v>15</v>
      </c>
      <c r="N37" s="254">
        <v>3</v>
      </c>
      <c r="O37" s="254" t="s">
        <v>859</v>
      </c>
      <c r="P37" s="643"/>
      <c r="Q37" s="301"/>
      <c r="R37" s="425">
        <v>1000000</v>
      </c>
      <c r="S37" s="301"/>
      <c r="AC37" s="314">
        <v>18</v>
      </c>
      <c r="AD37" s="315" t="s">
        <v>863</v>
      </c>
      <c r="AE37" s="647"/>
      <c r="AF37" s="650"/>
    </row>
    <row r="38" spans="1:39" x14ac:dyDescent="0.25">
      <c r="A38" s="255">
        <v>19</v>
      </c>
      <c r="B38" s="254" t="s">
        <v>862</v>
      </c>
      <c r="C38" s="255">
        <v>19</v>
      </c>
      <c r="D38" s="264">
        <v>200</v>
      </c>
      <c r="E38" s="263"/>
      <c r="F38" s="263"/>
      <c r="G38" s="263"/>
      <c r="H38" s="263"/>
      <c r="I38" s="263"/>
      <c r="J38" s="263"/>
      <c r="K38" s="315">
        <v>6.25</v>
      </c>
      <c r="L38" s="315">
        <v>100</v>
      </c>
      <c r="M38" s="315">
        <v>8</v>
      </c>
      <c r="N38" s="254">
        <v>2</v>
      </c>
      <c r="O38" s="254" t="s">
        <v>859</v>
      </c>
      <c r="P38" s="643"/>
      <c r="Q38" s="301"/>
      <c r="R38" s="496">
        <v>1000000</v>
      </c>
      <c r="S38" s="301"/>
      <c r="AC38" s="314">
        <v>19</v>
      </c>
      <c r="AD38" s="315" t="s">
        <v>861</v>
      </c>
      <c r="AE38" s="647"/>
      <c r="AF38" s="650"/>
    </row>
    <row r="39" spans="1:39" x14ac:dyDescent="0.25">
      <c r="A39" s="255">
        <v>20</v>
      </c>
      <c r="B39" s="254" t="s">
        <v>860</v>
      </c>
      <c r="C39" s="255">
        <v>20</v>
      </c>
      <c r="D39" s="264">
        <v>150</v>
      </c>
      <c r="E39" s="263"/>
      <c r="F39" s="263"/>
      <c r="G39" s="263"/>
      <c r="H39" s="263"/>
      <c r="I39" s="263"/>
      <c r="J39" s="263"/>
      <c r="K39" s="315">
        <v>3.31</v>
      </c>
      <c r="L39" s="315">
        <v>65.239999999999995</v>
      </c>
      <c r="M39" s="315">
        <v>5</v>
      </c>
      <c r="N39" s="254">
        <v>2</v>
      </c>
      <c r="O39" s="254" t="s">
        <v>859</v>
      </c>
      <c r="P39" s="643"/>
      <c r="Q39" s="301"/>
      <c r="R39" s="425"/>
      <c r="S39" s="301"/>
      <c r="AC39" s="314">
        <v>20</v>
      </c>
      <c r="AD39" s="315" t="s">
        <v>858</v>
      </c>
      <c r="AE39" s="647"/>
      <c r="AF39" s="650"/>
    </row>
    <row r="40" spans="1:39" x14ac:dyDescent="0.25">
      <c r="A40" s="255">
        <v>21</v>
      </c>
      <c r="B40" s="254" t="s">
        <v>857</v>
      </c>
      <c r="C40" s="255">
        <v>21</v>
      </c>
      <c r="D40" s="264">
        <v>114</v>
      </c>
      <c r="E40" s="263"/>
      <c r="F40" s="263"/>
      <c r="G40" s="263"/>
      <c r="H40" s="263"/>
      <c r="I40" s="263"/>
      <c r="J40" s="263"/>
      <c r="K40" s="315">
        <v>0.04</v>
      </c>
      <c r="L40" s="315">
        <v>14.45</v>
      </c>
      <c r="M40" s="315">
        <v>0.5</v>
      </c>
      <c r="N40" s="254">
        <v>5</v>
      </c>
      <c r="O40" s="254" t="s">
        <v>718</v>
      </c>
      <c r="P40" s="643"/>
      <c r="Q40" s="301"/>
      <c r="R40" s="425"/>
      <c r="S40" s="301"/>
      <c r="AC40" s="314">
        <v>21</v>
      </c>
      <c r="AD40" s="315" t="s">
        <v>856</v>
      </c>
      <c r="AE40" s="647"/>
      <c r="AF40" s="650"/>
    </row>
    <row r="41" spans="1:39" x14ac:dyDescent="0.25">
      <c r="A41" s="255">
        <v>22</v>
      </c>
      <c r="B41" s="254" t="s">
        <v>855</v>
      </c>
      <c r="C41" s="255">
        <v>22</v>
      </c>
      <c r="D41" s="264">
        <v>1000</v>
      </c>
      <c r="E41" s="263"/>
      <c r="F41" s="263"/>
      <c r="G41" s="263"/>
      <c r="H41" s="263"/>
      <c r="I41" s="263"/>
      <c r="J41" s="263"/>
      <c r="K41" s="315">
        <v>24.710491105422836</v>
      </c>
      <c r="L41" s="315">
        <v>485.47935562495991</v>
      </c>
      <c r="M41" s="315">
        <v>30</v>
      </c>
      <c r="N41" s="254">
        <v>2</v>
      </c>
      <c r="O41" s="254" t="s">
        <v>718</v>
      </c>
      <c r="P41" s="643"/>
      <c r="Q41" s="301"/>
      <c r="R41" s="425"/>
      <c r="S41" s="301"/>
      <c r="AC41" s="314">
        <v>22</v>
      </c>
      <c r="AD41" s="315" t="s">
        <v>854</v>
      </c>
      <c r="AE41" s="647"/>
      <c r="AF41" s="650"/>
    </row>
    <row r="42" spans="1:39" x14ac:dyDescent="0.25">
      <c r="A42" s="255">
        <v>23</v>
      </c>
      <c r="B42" s="254" t="s">
        <v>853</v>
      </c>
      <c r="C42" s="255">
        <v>23</v>
      </c>
      <c r="D42" s="264">
        <v>200</v>
      </c>
      <c r="E42" s="263"/>
      <c r="F42" s="263"/>
      <c r="G42" s="263"/>
      <c r="H42" s="263"/>
      <c r="I42" s="263"/>
      <c r="J42" s="263"/>
      <c r="K42" s="315">
        <v>6.25</v>
      </c>
      <c r="L42" s="315">
        <v>96.81</v>
      </c>
      <c r="M42" s="315">
        <v>25</v>
      </c>
      <c r="N42" s="254">
        <v>2</v>
      </c>
      <c r="O42" s="254" t="s">
        <v>718</v>
      </c>
      <c r="P42" s="643"/>
      <c r="Q42" s="301"/>
      <c r="R42" s="425"/>
      <c r="S42" s="301"/>
      <c r="AC42" s="314">
        <v>23</v>
      </c>
      <c r="AD42" s="315" t="s">
        <v>852</v>
      </c>
      <c r="AE42" s="647"/>
      <c r="AF42" s="650"/>
    </row>
    <row r="43" spans="1:39" x14ac:dyDescent="0.25">
      <c r="A43" s="255">
        <v>24</v>
      </c>
      <c r="B43" s="254" t="s">
        <v>851</v>
      </c>
      <c r="C43" s="255">
        <v>24</v>
      </c>
      <c r="D43" s="264">
        <v>4000</v>
      </c>
      <c r="E43" s="263"/>
      <c r="F43" s="263"/>
      <c r="G43" s="263"/>
      <c r="H43" s="263"/>
      <c r="I43" s="263"/>
      <c r="J43" s="263"/>
      <c r="K43" s="315">
        <v>125</v>
      </c>
      <c r="L43" s="315">
        <v>2000</v>
      </c>
      <c r="M43" s="315">
        <v>500</v>
      </c>
      <c r="N43" s="254">
        <v>2</v>
      </c>
      <c r="O43" s="254" t="s">
        <v>718</v>
      </c>
      <c r="P43" s="643"/>
      <c r="Q43" s="301"/>
      <c r="R43" s="425"/>
      <c r="S43" s="301"/>
      <c r="AC43" s="314">
        <v>24</v>
      </c>
      <c r="AD43" s="315" t="s">
        <v>850</v>
      </c>
      <c r="AE43" s="647"/>
      <c r="AF43" s="650"/>
    </row>
    <row r="44" spans="1:39" x14ac:dyDescent="0.25">
      <c r="A44" s="255">
        <v>25</v>
      </c>
      <c r="B44" s="254" t="s">
        <v>849</v>
      </c>
      <c r="C44" s="255">
        <v>25</v>
      </c>
      <c r="D44" s="264">
        <v>10000</v>
      </c>
      <c r="E44" s="263"/>
      <c r="F44" s="263"/>
      <c r="G44" s="263"/>
      <c r="H44" s="263"/>
      <c r="I44" s="263"/>
      <c r="J44" s="263"/>
      <c r="K44" s="315">
        <v>123</v>
      </c>
      <c r="L44" s="315">
        <v>3333</v>
      </c>
      <c r="M44" s="315">
        <v>1000</v>
      </c>
      <c r="N44" s="254">
        <v>3</v>
      </c>
      <c r="O44" s="254" t="s">
        <v>718</v>
      </c>
      <c r="P44" s="643"/>
      <c r="Q44" s="301"/>
      <c r="R44" s="425">
        <v>100</v>
      </c>
      <c r="S44" s="301"/>
      <c r="AC44" s="314">
        <v>25</v>
      </c>
      <c r="AD44" s="315" t="s">
        <v>848</v>
      </c>
      <c r="AE44" s="647"/>
      <c r="AF44" s="650"/>
    </row>
    <row r="45" spans="1:39" x14ac:dyDescent="0.25">
      <c r="A45" s="255">
        <v>26</v>
      </c>
      <c r="B45" s="254" t="s">
        <v>847</v>
      </c>
      <c r="C45" s="255">
        <v>26</v>
      </c>
      <c r="D45" s="264">
        <v>4000</v>
      </c>
      <c r="E45" s="263"/>
      <c r="F45" s="263"/>
      <c r="G45" s="263"/>
      <c r="H45" s="263"/>
      <c r="I45" s="263"/>
      <c r="J45" s="263"/>
      <c r="K45" s="315">
        <v>30</v>
      </c>
      <c r="L45" s="315">
        <v>1333.3333333333333</v>
      </c>
      <c r="M45" s="315">
        <v>48</v>
      </c>
      <c r="N45" s="254">
        <v>3</v>
      </c>
      <c r="O45" s="254" t="s">
        <v>718</v>
      </c>
      <c r="P45" s="643"/>
      <c r="Q45" s="301"/>
      <c r="R45" s="425">
        <v>1000</v>
      </c>
      <c r="S45" s="301"/>
      <c r="AC45" s="314">
        <v>26</v>
      </c>
      <c r="AD45" s="315" t="s">
        <v>846</v>
      </c>
      <c r="AE45" s="647"/>
      <c r="AF45" s="650"/>
    </row>
    <row r="46" spans="1:39" x14ac:dyDescent="0.25">
      <c r="A46" s="255">
        <v>27</v>
      </c>
      <c r="B46" s="254" t="s">
        <v>845</v>
      </c>
      <c r="C46" s="255">
        <v>27</v>
      </c>
      <c r="D46" s="264">
        <v>1000</v>
      </c>
      <c r="E46" s="263"/>
      <c r="F46" s="263"/>
      <c r="G46" s="263"/>
      <c r="H46" s="263"/>
      <c r="I46" s="263"/>
      <c r="J46" s="263"/>
      <c r="K46" s="315">
        <v>9.788202924595014</v>
      </c>
      <c r="L46" s="315">
        <v>144.68206425660753</v>
      </c>
      <c r="M46" s="315">
        <v>52.737936849335092</v>
      </c>
      <c r="N46" s="254">
        <v>3</v>
      </c>
      <c r="O46" s="254" t="s">
        <v>718</v>
      </c>
      <c r="P46" s="643"/>
      <c r="Q46" s="301"/>
      <c r="R46" s="425"/>
      <c r="S46" s="301"/>
      <c r="AC46" s="314">
        <v>27</v>
      </c>
      <c r="AD46" s="315" t="s">
        <v>844</v>
      </c>
      <c r="AE46" s="647"/>
      <c r="AF46" s="650"/>
    </row>
    <row r="47" spans="1:39" x14ac:dyDescent="0.25">
      <c r="A47" s="255">
        <v>28</v>
      </c>
      <c r="B47" s="254" t="s">
        <v>843</v>
      </c>
      <c r="C47" s="255">
        <v>28</v>
      </c>
      <c r="D47" s="264">
        <v>2000</v>
      </c>
      <c r="E47" s="263"/>
      <c r="F47" s="263"/>
      <c r="G47" s="263"/>
      <c r="H47" s="263"/>
      <c r="I47" s="263"/>
      <c r="J47" s="263"/>
      <c r="K47" s="315">
        <v>62.5</v>
      </c>
      <c r="L47" s="315">
        <v>1000</v>
      </c>
      <c r="M47" s="315">
        <v>250</v>
      </c>
      <c r="N47" s="254">
        <v>2</v>
      </c>
      <c r="O47" s="254" t="s">
        <v>718</v>
      </c>
      <c r="P47" s="643"/>
      <c r="Q47" s="301"/>
      <c r="R47" s="425"/>
      <c r="S47" s="301"/>
      <c r="AC47" s="314">
        <v>28</v>
      </c>
      <c r="AD47" s="315" t="s">
        <v>842</v>
      </c>
      <c r="AE47" s="647"/>
      <c r="AF47" s="650"/>
    </row>
    <row r="48" spans="1:39" x14ac:dyDescent="0.25">
      <c r="A48" s="255">
        <v>29</v>
      </c>
      <c r="B48" s="254" t="s">
        <v>841</v>
      </c>
      <c r="C48" s="255">
        <v>29</v>
      </c>
      <c r="D48" s="264">
        <v>3000</v>
      </c>
      <c r="E48" s="263"/>
      <c r="F48" s="263"/>
      <c r="G48" s="263"/>
      <c r="H48" s="263"/>
      <c r="I48" s="263"/>
      <c r="J48" s="263"/>
      <c r="K48" s="315">
        <v>55</v>
      </c>
      <c r="L48" s="315">
        <v>1800</v>
      </c>
      <c r="M48" s="315">
        <v>100</v>
      </c>
      <c r="N48" s="254">
        <v>2</v>
      </c>
      <c r="O48" s="254" t="s">
        <v>718</v>
      </c>
      <c r="P48" s="643"/>
      <c r="Q48" s="301"/>
      <c r="R48" s="425">
        <v>10</v>
      </c>
      <c r="S48" s="301"/>
      <c r="AC48" s="314">
        <v>29</v>
      </c>
      <c r="AD48" s="315" t="s">
        <v>840</v>
      </c>
      <c r="AE48" s="647"/>
      <c r="AF48" s="650"/>
    </row>
    <row r="49" spans="1:32" x14ac:dyDescent="0.25">
      <c r="A49" s="255">
        <v>30</v>
      </c>
      <c r="B49" s="254" t="s">
        <v>839</v>
      </c>
      <c r="C49" s="255">
        <v>30</v>
      </c>
      <c r="D49" s="264">
        <v>1375</v>
      </c>
      <c r="E49" s="263"/>
      <c r="F49" s="263"/>
      <c r="G49" s="263"/>
      <c r="H49" s="263"/>
      <c r="I49" s="263"/>
      <c r="J49" s="263"/>
      <c r="K49" s="315">
        <v>42.96875</v>
      </c>
      <c r="L49" s="315">
        <v>687.5</v>
      </c>
      <c r="M49" s="315">
        <v>171.875</v>
      </c>
      <c r="N49" s="254">
        <v>2</v>
      </c>
      <c r="O49" s="254" t="s">
        <v>718</v>
      </c>
      <c r="P49" s="643"/>
      <c r="Q49" s="301"/>
      <c r="R49" s="425"/>
      <c r="S49" s="301"/>
      <c r="AC49" s="314">
        <v>30</v>
      </c>
      <c r="AD49" s="315" t="s">
        <v>838</v>
      </c>
      <c r="AE49" s="647"/>
      <c r="AF49" s="650"/>
    </row>
    <row r="50" spans="1:32" x14ac:dyDescent="0.25">
      <c r="A50" s="255">
        <v>31</v>
      </c>
      <c r="B50" s="254" t="s">
        <v>837</v>
      </c>
      <c r="C50" s="255">
        <v>31</v>
      </c>
      <c r="D50" s="264">
        <v>3000</v>
      </c>
      <c r="E50" s="263"/>
      <c r="F50" s="263"/>
      <c r="G50" s="263"/>
      <c r="H50" s="263"/>
      <c r="I50" s="263"/>
      <c r="J50" s="263"/>
      <c r="K50" s="315">
        <v>12</v>
      </c>
      <c r="L50" s="315">
        <v>430</v>
      </c>
      <c r="M50" s="315">
        <v>80</v>
      </c>
      <c r="N50" s="254">
        <v>3</v>
      </c>
      <c r="O50" s="254" t="s">
        <v>718</v>
      </c>
      <c r="P50" s="643"/>
      <c r="Q50" s="301"/>
      <c r="R50" s="425"/>
      <c r="S50" s="301"/>
      <c r="AC50" s="314">
        <v>31</v>
      </c>
      <c r="AD50" s="315" t="s">
        <v>836</v>
      </c>
      <c r="AE50" s="647"/>
      <c r="AF50" s="650"/>
    </row>
    <row r="51" spans="1:32" x14ac:dyDescent="0.25">
      <c r="A51" s="255">
        <v>32</v>
      </c>
      <c r="B51" s="254" t="s">
        <v>835</v>
      </c>
      <c r="C51" s="255">
        <v>32</v>
      </c>
      <c r="D51" s="264">
        <v>30000</v>
      </c>
      <c r="E51" s="263"/>
      <c r="F51" s="263"/>
      <c r="G51" s="263"/>
      <c r="H51" s="263"/>
      <c r="I51" s="263"/>
      <c r="J51" s="263"/>
      <c r="K51" s="315">
        <v>125</v>
      </c>
      <c r="L51" s="315">
        <v>10000</v>
      </c>
      <c r="M51" s="315">
        <v>560</v>
      </c>
      <c r="N51" s="254">
        <v>3</v>
      </c>
      <c r="O51" s="254" t="s">
        <v>718</v>
      </c>
      <c r="P51" s="643"/>
      <c r="Q51" s="301"/>
      <c r="R51" s="496">
        <v>10000</v>
      </c>
      <c r="S51" s="301"/>
      <c r="AC51" s="314">
        <v>32</v>
      </c>
      <c r="AD51" s="315" t="s">
        <v>834</v>
      </c>
      <c r="AE51" s="647"/>
      <c r="AF51" s="650"/>
    </row>
    <row r="52" spans="1:32" x14ac:dyDescent="0.25">
      <c r="A52" s="255">
        <v>33</v>
      </c>
      <c r="B52" s="254" t="s">
        <v>833</v>
      </c>
      <c r="C52" s="255">
        <v>33</v>
      </c>
      <c r="D52" s="264">
        <v>1500</v>
      </c>
      <c r="E52" s="263"/>
      <c r="F52" s="263"/>
      <c r="G52" s="263"/>
      <c r="H52" s="263"/>
      <c r="I52" s="263"/>
      <c r="J52" s="263"/>
      <c r="K52" s="315">
        <v>50</v>
      </c>
      <c r="L52" s="315">
        <v>750</v>
      </c>
      <c r="M52" s="315">
        <v>130</v>
      </c>
      <c r="N52" s="254">
        <v>2</v>
      </c>
      <c r="O52" s="254" t="s">
        <v>718</v>
      </c>
      <c r="P52" s="643"/>
      <c r="Q52" s="301"/>
      <c r="R52" s="425">
        <v>10</v>
      </c>
      <c r="S52" s="301"/>
      <c r="AC52" s="314">
        <v>33</v>
      </c>
      <c r="AD52" s="315" t="s">
        <v>832</v>
      </c>
      <c r="AE52" s="647"/>
      <c r="AF52" s="650"/>
    </row>
    <row r="53" spans="1:32" x14ac:dyDescent="0.25">
      <c r="A53" s="255">
        <v>34</v>
      </c>
      <c r="B53" s="254" t="s">
        <v>831</v>
      </c>
      <c r="C53" s="255">
        <v>34</v>
      </c>
      <c r="D53" s="264">
        <v>200</v>
      </c>
      <c r="E53" s="263"/>
      <c r="F53" s="263"/>
      <c r="G53" s="263"/>
      <c r="H53" s="263"/>
      <c r="I53" s="263"/>
      <c r="J53" s="263"/>
      <c r="K53" s="315">
        <v>74</v>
      </c>
      <c r="L53" s="315">
        <v>31</v>
      </c>
      <c r="M53" s="315"/>
      <c r="N53" s="254">
        <v>2</v>
      </c>
      <c r="O53" s="254" t="s">
        <v>718</v>
      </c>
      <c r="P53" s="643"/>
      <c r="Q53" s="301"/>
      <c r="R53" s="425"/>
      <c r="S53" s="301"/>
      <c r="AC53" s="314">
        <v>34</v>
      </c>
      <c r="AD53" s="315" t="s">
        <v>830</v>
      </c>
      <c r="AE53" s="647"/>
      <c r="AF53" s="650"/>
    </row>
    <row r="54" spans="1:32" x14ac:dyDescent="0.25">
      <c r="A54" s="255">
        <v>35</v>
      </c>
      <c r="B54" s="254" t="s">
        <v>829</v>
      </c>
      <c r="C54" s="255">
        <v>35</v>
      </c>
      <c r="D54" s="264">
        <v>8000</v>
      </c>
      <c r="E54" s="263"/>
      <c r="F54" s="263"/>
      <c r="G54" s="263"/>
      <c r="H54" s="263"/>
      <c r="I54" s="263"/>
      <c r="J54" s="263"/>
      <c r="K54" s="315">
        <v>250</v>
      </c>
      <c r="L54" s="315">
        <v>4000</v>
      </c>
      <c r="M54" s="315">
        <v>1000</v>
      </c>
      <c r="N54" s="254">
        <v>2</v>
      </c>
      <c r="O54" s="254" t="s">
        <v>718</v>
      </c>
      <c r="P54" s="643"/>
      <c r="Q54" s="301"/>
      <c r="R54" s="425"/>
      <c r="S54" s="301"/>
      <c r="AC54" s="314">
        <v>35</v>
      </c>
      <c r="AD54" s="315" t="s">
        <v>828</v>
      </c>
      <c r="AE54" s="647"/>
      <c r="AF54" s="650"/>
    </row>
    <row r="55" spans="1:32" x14ac:dyDescent="0.25">
      <c r="A55" s="255">
        <v>36</v>
      </c>
      <c r="B55" s="254" t="s">
        <v>827</v>
      </c>
      <c r="C55" s="255">
        <v>36</v>
      </c>
      <c r="D55" s="264">
        <v>2500</v>
      </c>
      <c r="E55" s="263"/>
      <c r="F55" s="263"/>
      <c r="G55" s="263"/>
      <c r="H55" s="263"/>
      <c r="I55" s="263"/>
      <c r="J55" s="263"/>
      <c r="K55" s="315">
        <v>156</v>
      </c>
      <c r="L55" s="315">
        <v>1250</v>
      </c>
      <c r="M55" s="315">
        <v>40</v>
      </c>
      <c r="N55" s="254">
        <v>2</v>
      </c>
      <c r="O55" s="254" t="s">
        <v>718</v>
      </c>
      <c r="P55" s="643"/>
      <c r="Q55" s="301"/>
      <c r="R55" s="425">
        <v>1000</v>
      </c>
      <c r="S55" s="301"/>
      <c r="AC55" s="314">
        <v>36</v>
      </c>
      <c r="AD55" s="315" t="s">
        <v>826</v>
      </c>
      <c r="AE55" s="647"/>
      <c r="AF55" s="650"/>
    </row>
    <row r="56" spans="1:32" x14ac:dyDescent="0.25">
      <c r="A56" s="262">
        <v>37</v>
      </c>
      <c r="B56" s="261" t="s">
        <v>752</v>
      </c>
      <c r="C56" s="262">
        <v>37</v>
      </c>
      <c r="D56" s="261">
        <v>9.9999999999999995E-7</v>
      </c>
      <c r="E56" s="260"/>
      <c r="F56" s="260"/>
      <c r="G56" s="260"/>
      <c r="H56" s="260"/>
      <c r="I56" s="260"/>
      <c r="J56" s="260"/>
      <c r="K56" s="518">
        <v>0</v>
      </c>
      <c r="L56" s="518">
        <v>0</v>
      </c>
      <c r="M56" s="518">
        <v>0</v>
      </c>
      <c r="N56" s="259">
        <v>1</v>
      </c>
      <c r="O56" s="259" t="s">
        <v>757</v>
      </c>
      <c r="P56" s="644"/>
      <c r="Q56" s="302"/>
      <c r="R56" s="425"/>
      <c r="S56" s="302"/>
      <c r="AC56" s="314">
        <v>37</v>
      </c>
      <c r="AD56" s="315" t="s">
        <v>825</v>
      </c>
      <c r="AE56" s="647"/>
      <c r="AF56" s="650"/>
    </row>
    <row r="57" spans="1:32" x14ac:dyDescent="0.25">
      <c r="AC57" s="314">
        <v>38</v>
      </c>
      <c r="AD57" s="315" t="s">
        <v>824</v>
      </c>
      <c r="AE57" s="647"/>
      <c r="AF57" s="650"/>
    </row>
    <row r="58" spans="1:32" x14ac:dyDescent="0.25">
      <c r="E58" s="427"/>
      <c r="F58" s="427"/>
      <c r="G58" s="427"/>
      <c r="AC58" s="314">
        <v>39</v>
      </c>
      <c r="AD58" s="315" t="s">
        <v>823</v>
      </c>
      <c r="AE58" s="647"/>
      <c r="AF58" s="650"/>
    </row>
    <row r="59" spans="1:32" x14ac:dyDescent="0.25">
      <c r="B59" s="645"/>
      <c r="C59" s="645"/>
      <c r="D59" s="645"/>
      <c r="E59" s="454"/>
      <c r="F59" s="454"/>
      <c r="G59" s="454"/>
      <c r="AC59" s="314">
        <v>40</v>
      </c>
      <c r="AD59" s="315" t="s">
        <v>822</v>
      </c>
      <c r="AE59" s="647"/>
      <c r="AF59" s="650"/>
    </row>
    <row r="60" spans="1:32" x14ac:dyDescent="0.25">
      <c r="A60" s="257" t="s">
        <v>747</v>
      </c>
      <c r="B60" s="456" t="s">
        <v>748</v>
      </c>
      <c r="C60" s="457" t="s">
        <v>749</v>
      </c>
      <c r="D60" s="458" t="s">
        <v>750</v>
      </c>
      <c r="E60" s="455"/>
      <c r="F60" s="455"/>
      <c r="G60" s="455"/>
      <c r="AC60" s="314">
        <v>41</v>
      </c>
      <c r="AD60" s="315" t="s">
        <v>821</v>
      </c>
      <c r="AE60" s="647"/>
      <c r="AF60" s="650"/>
    </row>
    <row r="61" spans="1:32" x14ac:dyDescent="0.25">
      <c r="A61" s="256" t="str">
        <f>Master!E58</f>
        <v>P1</v>
      </c>
      <c r="B61" s="450" t="str">
        <f>Master!F58</f>
        <v>07-026</v>
      </c>
      <c r="C61" s="450" t="str">
        <f>Master!G58</f>
        <v>B</v>
      </c>
      <c r="D61" s="451" t="str">
        <f>Master!H58</f>
        <v>1A</v>
      </c>
      <c r="E61" s="453"/>
      <c r="F61" s="453"/>
      <c r="G61" s="453"/>
      <c r="AC61" s="314">
        <v>42</v>
      </c>
      <c r="AD61" s="315" t="s">
        <v>820</v>
      </c>
      <c r="AE61" s="647"/>
      <c r="AF61" s="650"/>
    </row>
    <row r="62" spans="1:32" x14ac:dyDescent="0.25">
      <c r="A62" s="256" t="str">
        <f>Master!E59</f>
        <v>P2</v>
      </c>
      <c r="B62" s="450" t="str">
        <f>Master!F59</f>
        <v>07-027</v>
      </c>
      <c r="C62" s="450" t="str">
        <f>Master!G59</f>
        <v>B</v>
      </c>
      <c r="D62" s="451" t="str">
        <f>Master!H59</f>
        <v>1B</v>
      </c>
      <c r="E62" s="453"/>
      <c r="F62" s="453"/>
      <c r="G62" s="453"/>
      <c r="AC62" s="314">
        <v>43</v>
      </c>
      <c r="AD62" s="315" t="s">
        <v>819</v>
      </c>
      <c r="AE62" s="647"/>
      <c r="AF62" s="650"/>
    </row>
    <row r="63" spans="1:32" x14ac:dyDescent="0.25">
      <c r="A63" s="256" t="str">
        <f>Master!E60</f>
        <v>P3</v>
      </c>
      <c r="B63" s="450" t="str">
        <f>Master!F60</f>
        <v>08-002</v>
      </c>
      <c r="C63" s="450" t="str">
        <f>Master!G60</f>
        <v>B</v>
      </c>
      <c r="D63" s="451" t="str">
        <f>Master!H60</f>
        <v>2A</v>
      </c>
      <c r="E63" s="453"/>
      <c r="F63" s="453"/>
      <c r="G63" s="453"/>
      <c r="AC63" s="314">
        <v>44</v>
      </c>
      <c r="AD63" s="315" t="s">
        <v>818</v>
      </c>
      <c r="AE63" s="647"/>
      <c r="AF63" s="650"/>
    </row>
    <row r="64" spans="1:32" x14ac:dyDescent="0.25">
      <c r="A64" s="256" t="str">
        <f>Master!E61</f>
        <v>P4</v>
      </c>
      <c r="B64" s="450" t="str">
        <f>Master!F61</f>
        <v>08-003</v>
      </c>
      <c r="C64" s="450" t="str">
        <f>Master!G61</f>
        <v>B</v>
      </c>
      <c r="D64" s="451" t="str">
        <f>Master!H61</f>
        <v>2B</v>
      </c>
      <c r="E64" s="453"/>
      <c r="F64" s="453"/>
      <c r="G64" s="453"/>
      <c r="AC64" s="314">
        <v>45</v>
      </c>
      <c r="AD64" s="315" t="s">
        <v>817</v>
      </c>
      <c r="AE64" s="647"/>
      <c r="AF64" s="650"/>
    </row>
    <row r="65" spans="1:32" x14ac:dyDescent="0.25">
      <c r="A65" s="256" t="str">
        <f>Master!E62</f>
        <v>P5</v>
      </c>
      <c r="B65" s="450" t="str">
        <f>Master!F62</f>
        <v>08-005</v>
      </c>
      <c r="C65" s="450" t="str">
        <f>Master!G62</f>
        <v>B</v>
      </c>
      <c r="D65" s="451" t="str">
        <f>Master!H62</f>
        <v>2C</v>
      </c>
      <c r="E65" s="453"/>
      <c r="F65" s="453"/>
      <c r="G65" s="453"/>
      <c r="AC65" s="314">
        <v>46</v>
      </c>
      <c r="AD65" s="315" t="s">
        <v>816</v>
      </c>
      <c r="AE65" s="647"/>
      <c r="AF65" s="650"/>
    </row>
    <row r="66" spans="1:32" x14ac:dyDescent="0.25">
      <c r="A66" s="256" t="str">
        <f>Master!E63</f>
        <v>P6</v>
      </c>
      <c r="B66" s="450" t="str">
        <f>Master!F63</f>
        <v>08-006</v>
      </c>
      <c r="C66" s="450" t="str">
        <f>Master!G63</f>
        <v>B</v>
      </c>
      <c r="D66" s="451" t="str">
        <f>Master!H63</f>
        <v>2D</v>
      </c>
      <c r="E66" s="453"/>
      <c r="F66" s="453"/>
      <c r="G66" s="453"/>
      <c r="AC66" s="314">
        <v>47</v>
      </c>
      <c r="AD66" s="315" t="s">
        <v>815</v>
      </c>
      <c r="AE66" s="647"/>
      <c r="AF66" s="650"/>
    </row>
    <row r="67" spans="1:32" x14ac:dyDescent="0.25">
      <c r="A67" s="256" t="str">
        <f>Master!E64</f>
        <v>P7</v>
      </c>
      <c r="B67" s="450" t="str">
        <f>Master!F64</f>
        <v>08-007</v>
      </c>
      <c r="C67" s="450" t="str">
        <f>Master!G64</f>
        <v>B</v>
      </c>
      <c r="D67" s="451" t="str">
        <f>Master!H64</f>
        <v>2E</v>
      </c>
      <c r="E67" s="453"/>
      <c r="F67" s="453"/>
      <c r="G67" s="453"/>
      <c r="AC67" s="314">
        <v>48</v>
      </c>
      <c r="AD67" s="315" t="s">
        <v>814</v>
      </c>
      <c r="AE67" s="647"/>
      <c r="AF67" s="650"/>
    </row>
    <row r="68" spans="1:32" x14ac:dyDescent="0.25">
      <c r="A68" s="256" t="str">
        <f>Master!E65</f>
        <v>P8</v>
      </c>
      <c r="B68" s="450" t="str">
        <f>Master!F65</f>
        <v>08-011</v>
      </c>
      <c r="C68" s="450" t="str">
        <f>Master!G65</f>
        <v>B</v>
      </c>
      <c r="D68" s="451" t="str">
        <f>Master!H65</f>
        <v>2F</v>
      </c>
      <c r="E68" s="453"/>
      <c r="F68" s="453"/>
      <c r="G68" s="453"/>
      <c r="AC68" s="314">
        <v>49</v>
      </c>
      <c r="AD68" s="315" t="s">
        <v>754</v>
      </c>
      <c r="AE68" s="647"/>
      <c r="AF68" s="650"/>
    </row>
    <row r="69" spans="1:32" x14ac:dyDescent="0.25">
      <c r="A69" s="256" t="str">
        <f>Master!E66</f>
        <v>P9</v>
      </c>
      <c r="B69" s="450" t="str">
        <f>Master!F66</f>
        <v>08-014</v>
      </c>
      <c r="C69" s="450" t="str">
        <f>Master!G66</f>
        <v>B</v>
      </c>
      <c r="D69" s="451" t="str">
        <f>Master!H66</f>
        <v>2G</v>
      </c>
      <c r="E69" s="453"/>
      <c r="F69" s="453"/>
      <c r="G69" s="453"/>
      <c r="AC69" s="314">
        <v>50</v>
      </c>
      <c r="AD69" s="315" t="s">
        <v>813</v>
      </c>
      <c r="AE69" s="647"/>
      <c r="AF69" s="650"/>
    </row>
    <row r="70" spans="1:32" x14ac:dyDescent="0.25">
      <c r="A70" s="256" t="str">
        <f>Master!E67</f>
        <v>P10</v>
      </c>
      <c r="B70" s="450" t="str">
        <f>Master!F67</f>
        <v>08-017</v>
      </c>
      <c r="C70" s="450" t="str">
        <f>Master!G67</f>
        <v>B</v>
      </c>
      <c r="D70" s="451" t="str">
        <f>Master!H67</f>
        <v>2H</v>
      </c>
      <c r="E70" s="453"/>
      <c r="F70" s="453"/>
      <c r="G70" s="453"/>
      <c r="AC70" s="314">
        <v>51</v>
      </c>
      <c r="AD70" s="315" t="s">
        <v>812</v>
      </c>
      <c r="AE70" s="647"/>
      <c r="AF70" s="650"/>
    </row>
    <row r="71" spans="1:32" x14ac:dyDescent="0.25">
      <c r="A71" s="256" t="str">
        <f>Master!E68</f>
        <v>P11</v>
      </c>
      <c r="B71" s="450" t="str">
        <f>Master!F68</f>
        <v>08-020</v>
      </c>
      <c r="C71" s="450" t="str">
        <f>Master!G68</f>
        <v>B</v>
      </c>
      <c r="D71" s="451" t="str">
        <f>Master!H68</f>
        <v>3A</v>
      </c>
      <c r="E71" s="453"/>
      <c r="F71" s="453"/>
      <c r="G71" s="453"/>
      <c r="AC71" s="314">
        <v>52</v>
      </c>
      <c r="AD71" s="315" t="s">
        <v>811</v>
      </c>
      <c r="AE71" s="647"/>
      <c r="AF71" s="650"/>
    </row>
    <row r="72" spans="1:32" x14ac:dyDescent="0.25">
      <c r="A72" s="256" t="str">
        <f>Master!E69</f>
        <v>P12</v>
      </c>
      <c r="B72" s="450" t="str">
        <f>Master!F69</f>
        <v>08-021</v>
      </c>
      <c r="C72" s="450" t="str">
        <f>Master!G69</f>
        <v>B</v>
      </c>
      <c r="D72" s="451" t="str">
        <f>Master!H69</f>
        <v>3B</v>
      </c>
      <c r="E72" s="453"/>
      <c r="F72" s="453"/>
      <c r="G72" s="453"/>
      <c r="AC72" s="314">
        <v>53</v>
      </c>
      <c r="AD72" s="315" t="s">
        <v>810</v>
      </c>
      <c r="AE72" s="647"/>
      <c r="AF72" s="650"/>
    </row>
    <row r="73" spans="1:32" x14ac:dyDescent="0.25">
      <c r="A73" s="256" t="str">
        <f>Master!E70</f>
        <v>P13</v>
      </c>
      <c r="B73" s="450" t="str">
        <f>Master!F70</f>
        <v>08-023</v>
      </c>
      <c r="C73" s="450" t="str">
        <f>Master!G70</f>
        <v>B</v>
      </c>
      <c r="D73" s="451" t="str">
        <f>Master!H70</f>
        <v>3C</v>
      </c>
      <c r="E73" s="453"/>
      <c r="F73" s="453"/>
      <c r="G73" s="453"/>
      <c r="AC73" s="314">
        <v>54</v>
      </c>
      <c r="AD73" s="315" t="s">
        <v>809</v>
      </c>
      <c r="AE73" s="647"/>
      <c r="AF73" s="650"/>
    </row>
    <row r="74" spans="1:32" x14ac:dyDescent="0.25">
      <c r="A74" s="256" t="str">
        <f>Master!E71</f>
        <v>P14</v>
      </c>
      <c r="B74" s="450" t="str">
        <f>Master!F71</f>
        <v>08-025</v>
      </c>
      <c r="C74" s="450" t="str">
        <f>Master!G71</f>
        <v>B</v>
      </c>
      <c r="D74" s="451" t="str">
        <f>Master!H71</f>
        <v>3D</v>
      </c>
      <c r="E74" s="453"/>
      <c r="F74" s="453"/>
      <c r="G74" s="453"/>
      <c r="AC74" s="314">
        <v>55</v>
      </c>
      <c r="AD74" s="315" t="s">
        <v>808</v>
      </c>
      <c r="AE74" s="647"/>
      <c r="AF74" s="650"/>
    </row>
    <row r="75" spans="1:32" x14ac:dyDescent="0.25">
      <c r="A75" s="256" t="str">
        <f>Master!E72</f>
        <v>P15</v>
      </c>
      <c r="B75" s="450" t="str">
        <f>Master!F72</f>
        <v>08-027</v>
      </c>
      <c r="C75" s="450" t="str">
        <f>Master!G72</f>
        <v>B</v>
      </c>
      <c r="D75" s="451" t="str">
        <f>Master!H72</f>
        <v>3E</v>
      </c>
      <c r="E75" s="453"/>
      <c r="F75" s="453"/>
      <c r="G75" s="453"/>
      <c r="AC75" s="314">
        <v>56</v>
      </c>
      <c r="AD75" s="315" t="s">
        <v>807</v>
      </c>
      <c r="AE75" s="647"/>
      <c r="AF75" s="650"/>
    </row>
    <row r="76" spans="1:32" x14ac:dyDescent="0.25">
      <c r="A76" s="256" t="str">
        <f>Master!E73</f>
        <v>P16</v>
      </c>
      <c r="B76" s="450" t="str">
        <f>Master!F73</f>
        <v>08-028</v>
      </c>
      <c r="C76" s="450" t="str">
        <f>Master!G73</f>
        <v>B</v>
      </c>
      <c r="D76" s="451" t="str">
        <f>Master!H73</f>
        <v>3F</v>
      </c>
      <c r="E76" s="453"/>
      <c r="F76" s="453"/>
      <c r="G76" s="453"/>
      <c r="AC76" s="314">
        <v>57</v>
      </c>
      <c r="AD76" s="315" t="s">
        <v>806</v>
      </c>
      <c r="AE76" s="647"/>
      <c r="AF76" s="650"/>
    </row>
    <row r="77" spans="1:32" x14ac:dyDescent="0.25">
      <c r="A77" s="256" t="str">
        <f>Master!E74</f>
        <v>P17</v>
      </c>
      <c r="B77" s="450" t="str">
        <f>Master!F74</f>
        <v>08-030</v>
      </c>
      <c r="C77" s="450" t="str">
        <f>Master!G74</f>
        <v>B</v>
      </c>
      <c r="D77" s="451" t="str">
        <f>Master!H74</f>
        <v>3G</v>
      </c>
      <c r="E77" s="453"/>
      <c r="F77" s="453"/>
      <c r="G77" s="453"/>
      <c r="AC77" s="314">
        <v>58</v>
      </c>
      <c r="AD77" s="315" t="s">
        <v>805</v>
      </c>
      <c r="AE77" s="647"/>
      <c r="AF77" s="650"/>
    </row>
    <row r="78" spans="1:32" x14ac:dyDescent="0.25">
      <c r="A78" s="256" t="str">
        <f>Master!E75</f>
        <v>P18</v>
      </c>
      <c r="B78" s="450" t="str">
        <f>Master!F75</f>
        <v>08-031</v>
      </c>
      <c r="C78" s="450" t="str">
        <f>Master!G75</f>
        <v>B</v>
      </c>
      <c r="D78" s="451" t="str">
        <f>Master!H75</f>
        <v>3H</v>
      </c>
      <c r="E78" s="453"/>
      <c r="F78" s="453"/>
      <c r="G78" s="453"/>
      <c r="AC78" s="314">
        <v>59</v>
      </c>
      <c r="AD78" s="315" t="s">
        <v>804</v>
      </c>
      <c r="AE78" s="647"/>
      <c r="AF78" s="650"/>
    </row>
    <row r="79" spans="1:32" x14ac:dyDescent="0.25">
      <c r="A79" s="256" t="str">
        <f>Master!E76</f>
        <v>P19</v>
      </c>
      <c r="B79" s="450" t="str">
        <f>Master!F76</f>
        <v>08-033</v>
      </c>
      <c r="C79" s="450" t="str">
        <f>Master!G76</f>
        <v>B</v>
      </c>
      <c r="D79" s="451" t="str">
        <f>Master!H76</f>
        <v>4A</v>
      </c>
      <c r="E79" s="453"/>
      <c r="F79" s="453"/>
      <c r="G79" s="453"/>
      <c r="AC79" s="314">
        <v>60</v>
      </c>
      <c r="AD79" s="315" t="s">
        <v>803</v>
      </c>
      <c r="AE79" s="647"/>
      <c r="AF79" s="650"/>
    </row>
    <row r="80" spans="1:32" x14ac:dyDescent="0.25">
      <c r="A80" s="256" t="str">
        <f>Master!E77</f>
        <v>P20</v>
      </c>
      <c r="B80" s="450" t="str">
        <f>Master!F77</f>
        <v>08-035</v>
      </c>
      <c r="C80" s="450" t="str">
        <f>Master!G77</f>
        <v>B</v>
      </c>
      <c r="D80" s="451" t="str">
        <f>Master!H77</f>
        <v>4B</v>
      </c>
      <c r="E80" s="453"/>
      <c r="F80" s="453"/>
      <c r="G80" s="453"/>
      <c r="AC80" s="314">
        <v>61</v>
      </c>
      <c r="AD80" s="315" t="s">
        <v>802</v>
      </c>
      <c r="AE80" s="647"/>
      <c r="AF80" s="650"/>
    </row>
    <row r="81" spans="1:32" x14ac:dyDescent="0.25">
      <c r="A81" s="256" t="str">
        <f>Master!E78</f>
        <v>P21</v>
      </c>
      <c r="B81" s="450" t="str">
        <f>Master!F78</f>
        <v>08-036</v>
      </c>
      <c r="C81" s="450" t="str">
        <f>Master!G78</f>
        <v>B</v>
      </c>
      <c r="D81" s="451" t="str">
        <f>Master!H78</f>
        <v>4C</v>
      </c>
      <c r="E81" s="453"/>
      <c r="F81" s="453"/>
      <c r="G81" s="453"/>
      <c r="AC81" s="314">
        <v>62</v>
      </c>
      <c r="AD81" s="315" t="s">
        <v>801</v>
      </c>
      <c r="AE81" s="647"/>
      <c r="AF81" s="650"/>
    </row>
    <row r="82" spans="1:32" x14ac:dyDescent="0.25">
      <c r="A82" s="256" t="str">
        <f>Master!E79</f>
        <v>P22</v>
      </c>
      <c r="B82" s="450" t="str">
        <f>Master!F79</f>
        <v>09-005</v>
      </c>
      <c r="C82" s="450" t="str">
        <f>Master!G79</f>
        <v>B</v>
      </c>
      <c r="D82" s="451" t="str">
        <f>Master!H79</f>
        <v>4D</v>
      </c>
      <c r="E82" s="453"/>
      <c r="F82" s="453"/>
      <c r="G82" s="453"/>
      <c r="AC82" s="314">
        <v>63</v>
      </c>
      <c r="AD82" s="315" t="s">
        <v>800</v>
      </c>
      <c r="AE82" s="647"/>
      <c r="AF82" s="650"/>
    </row>
    <row r="83" spans="1:32" x14ac:dyDescent="0.25">
      <c r="A83" s="256" t="str">
        <f>Master!E80</f>
        <v>P23</v>
      </c>
      <c r="B83" s="450" t="str">
        <f>Master!F80</f>
        <v>09-006</v>
      </c>
      <c r="C83" s="450" t="str">
        <f>Master!G80</f>
        <v>B</v>
      </c>
      <c r="D83" s="451" t="str">
        <f>Master!H80</f>
        <v>4E</v>
      </c>
      <c r="E83" s="453"/>
      <c r="F83" s="453"/>
      <c r="G83" s="453"/>
      <c r="AC83" s="314">
        <v>64</v>
      </c>
      <c r="AD83" s="315" t="s">
        <v>799</v>
      </c>
      <c r="AE83" s="647"/>
      <c r="AF83" s="650"/>
    </row>
    <row r="84" spans="1:32" x14ac:dyDescent="0.25">
      <c r="A84" s="256" t="str">
        <f>Master!E81</f>
        <v>P24</v>
      </c>
      <c r="B84" s="450" t="str">
        <f>Master!F81</f>
        <v>09-008</v>
      </c>
      <c r="C84" s="450" t="str">
        <f>Master!G81</f>
        <v>B</v>
      </c>
      <c r="D84" s="451" t="str">
        <f>Master!H81</f>
        <v>4F</v>
      </c>
      <c r="E84" s="453"/>
      <c r="F84" s="453"/>
      <c r="G84" s="453"/>
      <c r="AC84" s="314">
        <v>65</v>
      </c>
      <c r="AD84" s="315" t="s">
        <v>798</v>
      </c>
      <c r="AE84" s="647"/>
      <c r="AF84" s="650"/>
    </row>
    <row r="85" spans="1:32" x14ac:dyDescent="0.25">
      <c r="A85" s="256" t="str">
        <f>Master!E82</f>
        <v>P25</v>
      </c>
      <c r="B85" s="450" t="str">
        <f>Master!F82</f>
        <v>09-011</v>
      </c>
      <c r="C85" s="450" t="str">
        <f>Master!G82</f>
        <v>B</v>
      </c>
      <c r="D85" s="451" t="str">
        <f>Master!H82</f>
        <v>4G</v>
      </c>
      <c r="E85" s="453"/>
      <c r="F85" s="453"/>
      <c r="G85" s="453"/>
      <c r="AC85" s="314">
        <v>66</v>
      </c>
      <c r="AD85" s="315" t="s">
        <v>797</v>
      </c>
      <c r="AE85" s="647"/>
      <c r="AF85" s="650"/>
    </row>
    <row r="86" spans="1:32" x14ac:dyDescent="0.25">
      <c r="A86" s="256" t="str">
        <f>Master!E83</f>
        <v>P26</v>
      </c>
      <c r="B86" s="450" t="str">
        <f>Master!F83</f>
        <v>09-012</v>
      </c>
      <c r="C86" s="450" t="str">
        <f>Master!G83</f>
        <v>B</v>
      </c>
      <c r="D86" s="451" t="str">
        <f>Master!H83</f>
        <v>4H</v>
      </c>
      <c r="E86" s="453"/>
      <c r="F86" s="453"/>
      <c r="G86" s="453"/>
      <c r="AC86" s="314">
        <v>67</v>
      </c>
      <c r="AD86" s="315" t="s">
        <v>796</v>
      </c>
      <c r="AE86" s="647"/>
      <c r="AF86" s="650"/>
    </row>
    <row r="87" spans="1:32" x14ac:dyDescent="0.25">
      <c r="A87" s="256" t="str">
        <f>Master!E84</f>
        <v>P27</v>
      </c>
      <c r="B87" s="450" t="str">
        <f>Master!F84</f>
        <v>09-013</v>
      </c>
      <c r="C87" s="450" t="str">
        <f>Master!G84</f>
        <v>B</v>
      </c>
      <c r="D87" s="451" t="str">
        <f>Master!H84</f>
        <v>5A</v>
      </c>
      <c r="E87" s="453"/>
      <c r="F87" s="453"/>
      <c r="G87" s="453"/>
      <c r="AC87" s="314">
        <v>68</v>
      </c>
      <c r="AD87" s="315" t="s">
        <v>795</v>
      </c>
      <c r="AE87" s="647"/>
      <c r="AF87" s="650"/>
    </row>
    <row r="88" spans="1:32" x14ac:dyDescent="0.25">
      <c r="A88" s="256" t="str">
        <f>Master!E85</f>
        <v>P28</v>
      </c>
      <c r="B88" s="450" t="str">
        <f>Master!F85</f>
        <v>09-014</v>
      </c>
      <c r="C88" s="450" t="str">
        <f>Master!G85</f>
        <v>B</v>
      </c>
      <c r="D88" s="451" t="str">
        <f>Master!H85</f>
        <v>5B</v>
      </c>
      <c r="E88" s="453"/>
      <c r="F88" s="453"/>
      <c r="G88" s="453"/>
      <c r="AC88" s="314">
        <v>69</v>
      </c>
      <c r="AD88" s="315" t="s">
        <v>794</v>
      </c>
      <c r="AE88" s="647"/>
      <c r="AF88" s="650"/>
    </row>
    <row r="89" spans="1:32" x14ac:dyDescent="0.25">
      <c r="A89" s="256" t="str">
        <f>Master!E86</f>
        <v>P29</v>
      </c>
      <c r="B89" s="450" t="str">
        <f>Master!F86</f>
        <v>09-019</v>
      </c>
      <c r="C89" s="450" t="str">
        <f>Master!G86</f>
        <v>B</v>
      </c>
      <c r="D89" s="451" t="str">
        <f>Master!H86</f>
        <v>5C</v>
      </c>
      <c r="E89" s="453"/>
      <c r="F89" s="453"/>
      <c r="G89" s="453"/>
      <c r="AC89" s="314">
        <v>70</v>
      </c>
      <c r="AD89" s="315" t="s">
        <v>793</v>
      </c>
      <c r="AE89" s="647"/>
      <c r="AF89" s="650"/>
    </row>
    <row r="90" spans="1:32" x14ac:dyDescent="0.25">
      <c r="A90" s="256" t="str">
        <f>Master!E87</f>
        <v>P30</v>
      </c>
      <c r="B90" s="450" t="str">
        <f>Master!F87</f>
        <v>09-021</v>
      </c>
      <c r="C90" s="450" t="str">
        <f>Master!G87</f>
        <v>B</v>
      </c>
      <c r="D90" s="451" t="str">
        <f>Master!H87</f>
        <v>5D</v>
      </c>
      <c r="E90" s="453"/>
      <c r="F90" s="453"/>
      <c r="G90" s="453"/>
      <c r="AC90" s="314">
        <v>71</v>
      </c>
      <c r="AD90" s="315" t="s">
        <v>792</v>
      </c>
      <c r="AE90" s="647"/>
      <c r="AF90" s="650"/>
    </row>
    <row r="91" spans="1:32" x14ac:dyDescent="0.25">
      <c r="A91" s="256" t="str">
        <f>Master!E88</f>
        <v>P31</v>
      </c>
      <c r="B91" s="450" t="str">
        <f>Master!F88</f>
        <v>09-023</v>
      </c>
      <c r="C91" s="450" t="str">
        <f>Master!G88</f>
        <v>B</v>
      </c>
      <c r="D91" s="451" t="str">
        <f>Master!H88</f>
        <v>5E</v>
      </c>
      <c r="E91" s="453"/>
      <c r="F91" s="453"/>
      <c r="G91" s="453"/>
      <c r="AC91" s="314">
        <v>72</v>
      </c>
      <c r="AD91" s="315" t="s">
        <v>791</v>
      </c>
      <c r="AE91" s="647"/>
      <c r="AF91" s="650"/>
    </row>
    <row r="92" spans="1:32" x14ac:dyDescent="0.25">
      <c r="A92" s="256" t="str">
        <f>Master!E89</f>
        <v>P32</v>
      </c>
      <c r="B92" s="450" t="str">
        <f>Master!F89</f>
        <v>09-041</v>
      </c>
      <c r="C92" s="450" t="str">
        <f>Master!G89</f>
        <v>B</v>
      </c>
      <c r="D92" s="451" t="str">
        <f>Master!H89</f>
        <v>5F</v>
      </c>
      <c r="E92" s="453"/>
      <c r="F92" s="453"/>
      <c r="G92" s="453"/>
      <c r="AC92" s="314">
        <v>73</v>
      </c>
      <c r="AD92" s="315" t="s">
        <v>790</v>
      </c>
      <c r="AE92" s="647"/>
      <c r="AF92" s="650"/>
    </row>
    <row r="93" spans="1:32" x14ac:dyDescent="0.25">
      <c r="A93" s="256" t="str">
        <f>Master!E90</f>
        <v>P33</v>
      </c>
      <c r="B93" s="450" t="str">
        <f>Master!F90</f>
        <v>09-042</v>
      </c>
      <c r="C93" s="450" t="str">
        <f>Master!G90</f>
        <v>B</v>
      </c>
      <c r="D93" s="451" t="str">
        <f>Master!H90</f>
        <v>5G</v>
      </c>
      <c r="E93" s="453"/>
      <c r="F93" s="453"/>
      <c r="G93" s="453"/>
      <c r="AC93" s="314">
        <v>74</v>
      </c>
      <c r="AD93" s="315" t="s">
        <v>789</v>
      </c>
      <c r="AE93" s="647"/>
      <c r="AF93" s="650"/>
    </row>
    <row r="94" spans="1:32" x14ac:dyDescent="0.25">
      <c r="A94" s="256" t="str">
        <f>Master!E91</f>
        <v>P34</v>
      </c>
      <c r="B94" s="450" t="str">
        <f>Master!F91</f>
        <v>09-043</v>
      </c>
      <c r="C94" s="450" t="str">
        <f>Master!G91</f>
        <v>B</v>
      </c>
      <c r="D94" s="451" t="str">
        <f>Master!H91</f>
        <v>5H</v>
      </c>
      <c r="E94" s="453"/>
      <c r="F94" s="453"/>
      <c r="G94" s="453"/>
      <c r="AC94" s="314">
        <v>75</v>
      </c>
      <c r="AD94" s="315" t="s">
        <v>788</v>
      </c>
      <c r="AE94" s="647"/>
      <c r="AF94" s="650"/>
    </row>
    <row r="95" spans="1:32" x14ac:dyDescent="0.25">
      <c r="A95" s="256" t="str">
        <f>Master!E92</f>
        <v>P35</v>
      </c>
      <c r="B95" s="450" t="str">
        <f>Master!F92</f>
        <v>09-044</v>
      </c>
      <c r="C95" s="450" t="str">
        <f>Master!G92</f>
        <v>B</v>
      </c>
      <c r="D95" s="451" t="str">
        <f>Master!H92</f>
        <v>6A</v>
      </c>
      <c r="E95" s="453"/>
      <c r="F95" s="453"/>
      <c r="G95" s="453"/>
      <c r="AC95" s="314">
        <v>76</v>
      </c>
      <c r="AD95" s="315" t="s">
        <v>787</v>
      </c>
      <c r="AE95" s="647"/>
      <c r="AF95" s="650"/>
    </row>
    <row r="96" spans="1:32" x14ac:dyDescent="0.25">
      <c r="A96" s="256" t="str">
        <f>Master!E93</f>
        <v>P36</v>
      </c>
      <c r="B96" s="450" t="str">
        <f>Master!F93</f>
        <v>09-045</v>
      </c>
      <c r="C96" s="450" t="str">
        <f>Master!G93</f>
        <v>B</v>
      </c>
      <c r="D96" s="451" t="str">
        <f>Master!H93</f>
        <v>6B</v>
      </c>
      <c r="E96" s="453"/>
      <c r="F96" s="453"/>
      <c r="G96" s="453"/>
      <c r="AC96" s="314">
        <v>77</v>
      </c>
      <c r="AD96" s="315" t="s">
        <v>786</v>
      </c>
      <c r="AE96" s="647"/>
      <c r="AF96" s="650"/>
    </row>
    <row r="97" spans="1:32" x14ac:dyDescent="0.25">
      <c r="A97" s="256" t="str">
        <f>Master!E94</f>
        <v>P37</v>
      </c>
      <c r="B97" s="450" t="str">
        <f>Master!F94</f>
        <v>09-046</v>
      </c>
      <c r="C97" s="450" t="str">
        <f>Master!G94</f>
        <v>B</v>
      </c>
      <c r="D97" s="451" t="str">
        <f>Master!H94</f>
        <v>6A</v>
      </c>
      <c r="E97" s="453"/>
      <c r="F97" s="453"/>
      <c r="G97" s="453"/>
      <c r="AC97" s="314">
        <v>78</v>
      </c>
      <c r="AD97" s="315" t="s">
        <v>785</v>
      </c>
      <c r="AE97" s="647"/>
      <c r="AF97" s="650"/>
    </row>
    <row r="98" spans="1:32" x14ac:dyDescent="0.25">
      <c r="A98" s="256" t="str">
        <f>Master!E95</f>
        <v>P38</v>
      </c>
      <c r="B98" s="450" t="str">
        <f>Master!F95</f>
        <v>09-047</v>
      </c>
      <c r="C98" s="450" t="str">
        <f>Master!G95</f>
        <v>B</v>
      </c>
      <c r="D98" s="451" t="str">
        <f>Master!H95</f>
        <v>6B</v>
      </c>
      <c r="E98" s="453"/>
      <c r="F98" s="453"/>
      <c r="G98" s="453"/>
      <c r="AC98" s="314">
        <v>79</v>
      </c>
      <c r="AD98" s="315" t="s">
        <v>784</v>
      </c>
      <c r="AE98" s="647"/>
      <c r="AF98" s="650"/>
    </row>
    <row r="99" spans="1:32" x14ac:dyDescent="0.25">
      <c r="A99" s="256" t="str">
        <f>Master!E96</f>
        <v>P39</v>
      </c>
      <c r="B99" s="450" t="str">
        <f>Master!F96</f>
        <v>09-048</v>
      </c>
      <c r="C99" s="450" t="str">
        <f>Master!G96</f>
        <v>B</v>
      </c>
      <c r="D99" s="451" t="str">
        <f>Master!H96</f>
        <v>6A</v>
      </c>
      <c r="E99" s="453"/>
      <c r="F99" s="453"/>
      <c r="G99" s="453"/>
      <c r="AC99" s="314">
        <v>80</v>
      </c>
      <c r="AD99" s="315" t="s">
        <v>783</v>
      </c>
      <c r="AE99" s="647"/>
      <c r="AF99" s="650"/>
    </row>
    <row r="100" spans="1:32" x14ac:dyDescent="0.25">
      <c r="A100" s="256" t="str">
        <f>Master!E97</f>
        <v>P40</v>
      </c>
      <c r="B100" s="450" t="str">
        <f>Master!F97</f>
        <v>09-049</v>
      </c>
      <c r="C100" s="450" t="str">
        <f>Master!G97</f>
        <v>B</v>
      </c>
      <c r="D100" s="451" t="str">
        <f>Master!H97</f>
        <v>6B</v>
      </c>
      <c r="E100" s="453"/>
      <c r="F100" s="453"/>
      <c r="G100" s="453"/>
      <c r="AC100" s="314">
        <v>81</v>
      </c>
      <c r="AD100" s="315" t="s">
        <v>782</v>
      </c>
      <c r="AE100" s="647"/>
      <c r="AF100" s="650"/>
    </row>
    <row r="101" spans="1:32" x14ac:dyDescent="0.25">
      <c r="A101" s="256" t="str">
        <f>Master!E98</f>
        <v>P41</v>
      </c>
      <c r="B101" s="450" t="str">
        <f>Master!F98</f>
        <v>09-050</v>
      </c>
      <c r="C101" s="450" t="str">
        <f>Master!G98</f>
        <v>B</v>
      </c>
      <c r="D101" s="451" t="str">
        <f>Master!H98</f>
        <v>6A</v>
      </c>
      <c r="E101" s="453"/>
      <c r="F101" s="453"/>
      <c r="G101" s="453"/>
      <c r="AC101" s="314">
        <v>82</v>
      </c>
      <c r="AD101" s="315" t="s">
        <v>781</v>
      </c>
      <c r="AE101" s="647"/>
      <c r="AF101" s="650"/>
    </row>
    <row r="102" spans="1:32" x14ac:dyDescent="0.25">
      <c r="A102" s="256" t="str">
        <f>Master!E99</f>
        <v>P42</v>
      </c>
      <c r="B102" s="450" t="str">
        <f>Master!F99</f>
        <v>09-051</v>
      </c>
      <c r="C102" s="450" t="str">
        <f>Master!G99</f>
        <v>B</v>
      </c>
      <c r="D102" s="451" t="str">
        <f>Master!H99</f>
        <v>6B</v>
      </c>
      <c r="E102" s="453"/>
      <c r="F102" s="453"/>
      <c r="G102" s="453"/>
      <c r="AC102" s="314">
        <v>83</v>
      </c>
      <c r="AD102" s="315" t="s">
        <v>780</v>
      </c>
      <c r="AE102" s="647"/>
      <c r="AF102" s="650"/>
    </row>
    <row r="103" spans="1:32" x14ac:dyDescent="0.25">
      <c r="A103" s="256" t="str">
        <f>Master!E100</f>
        <v>P43</v>
      </c>
      <c r="B103" s="450" t="str">
        <f>Master!F100</f>
        <v>09-052</v>
      </c>
      <c r="C103" s="450" t="str">
        <f>Master!G100</f>
        <v>B</v>
      </c>
      <c r="D103" s="451" t="str">
        <f>Master!H100</f>
        <v>6A</v>
      </c>
      <c r="E103" s="453"/>
      <c r="F103" s="453"/>
      <c r="G103" s="453"/>
      <c r="AC103" s="314">
        <v>84</v>
      </c>
      <c r="AD103" s="315" t="s">
        <v>779</v>
      </c>
      <c r="AE103" s="647"/>
      <c r="AF103" s="650"/>
    </row>
    <row r="104" spans="1:32" x14ac:dyDescent="0.25">
      <c r="A104" s="256" t="str">
        <f>Master!E101</f>
        <v>P44</v>
      </c>
      <c r="B104" s="450" t="str">
        <f>Master!F101</f>
        <v>09-053</v>
      </c>
      <c r="C104" s="450" t="str">
        <f>Master!G101</f>
        <v>B</v>
      </c>
      <c r="D104" s="451" t="str">
        <f>Master!H101</f>
        <v>6B</v>
      </c>
      <c r="E104" s="453"/>
      <c r="F104" s="453"/>
      <c r="G104" s="453"/>
      <c r="AC104" s="314">
        <v>85</v>
      </c>
      <c r="AD104" s="315" t="s">
        <v>778</v>
      </c>
      <c r="AE104" s="647"/>
      <c r="AF104" s="650"/>
    </row>
    <row r="105" spans="1:32" x14ac:dyDescent="0.25">
      <c r="A105" s="256" t="str">
        <f>Master!E102</f>
        <v>P45</v>
      </c>
      <c r="B105" s="450" t="str">
        <f>Master!F102</f>
        <v>09-054</v>
      </c>
      <c r="C105" s="450" t="str">
        <f>Master!G102</f>
        <v>B</v>
      </c>
      <c r="D105" s="451" t="str">
        <f>Master!H102</f>
        <v>6A</v>
      </c>
      <c r="E105" s="453"/>
      <c r="F105" s="453"/>
      <c r="G105" s="453"/>
      <c r="AC105" s="314">
        <v>86</v>
      </c>
      <c r="AD105" s="315" t="s">
        <v>777</v>
      </c>
      <c r="AE105" s="647"/>
      <c r="AF105" s="650"/>
    </row>
    <row r="106" spans="1:32" x14ac:dyDescent="0.25">
      <c r="A106" s="256" t="str">
        <f>Master!E103</f>
        <v>P46</v>
      </c>
      <c r="B106" s="450" t="str">
        <f>Master!F103</f>
        <v>09-055</v>
      </c>
      <c r="C106" s="450" t="str">
        <f>Master!G103</f>
        <v>B</v>
      </c>
      <c r="D106" s="451" t="str">
        <f>Master!H103</f>
        <v>6B</v>
      </c>
      <c r="E106" s="453"/>
      <c r="F106" s="453"/>
      <c r="G106" s="453"/>
      <c r="AC106" s="314">
        <v>87</v>
      </c>
      <c r="AD106" s="315" t="s">
        <v>776</v>
      </c>
      <c r="AE106" s="647"/>
      <c r="AF106" s="650"/>
    </row>
    <row r="107" spans="1:32" x14ac:dyDescent="0.25">
      <c r="A107" s="256" t="str">
        <f>Master!E104</f>
        <v>P47</v>
      </c>
      <c r="B107" s="450" t="str">
        <f>Master!F104</f>
        <v>09-056</v>
      </c>
      <c r="C107" s="450" t="str">
        <f>Master!G104</f>
        <v>B</v>
      </c>
      <c r="D107" s="451" t="str">
        <f>Master!H104</f>
        <v>6A</v>
      </c>
      <c r="E107" s="453"/>
      <c r="F107" s="453"/>
      <c r="G107" s="453"/>
      <c r="AC107" s="314">
        <v>88</v>
      </c>
      <c r="AD107" s="315" t="s">
        <v>775</v>
      </c>
      <c r="AE107" s="647"/>
      <c r="AF107" s="650"/>
    </row>
    <row r="108" spans="1:32" x14ac:dyDescent="0.25">
      <c r="A108" s="256" t="str">
        <f>Master!E105</f>
        <v>P48</v>
      </c>
      <c r="B108" s="450" t="str">
        <f>Master!F105</f>
        <v>09-057</v>
      </c>
      <c r="C108" s="450" t="str">
        <f>Master!G105</f>
        <v>B</v>
      </c>
      <c r="D108" s="451" t="str">
        <f>Master!H105</f>
        <v>6B</v>
      </c>
      <c r="E108" s="453"/>
      <c r="F108" s="453"/>
      <c r="G108" s="453"/>
      <c r="AC108" s="314">
        <v>89</v>
      </c>
      <c r="AD108" s="315" t="s">
        <v>774</v>
      </c>
      <c r="AE108" s="647"/>
      <c r="AF108" s="650"/>
    </row>
    <row r="109" spans="1:32" x14ac:dyDescent="0.25">
      <c r="A109" s="256" t="str">
        <f>Master!E106</f>
        <v>P49</v>
      </c>
      <c r="B109" s="450" t="str">
        <f>Master!F106</f>
        <v>09-058</v>
      </c>
      <c r="C109" s="450" t="str">
        <f>Master!G106</f>
        <v>B</v>
      </c>
      <c r="D109" s="451" t="str">
        <f>Master!H106</f>
        <v>6A</v>
      </c>
      <c r="E109" s="453"/>
      <c r="F109" s="453"/>
      <c r="G109" s="453"/>
      <c r="AC109" s="314">
        <v>90</v>
      </c>
      <c r="AD109" s="315" t="s">
        <v>773</v>
      </c>
      <c r="AE109" s="647"/>
      <c r="AF109" s="650"/>
    </row>
    <row r="110" spans="1:32" x14ac:dyDescent="0.25">
      <c r="A110" s="256" t="str">
        <f>Master!E107</f>
        <v>P50</v>
      </c>
      <c r="B110" s="450" t="str">
        <f>Master!F107</f>
        <v>09-059</v>
      </c>
      <c r="C110" s="450" t="str">
        <f>Master!G107</f>
        <v>B</v>
      </c>
      <c r="D110" s="451" t="str">
        <f>Master!H107</f>
        <v>6B</v>
      </c>
      <c r="E110" s="453"/>
      <c r="F110" s="453"/>
      <c r="G110" s="453"/>
      <c r="AC110" s="314">
        <v>91</v>
      </c>
      <c r="AD110" s="315" t="s">
        <v>772</v>
      </c>
      <c r="AE110" s="647"/>
      <c r="AF110" s="650"/>
    </row>
    <row r="111" spans="1:32" x14ac:dyDescent="0.25">
      <c r="A111" s="256" t="str">
        <f>Master!E108</f>
        <v>P51</v>
      </c>
      <c r="B111" s="450" t="str">
        <f>Master!F108</f>
        <v>09-060</v>
      </c>
      <c r="C111" s="450" t="str">
        <f>Master!G108</f>
        <v>B</v>
      </c>
      <c r="D111" s="451" t="str">
        <f>Master!H108</f>
        <v>6A</v>
      </c>
      <c r="E111" s="453"/>
      <c r="F111" s="453"/>
      <c r="G111" s="453"/>
      <c r="AC111" s="314">
        <v>92</v>
      </c>
      <c r="AD111" s="315" t="s">
        <v>771</v>
      </c>
      <c r="AE111" s="647"/>
      <c r="AF111" s="650"/>
    </row>
    <row r="112" spans="1:32" x14ac:dyDescent="0.25">
      <c r="A112" s="256" t="str">
        <f>Master!E109</f>
        <v>P52</v>
      </c>
      <c r="B112" s="450" t="str">
        <f>Master!F109</f>
        <v>09-061</v>
      </c>
      <c r="C112" s="450" t="str">
        <f>Master!G109</f>
        <v>B</v>
      </c>
      <c r="D112" s="451" t="str">
        <f>Master!H109</f>
        <v>6B</v>
      </c>
      <c r="E112" s="453"/>
      <c r="F112" s="453"/>
      <c r="G112" s="453"/>
      <c r="AC112" s="314">
        <v>93</v>
      </c>
      <c r="AD112" s="315" t="s">
        <v>770</v>
      </c>
      <c r="AE112" s="647"/>
      <c r="AF112" s="650"/>
    </row>
    <row r="113" spans="1:32" x14ac:dyDescent="0.25">
      <c r="A113" s="256" t="str">
        <f>Master!E110</f>
        <v>P53</v>
      </c>
      <c r="B113" s="450" t="str">
        <f>Master!F110</f>
        <v>09-062</v>
      </c>
      <c r="C113" s="450" t="str">
        <f>Master!G110</f>
        <v>B</v>
      </c>
      <c r="D113" s="451" t="str">
        <f>Master!H110</f>
        <v>6A</v>
      </c>
      <c r="E113" s="453"/>
      <c r="F113" s="453"/>
      <c r="G113" s="453"/>
      <c r="AC113" s="314">
        <v>94</v>
      </c>
      <c r="AD113" s="315" t="s">
        <v>769</v>
      </c>
      <c r="AE113" s="647"/>
      <c r="AF113" s="650"/>
    </row>
    <row r="114" spans="1:32" x14ac:dyDescent="0.25">
      <c r="A114" s="256" t="str">
        <f>Master!E111</f>
        <v>P54</v>
      </c>
      <c r="B114" s="450" t="str">
        <f>Master!F111</f>
        <v>09-063</v>
      </c>
      <c r="C114" s="450" t="str">
        <f>Master!G111</f>
        <v>B</v>
      </c>
      <c r="D114" s="451" t="str">
        <f>Master!H111</f>
        <v>6B</v>
      </c>
      <c r="E114" s="453"/>
      <c r="F114" s="453"/>
      <c r="G114" s="453"/>
      <c r="AC114" s="314">
        <v>95</v>
      </c>
      <c r="AD114" s="315" t="s">
        <v>768</v>
      </c>
      <c r="AE114" s="647"/>
      <c r="AF114" s="650"/>
    </row>
    <row r="115" spans="1:32" x14ac:dyDescent="0.25">
      <c r="A115" s="256" t="str">
        <f>Master!E112</f>
        <v>P55</v>
      </c>
      <c r="B115" s="450" t="str">
        <f>Master!F112</f>
        <v>09-064</v>
      </c>
      <c r="C115" s="450" t="str">
        <f>Master!G112</f>
        <v>B</v>
      </c>
      <c r="D115" s="451" t="str">
        <f>Master!H112</f>
        <v>6A</v>
      </c>
      <c r="E115" s="453"/>
      <c r="F115" s="453"/>
      <c r="G115" s="453"/>
      <c r="AC115" s="314">
        <v>96</v>
      </c>
      <c r="AD115" s="315" t="s">
        <v>767</v>
      </c>
      <c r="AE115" s="647"/>
      <c r="AF115" s="650"/>
    </row>
    <row r="116" spans="1:32" x14ac:dyDescent="0.25">
      <c r="A116" s="256" t="str">
        <f>Master!E113</f>
        <v>P56</v>
      </c>
      <c r="B116" s="450" t="str">
        <f>Master!F113</f>
        <v>09-065</v>
      </c>
      <c r="C116" s="450" t="str">
        <f>Master!G113</f>
        <v>B</v>
      </c>
      <c r="D116" s="451" t="str">
        <f>Master!H113</f>
        <v>6B</v>
      </c>
      <c r="E116" s="453"/>
      <c r="F116" s="453"/>
      <c r="G116" s="453"/>
      <c r="AC116" s="314">
        <v>97</v>
      </c>
      <c r="AD116" s="315" t="s">
        <v>766</v>
      </c>
      <c r="AE116" s="647"/>
      <c r="AF116" s="650"/>
    </row>
    <row r="117" spans="1:32" x14ac:dyDescent="0.25">
      <c r="A117" s="256" t="str">
        <f>Master!E114</f>
        <v>P57</v>
      </c>
      <c r="B117" s="450" t="str">
        <f>Master!F114</f>
        <v>09-066</v>
      </c>
      <c r="C117" s="450" t="str">
        <f>Master!G114</f>
        <v>B</v>
      </c>
      <c r="D117" s="451" t="str">
        <f>Master!H114</f>
        <v>6A</v>
      </c>
      <c r="E117" s="453"/>
      <c r="F117" s="453"/>
      <c r="G117" s="453"/>
      <c r="AC117" s="314">
        <v>98</v>
      </c>
      <c r="AD117" s="315" t="s">
        <v>765</v>
      </c>
      <c r="AE117" s="647"/>
      <c r="AF117" s="650"/>
    </row>
    <row r="118" spans="1:32" x14ac:dyDescent="0.25">
      <c r="A118" s="256" t="str">
        <f>Master!E115</f>
        <v>P58</v>
      </c>
      <c r="B118" s="450" t="str">
        <f>Master!F115</f>
        <v>09-067</v>
      </c>
      <c r="C118" s="450" t="str">
        <f>Master!G115</f>
        <v>B</v>
      </c>
      <c r="D118" s="451" t="str">
        <f>Master!H115</f>
        <v>6B</v>
      </c>
      <c r="E118" s="453"/>
      <c r="F118" s="453"/>
      <c r="G118" s="453"/>
      <c r="AC118" s="314">
        <v>99</v>
      </c>
      <c r="AD118" s="315" t="s">
        <v>764</v>
      </c>
      <c r="AE118" s="647"/>
      <c r="AF118" s="650"/>
    </row>
    <row r="119" spans="1:32" x14ac:dyDescent="0.25">
      <c r="A119" s="256" t="str">
        <f>Master!E116</f>
        <v>P59</v>
      </c>
      <c r="B119" s="450" t="str">
        <f>Master!F116</f>
        <v>09-068</v>
      </c>
      <c r="C119" s="450" t="str">
        <f>Master!G116</f>
        <v>B</v>
      </c>
      <c r="D119" s="451" t="str">
        <f>Master!H116</f>
        <v>6A</v>
      </c>
      <c r="E119" s="453"/>
      <c r="F119" s="453"/>
      <c r="G119" s="453"/>
      <c r="AC119" s="314">
        <v>100</v>
      </c>
      <c r="AD119" s="315" t="s">
        <v>763</v>
      </c>
      <c r="AE119" s="647"/>
      <c r="AF119" s="651"/>
    </row>
    <row r="120" spans="1:32" x14ac:dyDescent="0.25">
      <c r="A120" s="256" t="str">
        <f>Master!E117</f>
        <v>P60</v>
      </c>
      <c r="B120" s="450" t="str">
        <f>Master!F117</f>
        <v>09-069</v>
      </c>
      <c r="C120" s="450" t="str">
        <f>Master!G117</f>
        <v>B</v>
      </c>
      <c r="D120" s="451" t="str">
        <f>Master!H117</f>
        <v>6B</v>
      </c>
      <c r="E120" s="453"/>
      <c r="F120" s="453"/>
      <c r="G120" s="453"/>
    </row>
    <row r="121" spans="1:32" x14ac:dyDescent="0.25">
      <c r="A121" s="256" t="str">
        <f>Master!E118</f>
        <v>P61</v>
      </c>
      <c r="B121" s="450" t="str">
        <f>Master!F118</f>
        <v>09-070</v>
      </c>
      <c r="C121" s="450" t="str">
        <f>Master!G118</f>
        <v>B</v>
      </c>
      <c r="D121" s="451" t="str">
        <f>Master!H118</f>
        <v>6A</v>
      </c>
      <c r="E121" s="453"/>
      <c r="F121" s="453"/>
      <c r="G121" s="453"/>
    </row>
    <row r="122" spans="1:32" x14ac:dyDescent="0.25">
      <c r="A122" s="256" t="str">
        <f>Master!E119</f>
        <v>P62</v>
      </c>
      <c r="B122" s="450" t="str">
        <f>Master!F119</f>
        <v>09-071</v>
      </c>
      <c r="C122" s="450" t="str">
        <f>Master!G119</f>
        <v>B</v>
      </c>
      <c r="D122" s="451" t="str">
        <f>Master!H119</f>
        <v>6B</v>
      </c>
      <c r="E122" s="453"/>
      <c r="F122" s="453"/>
      <c r="G122" s="453"/>
    </row>
    <row r="123" spans="1:32" x14ac:dyDescent="0.25">
      <c r="A123" s="256" t="str">
        <f>Master!E120</f>
        <v>P63</v>
      </c>
      <c r="B123" s="450" t="str">
        <f>Master!F120</f>
        <v>09-072</v>
      </c>
      <c r="C123" s="450" t="str">
        <f>Master!G120</f>
        <v>B</v>
      </c>
      <c r="D123" s="451" t="str">
        <f>Master!H120</f>
        <v>6A</v>
      </c>
      <c r="E123" s="453"/>
      <c r="F123" s="453"/>
      <c r="G123" s="453"/>
    </row>
    <row r="124" spans="1:32" x14ac:dyDescent="0.25">
      <c r="A124" s="256" t="str">
        <f>Master!E121</f>
        <v>P64</v>
      </c>
      <c r="B124" s="450" t="str">
        <f>Master!F121</f>
        <v>09-073</v>
      </c>
      <c r="C124" s="450" t="str">
        <f>Master!G121</f>
        <v>B</v>
      </c>
      <c r="D124" s="451" t="str">
        <f>Master!H121</f>
        <v>6B</v>
      </c>
      <c r="E124" s="453"/>
      <c r="F124" s="453"/>
      <c r="G124" s="453"/>
    </row>
    <row r="125" spans="1:32" x14ac:dyDescent="0.25">
      <c r="A125" s="256" t="str">
        <f>Master!E122</f>
        <v>P65</v>
      </c>
      <c r="B125" s="450" t="str">
        <f>Master!F122</f>
        <v>09-074</v>
      </c>
      <c r="C125" s="450" t="str">
        <f>Master!G122</f>
        <v>B</v>
      </c>
      <c r="D125" s="451" t="str">
        <f>Master!H122</f>
        <v>6A</v>
      </c>
      <c r="E125" s="453"/>
      <c r="F125" s="453"/>
      <c r="G125" s="453"/>
    </row>
    <row r="126" spans="1:32" x14ac:dyDescent="0.25">
      <c r="A126" s="256" t="str">
        <f>Master!E123</f>
        <v>P66</v>
      </c>
      <c r="B126" s="450" t="str">
        <f>Master!F123</f>
        <v>09-075</v>
      </c>
      <c r="C126" s="450" t="str">
        <f>Master!G123</f>
        <v>B</v>
      </c>
      <c r="D126" s="451" t="str">
        <f>Master!H123</f>
        <v>6B</v>
      </c>
      <c r="E126" s="453"/>
      <c r="F126" s="453"/>
      <c r="G126" s="453"/>
    </row>
    <row r="127" spans="1:32" x14ac:dyDescent="0.25">
      <c r="A127" s="256" t="str">
        <f>Master!E124</f>
        <v>P67</v>
      </c>
      <c r="B127" s="450" t="str">
        <f>Master!F124</f>
        <v>09-076</v>
      </c>
      <c r="C127" s="450" t="str">
        <f>Master!G124</f>
        <v>B</v>
      </c>
      <c r="D127" s="451" t="str">
        <f>Master!H124</f>
        <v>6A</v>
      </c>
      <c r="E127" s="453"/>
      <c r="F127" s="453"/>
      <c r="G127" s="453"/>
    </row>
    <row r="128" spans="1:32" x14ac:dyDescent="0.25">
      <c r="A128" s="256" t="str">
        <f>Master!E125</f>
        <v>P68</v>
      </c>
      <c r="B128" s="450" t="str">
        <f>Master!F125</f>
        <v>09-077</v>
      </c>
      <c r="C128" s="450" t="str">
        <f>Master!G125</f>
        <v>B</v>
      </c>
      <c r="D128" s="451" t="str">
        <f>Master!H125</f>
        <v>6B</v>
      </c>
      <c r="E128" s="453"/>
      <c r="F128" s="453"/>
      <c r="G128" s="453"/>
    </row>
    <row r="129" spans="1:7" x14ac:dyDescent="0.25">
      <c r="A129" s="256" t="str">
        <f>Master!E126</f>
        <v>P69</v>
      </c>
      <c r="B129" s="450" t="str">
        <f>Master!F126</f>
        <v>09-078</v>
      </c>
      <c r="C129" s="450" t="str">
        <f>Master!G126</f>
        <v>B</v>
      </c>
      <c r="D129" s="451" t="str">
        <f>Master!H126</f>
        <v>6A</v>
      </c>
      <c r="E129" s="453"/>
      <c r="F129" s="453"/>
      <c r="G129" s="453"/>
    </row>
    <row r="130" spans="1:7" x14ac:dyDescent="0.25">
      <c r="A130" s="256" t="str">
        <f>Master!E127</f>
        <v>P70</v>
      </c>
      <c r="B130" s="450" t="str">
        <f>Master!F127</f>
        <v>09-079</v>
      </c>
      <c r="C130" s="450" t="str">
        <f>Master!G127</f>
        <v>B</v>
      </c>
      <c r="D130" s="451" t="str">
        <f>Master!H127</f>
        <v>6B</v>
      </c>
      <c r="E130" s="453"/>
      <c r="F130" s="453"/>
      <c r="G130" s="453"/>
    </row>
    <row r="131" spans="1:7" x14ac:dyDescent="0.25">
      <c r="A131" s="256" t="str">
        <f>Master!E128</f>
        <v>P71</v>
      </c>
      <c r="B131" s="450" t="str">
        <f>Master!F128</f>
        <v>09-080</v>
      </c>
      <c r="C131" s="450" t="str">
        <f>Master!G128</f>
        <v>B</v>
      </c>
      <c r="D131" s="451" t="str">
        <f>Master!H128</f>
        <v>6A</v>
      </c>
      <c r="E131" s="453"/>
      <c r="F131" s="453"/>
      <c r="G131" s="453"/>
    </row>
    <row r="132" spans="1:7" x14ac:dyDescent="0.25">
      <c r="A132" s="256" t="str">
        <f>Master!E129</f>
        <v>P72</v>
      </c>
      <c r="B132" s="450" t="str">
        <f>Master!F129</f>
        <v>09-081</v>
      </c>
      <c r="C132" s="450" t="str">
        <f>Master!G129</f>
        <v>B</v>
      </c>
      <c r="D132" s="451" t="str">
        <f>Master!H129</f>
        <v>6B</v>
      </c>
      <c r="E132" s="453"/>
      <c r="F132" s="453"/>
      <c r="G132" s="453"/>
    </row>
    <row r="133" spans="1:7" x14ac:dyDescent="0.25">
      <c r="A133" s="256" t="str">
        <f>Master!E130</f>
        <v>P73</v>
      </c>
      <c r="B133" s="450" t="str">
        <f>Master!F130</f>
        <v>09-082</v>
      </c>
      <c r="C133" s="450" t="str">
        <f>Master!G130</f>
        <v>B</v>
      </c>
      <c r="D133" s="451" t="str">
        <f>Master!H130</f>
        <v>6A</v>
      </c>
      <c r="E133" s="453"/>
      <c r="F133" s="453"/>
      <c r="G133" s="453"/>
    </row>
    <row r="134" spans="1:7" x14ac:dyDescent="0.25">
      <c r="A134" s="256" t="str">
        <f>Master!E131</f>
        <v>P74</v>
      </c>
      <c r="B134" s="450" t="str">
        <f>Master!F131</f>
        <v>09-083</v>
      </c>
      <c r="C134" s="450" t="str">
        <f>Master!G131</f>
        <v>B</v>
      </c>
      <c r="D134" s="451" t="str">
        <f>Master!H131</f>
        <v>6B</v>
      </c>
      <c r="E134" s="453"/>
      <c r="F134" s="453"/>
      <c r="G134" s="453"/>
    </row>
    <row r="135" spans="1:7" x14ac:dyDescent="0.25">
      <c r="A135" s="256" t="str">
        <f>Master!E132</f>
        <v>P75</v>
      </c>
      <c r="B135" s="450" t="str">
        <f>Master!F132</f>
        <v>09-084</v>
      </c>
      <c r="C135" s="450" t="str">
        <f>Master!G132</f>
        <v>B</v>
      </c>
      <c r="D135" s="451" t="str">
        <f>Master!H132</f>
        <v>6A</v>
      </c>
      <c r="E135" s="453"/>
      <c r="F135" s="453"/>
      <c r="G135" s="453"/>
    </row>
    <row r="136" spans="1:7" x14ac:dyDescent="0.25">
      <c r="A136" s="256" t="str">
        <f>Master!E133</f>
        <v>P76</v>
      </c>
      <c r="B136" s="450" t="str">
        <f>Master!F133</f>
        <v>09-085</v>
      </c>
      <c r="C136" s="450" t="str">
        <f>Master!G133</f>
        <v>B</v>
      </c>
      <c r="D136" s="451" t="str">
        <f>Master!H133</f>
        <v>6B</v>
      </c>
      <c r="E136" s="453"/>
      <c r="F136" s="453"/>
      <c r="G136" s="453"/>
    </row>
    <row r="137" spans="1:7" x14ac:dyDescent="0.25">
      <c r="A137" s="256" t="str">
        <f>Master!E134</f>
        <v>P77</v>
      </c>
      <c r="B137" s="450" t="str">
        <f>Master!F134</f>
        <v>09-086</v>
      </c>
      <c r="C137" s="450" t="str">
        <f>Master!G134</f>
        <v>B</v>
      </c>
      <c r="D137" s="451" t="str">
        <f>Master!H134</f>
        <v>6A</v>
      </c>
      <c r="E137" s="453"/>
      <c r="F137" s="453"/>
      <c r="G137" s="453"/>
    </row>
    <row r="138" spans="1:7" x14ac:dyDescent="0.25">
      <c r="A138" s="256" t="str">
        <f>Master!E135</f>
        <v>P78</v>
      </c>
      <c r="B138" s="450" t="str">
        <f>Master!F135</f>
        <v>09-087</v>
      </c>
      <c r="C138" s="450" t="str">
        <f>Master!G135</f>
        <v>B</v>
      </c>
      <c r="D138" s="451" t="str">
        <f>Master!H135</f>
        <v>6B</v>
      </c>
      <c r="E138" s="453"/>
      <c r="F138" s="453"/>
      <c r="G138" s="453"/>
    </row>
    <row r="139" spans="1:7" x14ac:dyDescent="0.25">
      <c r="A139" s="256" t="str">
        <f>Master!E136</f>
        <v>P79</v>
      </c>
      <c r="B139" s="450" t="str">
        <f>Master!F136</f>
        <v>09-088</v>
      </c>
      <c r="C139" s="450" t="str">
        <f>Master!G136</f>
        <v>B</v>
      </c>
      <c r="D139" s="451" t="str">
        <f>Master!H136</f>
        <v>6A</v>
      </c>
      <c r="E139" s="453"/>
      <c r="F139" s="453"/>
      <c r="G139" s="453"/>
    </row>
    <row r="140" spans="1:7" x14ac:dyDescent="0.25">
      <c r="A140" s="256" t="str">
        <f>Master!E137</f>
        <v>P80</v>
      </c>
      <c r="B140" s="450" t="str">
        <f>Master!F137</f>
        <v>09-089</v>
      </c>
      <c r="C140" s="450" t="str">
        <f>Master!G137</f>
        <v>B</v>
      </c>
      <c r="D140" s="451" t="str">
        <f>Master!H137</f>
        <v>6B</v>
      </c>
      <c r="E140" s="453"/>
      <c r="F140" s="453"/>
      <c r="G140" s="453"/>
    </row>
    <row r="141" spans="1:7" x14ac:dyDescent="0.25">
      <c r="A141" s="256" t="str">
        <f>Master!E138</f>
        <v>P81</v>
      </c>
      <c r="B141" s="450" t="str">
        <f>Master!F138</f>
        <v>09-090</v>
      </c>
      <c r="C141" s="450" t="str">
        <f>Master!G138</f>
        <v>B</v>
      </c>
      <c r="D141" s="451" t="str">
        <f>Master!H138</f>
        <v>6A</v>
      </c>
      <c r="E141" s="453"/>
      <c r="F141" s="453"/>
      <c r="G141" s="453"/>
    </row>
    <row r="142" spans="1:7" x14ac:dyDescent="0.25">
      <c r="A142" s="256" t="str">
        <f>Master!E139</f>
        <v>P82</v>
      </c>
      <c r="B142" s="450" t="str">
        <f>Master!F139</f>
        <v>09-091</v>
      </c>
      <c r="C142" s="450" t="str">
        <f>Master!G139</f>
        <v>B</v>
      </c>
      <c r="D142" s="451" t="str">
        <f>Master!H139</f>
        <v>6B</v>
      </c>
      <c r="E142" s="427"/>
      <c r="F142" s="427"/>
      <c r="G142" s="427"/>
    </row>
    <row r="143" spans="1:7" x14ac:dyDescent="0.25">
      <c r="A143" s="448" t="str">
        <f>Master!J58</f>
        <v>P83</v>
      </c>
      <c r="B143" s="449" t="str">
        <f>Master!K58</f>
        <v>10-001</v>
      </c>
      <c r="C143" s="449" t="str">
        <f>Master!L58</f>
        <v>B</v>
      </c>
      <c r="D143" s="452" t="str">
        <f>Master!M58</f>
        <v>1A</v>
      </c>
      <c r="E143" s="427"/>
      <c r="F143" s="427"/>
      <c r="G143" s="427"/>
    </row>
    <row r="144" spans="1:7" x14ac:dyDescent="0.25">
      <c r="A144" s="448" t="str">
        <f>Master!J59</f>
        <v>P84</v>
      </c>
      <c r="B144" s="449" t="str">
        <f>Master!K59</f>
        <v>10-002</v>
      </c>
      <c r="C144" s="449" t="str">
        <f>Master!L59</f>
        <v>B</v>
      </c>
      <c r="D144" s="452" t="str">
        <f>Master!M59</f>
        <v>1B</v>
      </c>
      <c r="E144" s="427"/>
      <c r="F144" s="427"/>
      <c r="G144" s="427"/>
    </row>
    <row r="145" spans="1:7" x14ac:dyDescent="0.25">
      <c r="A145" s="448" t="str">
        <f>Master!J60</f>
        <v>P85</v>
      </c>
      <c r="B145" s="449" t="str">
        <f>Master!K60</f>
        <v>10-003</v>
      </c>
      <c r="C145" s="449" t="str">
        <f>Master!L60</f>
        <v>B</v>
      </c>
      <c r="D145" s="452" t="str">
        <f>Master!M60</f>
        <v>2A</v>
      </c>
      <c r="E145" s="427"/>
      <c r="F145" s="427"/>
      <c r="G145" s="427"/>
    </row>
    <row r="146" spans="1:7" x14ac:dyDescent="0.25">
      <c r="A146" s="448" t="str">
        <f>Master!J61</f>
        <v>P86</v>
      </c>
      <c r="B146" s="449" t="str">
        <f>Master!K61</f>
        <v>10-004</v>
      </c>
      <c r="C146" s="449" t="str">
        <f>Master!L61</f>
        <v>B</v>
      </c>
      <c r="D146" s="452" t="str">
        <f>Master!M61</f>
        <v>2B</v>
      </c>
      <c r="E146" s="427"/>
      <c r="F146" s="427"/>
      <c r="G146" s="427"/>
    </row>
    <row r="147" spans="1:7" x14ac:dyDescent="0.25">
      <c r="A147" s="448" t="str">
        <f>Master!J62</f>
        <v>P87</v>
      </c>
      <c r="B147" s="449" t="str">
        <f>Master!K62</f>
        <v>10-005</v>
      </c>
      <c r="C147" s="449" t="str">
        <f>Master!L62</f>
        <v>B</v>
      </c>
      <c r="D147" s="452" t="str">
        <f>Master!M62</f>
        <v>2C</v>
      </c>
      <c r="E147" s="427"/>
      <c r="F147" s="427"/>
      <c r="G147" s="427"/>
    </row>
    <row r="148" spans="1:7" x14ac:dyDescent="0.25">
      <c r="A148" s="448" t="str">
        <f>Master!J63</f>
        <v>P88</v>
      </c>
      <c r="B148" s="449" t="str">
        <f>Master!K63</f>
        <v>10-006</v>
      </c>
      <c r="C148" s="449" t="str">
        <f>Master!L63</f>
        <v>B</v>
      </c>
      <c r="D148" s="449" t="str">
        <f>Master!M63</f>
        <v>2D</v>
      </c>
    </row>
    <row r="149" spans="1:7" x14ac:dyDescent="0.25">
      <c r="A149" s="448" t="str">
        <f>Master!J64</f>
        <v>P89</v>
      </c>
      <c r="B149" s="449" t="str">
        <f>Master!K64</f>
        <v>10-007</v>
      </c>
      <c r="C149" s="449" t="str">
        <f>Master!L64</f>
        <v>B</v>
      </c>
      <c r="D149" s="449" t="str">
        <f>Master!M64</f>
        <v>2E</v>
      </c>
    </row>
    <row r="150" spans="1:7" x14ac:dyDescent="0.25">
      <c r="A150" s="448" t="str">
        <f>Master!J65</f>
        <v>P90</v>
      </c>
      <c r="B150" s="449" t="str">
        <f>Master!K65</f>
        <v>10-008</v>
      </c>
      <c r="C150" s="449" t="str">
        <f>Master!L65</f>
        <v>B</v>
      </c>
      <c r="D150" s="449" t="str">
        <f>Master!M65</f>
        <v>2F</v>
      </c>
    </row>
    <row r="151" spans="1:7" x14ac:dyDescent="0.25">
      <c r="A151" s="448" t="str">
        <f>Master!J66</f>
        <v>P91</v>
      </c>
      <c r="B151" s="449" t="str">
        <f>Master!K66</f>
        <v>10-009</v>
      </c>
      <c r="C151" s="449" t="str">
        <f>Master!L66</f>
        <v>B</v>
      </c>
      <c r="D151" s="449" t="str">
        <f>Master!M66</f>
        <v>2G</v>
      </c>
    </row>
    <row r="152" spans="1:7" x14ac:dyDescent="0.25">
      <c r="A152" s="448" t="str">
        <f>Master!J67</f>
        <v>P92</v>
      </c>
      <c r="B152" s="449" t="str">
        <f>Master!K67</f>
        <v>10-010</v>
      </c>
      <c r="C152" s="449" t="str">
        <f>Master!L67</f>
        <v>B</v>
      </c>
      <c r="D152" s="449" t="str">
        <f>Master!M67</f>
        <v>2H</v>
      </c>
    </row>
    <row r="153" spans="1:7" x14ac:dyDescent="0.25">
      <c r="A153" s="448" t="str">
        <f>Master!J68</f>
        <v>P93</v>
      </c>
      <c r="B153" s="449" t="str">
        <f>Master!K68</f>
        <v>10-011</v>
      </c>
      <c r="C153" s="449" t="str">
        <f>Master!L68</f>
        <v>B</v>
      </c>
      <c r="D153" s="449" t="str">
        <f>Master!M68</f>
        <v>3A</v>
      </c>
    </row>
    <row r="154" spans="1:7" x14ac:dyDescent="0.25">
      <c r="A154" s="448" t="str">
        <f>Master!J69</f>
        <v>P94</v>
      </c>
      <c r="B154" s="449" t="str">
        <f>Master!K69</f>
        <v>10-012</v>
      </c>
      <c r="C154" s="449" t="str">
        <f>Master!L69</f>
        <v>B</v>
      </c>
      <c r="D154" s="449" t="str">
        <f>Master!M69</f>
        <v>3B</v>
      </c>
    </row>
    <row r="155" spans="1:7" x14ac:dyDescent="0.25">
      <c r="A155" s="448" t="str">
        <f>Master!J70</f>
        <v>P95</v>
      </c>
      <c r="B155" s="449" t="str">
        <f>Master!K70</f>
        <v>10-013</v>
      </c>
      <c r="C155" s="449" t="str">
        <f>Master!L70</f>
        <v>B</v>
      </c>
      <c r="D155" s="449" t="str">
        <f>Master!M70</f>
        <v>3C</v>
      </c>
    </row>
    <row r="156" spans="1:7" x14ac:dyDescent="0.25">
      <c r="A156" s="448" t="str">
        <f>Master!J71</f>
        <v>P96</v>
      </c>
      <c r="B156" s="449" t="str">
        <f>Master!K71</f>
        <v>10-014</v>
      </c>
      <c r="C156" s="449" t="str">
        <f>Master!L71</f>
        <v>B</v>
      </c>
      <c r="D156" s="449" t="str">
        <f>Master!M71</f>
        <v>3D</v>
      </c>
    </row>
    <row r="157" spans="1:7" x14ac:dyDescent="0.25">
      <c r="A157" s="448" t="str">
        <f>Master!J72</f>
        <v>P97</v>
      </c>
      <c r="B157" s="449" t="str">
        <f>Master!K72</f>
        <v>10-015</v>
      </c>
      <c r="C157" s="449" t="str">
        <f>Master!L72</f>
        <v>B</v>
      </c>
      <c r="D157" s="449" t="str">
        <f>Master!M72</f>
        <v>3E</v>
      </c>
    </row>
    <row r="158" spans="1:7" x14ac:dyDescent="0.25">
      <c r="A158" s="448" t="str">
        <f>Master!J73</f>
        <v>P98</v>
      </c>
      <c r="B158" s="449" t="str">
        <f>Master!K73</f>
        <v>10-016</v>
      </c>
      <c r="C158" s="449" t="str">
        <f>Master!L73</f>
        <v>B</v>
      </c>
      <c r="D158" s="449" t="str">
        <f>Master!M73</f>
        <v>3F</v>
      </c>
    </row>
    <row r="159" spans="1:7" x14ac:dyDescent="0.25">
      <c r="A159" s="448" t="str">
        <f>Master!J74</f>
        <v>P99</v>
      </c>
      <c r="B159" s="449" t="str">
        <f>Master!K74</f>
        <v>10-017</v>
      </c>
      <c r="C159" s="449" t="str">
        <f>Master!L74</f>
        <v>B</v>
      </c>
      <c r="D159" s="449" t="str">
        <f>Master!M74</f>
        <v>3G</v>
      </c>
    </row>
    <row r="160" spans="1:7" x14ac:dyDescent="0.25">
      <c r="A160" s="448" t="str">
        <f>Master!J75</f>
        <v>P100</v>
      </c>
      <c r="B160" s="449" t="str">
        <f>Master!K75</f>
        <v>10-018</v>
      </c>
      <c r="C160" s="449" t="str">
        <f>Master!L75</f>
        <v>B</v>
      </c>
      <c r="D160" s="449" t="str">
        <f>Master!M75</f>
        <v>3H</v>
      </c>
    </row>
    <row r="161" spans="1:4" x14ac:dyDescent="0.25">
      <c r="A161" s="448" t="str">
        <f>Master!J76</f>
        <v>P101</v>
      </c>
      <c r="B161" s="449" t="str">
        <f>Master!K76</f>
        <v>10-019</v>
      </c>
      <c r="C161" s="449" t="str">
        <f>Master!L76</f>
        <v>B</v>
      </c>
      <c r="D161" s="449" t="str">
        <f>Master!M76</f>
        <v>4A</v>
      </c>
    </row>
    <row r="162" spans="1:4" x14ac:dyDescent="0.25">
      <c r="A162" s="448" t="str">
        <f>Master!J77</f>
        <v>P102</v>
      </c>
      <c r="B162" s="449" t="str">
        <f>Master!K77</f>
        <v>10-020</v>
      </c>
      <c r="C162" s="449" t="str">
        <f>Master!L77</f>
        <v>B</v>
      </c>
      <c r="D162" s="449" t="str">
        <f>Master!M77</f>
        <v>4B</v>
      </c>
    </row>
    <row r="163" spans="1:4" x14ac:dyDescent="0.25">
      <c r="A163" s="448" t="str">
        <f>Master!J78</f>
        <v>P103</v>
      </c>
      <c r="B163" s="449" t="str">
        <f>Master!K78</f>
        <v>10-021</v>
      </c>
      <c r="C163" s="449" t="str">
        <f>Master!L78</f>
        <v>B</v>
      </c>
      <c r="D163" s="449" t="str">
        <f>Master!M78</f>
        <v>4C</v>
      </c>
    </row>
    <row r="164" spans="1:4" x14ac:dyDescent="0.25">
      <c r="A164" s="448" t="str">
        <f>Master!J79</f>
        <v>P104</v>
      </c>
      <c r="B164" s="449" t="str">
        <f>Master!K79</f>
        <v>10-022</v>
      </c>
      <c r="C164" s="449" t="str">
        <f>Master!L79</f>
        <v>B</v>
      </c>
      <c r="D164" s="449" t="str">
        <f>Master!M79</f>
        <v>4D</v>
      </c>
    </row>
    <row r="165" spans="1:4" x14ac:dyDescent="0.25">
      <c r="A165" s="448" t="str">
        <f>Master!J80</f>
        <v>P105</v>
      </c>
      <c r="B165" s="449" t="str">
        <f>Master!K80</f>
        <v>10-023</v>
      </c>
      <c r="C165" s="449" t="str">
        <f>Master!L80</f>
        <v>B</v>
      </c>
      <c r="D165" s="449" t="str">
        <f>Master!M80</f>
        <v>4E</v>
      </c>
    </row>
    <row r="166" spans="1:4" x14ac:dyDescent="0.25">
      <c r="A166" s="448" t="str">
        <f>Master!J81</f>
        <v>P106</v>
      </c>
      <c r="B166" s="449" t="str">
        <f>Master!K81</f>
        <v>10-024</v>
      </c>
      <c r="C166" s="449" t="str">
        <f>Master!L81</f>
        <v>B</v>
      </c>
      <c r="D166" s="449" t="str">
        <f>Master!M81</f>
        <v>4F</v>
      </c>
    </row>
    <row r="167" spans="1:4" x14ac:dyDescent="0.25">
      <c r="A167" s="448" t="str">
        <f>Master!J82</f>
        <v>P107</v>
      </c>
      <c r="B167" s="449" t="str">
        <f>Master!K82</f>
        <v>10-025</v>
      </c>
      <c r="C167" s="449" t="str">
        <f>Master!L82</f>
        <v>B</v>
      </c>
      <c r="D167" s="449" t="str">
        <f>Master!M82</f>
        <v>4G</v>
      </c>
    </row>
    <row r="168" spans="1:4" x14ac:dyDescent="0.25">
      <c r="A168" s="448" t="str">
        <f>Master!J83</f>
        <v>P108</v>
      </c>
      <c r="B168" s="449" t="str">
        <f>Master!K83</f>
        <v>10-026</v>
      </c>
      <c r="C168" s="449" t="str">
        <f>Master!L83</f>
        <v>B</v>
      </c>
      <c r="D168" s="449" t="str">
        <f>Master!M83</f>
        <v>4H</v>
      </c>
    </row>
    <row r="169" spans="1:4" x14ac:dyDescent="0.25">
      <c r="A169" s="448" t="str">
        <f>Master!J84</f>
        <v>P109</v>
      </c>
      <c r="B169" s="449" t="str">
        <f>Master!K84</f>
        <v>10-027</v>
      </c>
      <c r="C169" s="449" t="str">
        <f>Master!L84</f>
        <v>B</v>
      </c>
      <c r="D169" s="449" t="str">
        <f>Master!M84</f>
        <v>5A</v>
      </c>
    </row>
    <row r="170" spans="1:4" x14ac:dyDescent="0.25">
      <c r="A170" s="448" t="str">
        <f>Master!J85</f>
        <v>P110</v>
      </c>
      <c r="B170" s="449" t="str">
        <f>Master!K85</f>
        <v>10-028</v>
      </c>
      <c r="C170" s="449" t="str">
        <f>Master!L85</f>
        <v>B</v>
      </c>
      <c r="D170" s="449" t="str">
        <f>Master!M85</f>
        <v>5B</v>
      </c>
    </row>
    <row r="171" spans="1:4" x14ac:dyDescent="0.25">
      <c r="A171" s="448" t="str">
        <f>Master!J86</f>
        <v>P111</v>
      </c>
      <c r="B171" s="449" t="str">
        <f>Master!K86</f>
        <v>10-029</v>
      </c>
      <c r="C171" s="449" t="str">
        <f>Master!L86</f>
        <v>B</v>
      </c>
      <c r="D171" s="449" t="str">
        <f>Master!M86</f>
        <v>5C</v>
      </c>
    </row>
    <row r="172" spans="1:4" x14ac:dyDescent="0.25">
      <c r="A172" s="448" t="str">
        <f>Master!J87</f>
        <v>P112</v>
      </c>
      <c r="B172" s="449" t="str">
        <f>Master!K87</f>
        <v>10-030</v>
      </c>
      <c r="C172" s="449" t="str">
        <f>Master!L87</f>
        <v>B</v>
      </c>
      <c r="D172" s="449" t="str">
        <f>Master!M87</f>
        <v>5D</v>
      </c>
    </row>
    <row r="173" spans="1:4" x14ac:dyDescent="0.25">
      <c r="A173" s="448" t="str">
        <f>Master!J88</f>
        <v>P113</v>
      </c>
      <c r="B173" s="449" t="str">
        <f>Master!K88</f>
        <v>10-031</v>
      </c>
      <c r="C173" s="449" t="str">
        <f>Master!L88</f>
        <v>B</v>
      </c>
      <c r="D173" s="449" t="str">
        <f>Master!M88</f>
        <v>5E</v>
      </c>
    </row>
    <row r="174" spans="1:4" x14ac:dyDescent="0.25">
      <c r="A174" s="448" t="str">
        <f>Master!J89</f>
        <v>P114</v>
      </c>
      <c r="B174" s="449" t="str">
        <f>Master!K89</f>
        <v>10-032</v>
      </c>
      <c r="C174" s="449" t="str">
        <f>Master!L89</f>
        <v>B</v>
      </c>
      <c r="D174" s="449" t="str">
        <f>Master!M89</f>
        <v>5F</v>
      </c>
    </row>
    <row r="175" spans="1:4" x14ac:dyDescent="0.25">
      <c r="A175" s="448" t="str">
        <f>Master!J90</f>
        <v>P115</v>
      </c>
      <c r="B175" s="449" t="str">
        <f>Master!K90</f>
        <v>10-033</v>
      </c>
      <c r="C175" s="449" t="str">
        <f>Master!L90</f>
        <v>B</v>
      </c>
      <c r="D175" s="449" t="str">
        <f>Master!M90</f>
        <v>5G</v>
      </c>
    </row>
    <row r="176" spans="1:4" x14ac:dyDescent="0.25">
      <c r="A176" s="448" t="str">
        <f>Master!J91</f>
        <v>P116</v>
      </c>
      <c r="B176" s="449" t="str">
        <f>Master!K91</f>
        <v>10-034</v>
      </c>
      <c r="C176" s="449" t="str">
        <f>Master!L91</f>
        <v>B</v>
      </c>
      <c r="D176" s="449" t="str">
        <f>Master!M91</f>
        <v>5H</v>
      </c>
    </row>
    <row r="177" spans="1:4" x14ac:dyDescent="0.25">
      <c r="A177" s="448" t="str">
        <f>Master!J92</f>
        <v>P117</v>
      </c>
      <c r="B177" s="449" t="str">
        <f>Master!K92</f>
        <v>10-035</v>
      </c>
      <c r="C177" s="449" t="str">
        <f>Master!L92</f>
        <v>B</v>
      </c>
      <c r="D177" s="449" t="str">
        <f>Master!M92</f>
        <v>6A</v>
      </c>
    </row>
    <row r="178" spans="1:4" x14ac:dyDescent="0.25">
      <c r="A178" s="448" t="str">
        <f>Master!J93</f>
        <v>P118</v>
      </c>
      <c r="B178" s="449" t="str">
        <f>Master!K93</f>
        <v>10-036</v>
      </c>
      <c r="C178" s="449" t="str">
        <f>Master!L93</f>
        <v>B</v>
      </c>
      <c r="D178" s="449" t="str">
        <f>Master!M93</f>
        <v>6B</v>
      </c>
    </row>
    <row r="179" spans="1:4" x14ac:dyDescent="0.25">
      <c r="A179" s="448" t="str">
        <f>Master!J94</f>
        <v>P119</v>
      </c>
      <c r="B179" s="449" t="str">
        <f>Master!K94</f>
        <v>10-037</v>
      </c>
      <c r="C179" s="449" t="str">
        <f>Master!L94</f>
        <v>B</v>
      </c>
      <c r="D179" s="449" t="str">
        <f>Master!M94</f>
        <v>6A</v>
      </c>
    </row>
    <row r="180" spans="1:4" x14ac:dyDescent="0.25">
      <c r="A180" s="448" t="str">
        <f>Master!J95</f>
        <v>P120</v>
      </c>
      <c r="B180" s="449" t="str">
        <f>Master!K95</f>
        <v>10-038</v>
      </c>
      <c r="C180" s="449" t="str">
        <f>Master!L95</f>
        <v>B</v>
      </c>
      <c r="D180" s="449" t="str">
        <f>Master!M95</f>
        <v>6B</v>
      </c>
    </row>
    <row r="181" spans="1:4" x14ac:dyDescent="0.25">
      <c r="A181" s="448" t="str">
        <f>Master!J96</f>
        <v>P121</v>
      </c>
      <c r="B181" s="449" t="str">
        <f>Master!K96</f>
        <v>10-039</v>
      </c>
      <c r="C181" s="449" t="str">
        <f>Master!L96</f>
        <v>B</v>
      </c>
      <c r="D181" s="449" t="str">
        <f>Master!M96</f>
        <v>6A</v>
      </c>
    </row>
    <row r="182" spans="1:4" x14ac:dyDescent="0.25">
      <c r="A182" s="448" t="str">
        <f>Master!J97</f>
        <v>P122</v>
      </c>
      <c r="B182" s="449" t="str">
        <f>Master!K97</f>
        <v>10-040</v>
      </c>
      <c r="C182" s="449" t="str">
        <f>Master!L97</f>
        <v>B</v>
      </c>
      <c r="D182" s="449" t="str">
        <f>Master!M97</f>
        <v>6B</v>
      </c>
    </row>
    <row r="183" spans="1:4" x14ac:dyDescent="0.25">
      <c r="A183" s="448" t="str">
        <f>Master!J98</f>
        <v>P123</v>
      </c>
      <c r="B183" s="449" t="str">
        <f>Master!K98</f>
        <v>10-041</v>
      </c>
      <c r="C183" s="449" t="str">
        <f>Master!L98</f>
        <v>B</v>
      </c>
      <c r="D183" s="449" t="str">
        <f>Master!M98</f>
        <v>6A</v>
      </c>
    </row>
    <row r="184" spans="1:4" x14ac:dyDescent="0.25">
      <c r="A184" s="448" t="str">
        <f>Master!J99</f>
        <v>P124</v>
      </c>
      <c r="B184" s="449" t="str">
        <f>Master!K99</f>
        <v>10-042</v>
      </c>
      <c r="C184" s="449" t="str">
        <f>Master!L99</f>
        <v>B</v>
      </c>
      <c r="D184" s="449" t="str">
        <f>Master!M99</f>
        <v>6B</v>
      </c>
    </row>
    <row r="185" spans="1:4" x14ac:dyDescent="0.25">
      <c r="A185" s="448" t="str">
        <f>Master!J100</f>
        <v>P125</v>
      </c>
      <c r="B185" s="449" t="str">
        <f>Master!K100</f>
        <v>10-043</v>
      </c>
      <c r="C185" s="449" t="str">
        <f>Master!L100</f>
        <v>B</v>
      </c>
      <c r="D185" s="449" t="str">
        <f>Master!M100</f>
        <v>6A</v>
      </c>
    </row>
    <row r="186" spans="1:4" x14ac:dyDescent="0.25">
      <c r="A186" s="448" t="str">
        <f>Master!J101</f>
        <v>P126</v>
      </c>
      <c r="B186" s="449" t="str">
        <f>Master!K101</f>
        <v>10-044</v>
      </c>
      <c r="C186" s="449" t="str">
        <f>Master!L101</f>
        <v>B</v>
      </c>
      <c r="D186" s="449" t="str">
        <f>Master!M101</f>
        <v>6B</v>
      </c>
    </row>
    <row r="187" spans="1:4" x14ac:dyDescent="0.25">
      <c r="A187" s="448" t="str">
        <f>Master!J102</f>
        <v>P127</v>
      </c>
      <c r="B187" s="449" t="str">
        <f>Master!K102</f>
        <v>10-045</v>
      </c>
      <c r="C187" s="449" t="str">
        <f>Master!L102</f>
        <v>B</v>
      </c>
      <c r="D187" s="449" t="str">
        <f>Master!M102</f>
        <v>6A</v>
      </c>
    </row>
    <row r="188" spans="1:4" x14ac:dyDescent="0.25">
      <c r="A188" s="448" t="str">
        <f>Master!J103</f>
        <v>P128</v>
      </c>
      <c r="B188" s="449" t="str">
        <f>Master!K103</f>
        <v>10-046</v>
      </c>
      <c r="C188" s="449" t="str">
        <f>Master!L103</f>
        <v>B</v>
      </c>
      <c r="D188" s="449" t="str">
        <f>Master!M103</f>
        <v>6B</v>
      </c>
    </row>
    <row r="189" spans="1:4" x14ac:dyDescent="0.25">
      <c r="A189" s="448" t="str">
        <f>Master!J104</f>
        <v>P129</v>
      </c>
      <c r="B189" s="449" t="str">
        <f>Master!K104</f>
        <v>10-047</v>
      </c>
      <c r="C189" s="449" t="str">
        <f>Master!L104</f>
        <v>B</v>
      </c>
      <c r="D189" s="449" t="str">
        <f>Master!M104</f>
        <v>6A</v>
      </c>
    </row>
    <row r="190" spans="1:4" x14ac:dyDescent="0.25">
      <c r="A190" s="448" t="str">
        <f>Master!J105</f>
        <v>P130</v>
      </c>
      <c r="B190" s="449" t="str">
        <f>Master!K105</f>
        <v>10-048</v>
      </c>
      <c r="C190" s="449" t="str">
        <f>Master!L105</f>
        <v>B</v>
      </c>
      <c r="D190" s="449" t="str">
        <f>Master!M105</f>
        <v>6B</v>
      </c>
    </row>
    <row r="191" spans="1:4" x14ac:dyDescent="0.25">
      <c r="A191" s="448" t="str">
        <f>Master!J106</f>
        <v>P131</v>
      </c>
      <c r="B191" s="449" t="str">
        <f>Master!K106</f>
        <v>10-049</v>
      </c>
      <c r="C191" s="449" t="str">
        <f>Master!L106</f>
        <v>B</v>
      </c>
      <c r="D191" s="449" t="str">
        <f>Master!M106</f>
        <v>6A</v>
      </c>
    </row>
    <row r="192" spans="1:4" x14ac:dyDescent="0.25">
      <c r="A192" s="448" t="str">
        <f>Master!J107</f>
        <v>P132</v>
      </c>
      <c r="B192" s="449" t="str">
        <f>Master!K107</f>
        <v>10-050</v>
      </c>
      <c r="C192" s="449" t="str">
        <f>Master!L107</f>
        <v>B</v>
      </c>
      <c r="D192" s="449" t="str">
        <f>Master!M107</f>
        <v>6B</v>
      </c>
    </row>
    <row r="193" spans="1:4" x14ac:dyDescent="0.25">
      <c r="A193" s="448" t="str">
        <f>Master!J108</f>
        <v>P133</v>
      </c>
      <c r="B193" s="449" t="str">
        <f>Master!K108</f>
        <v>10-051</v>
      </c>
      <c r="C193" s="449" t="str">
        <f>Master!L108</f>
        <v>B</v>
      </c>
      <c r="D193" s="449" t="str">
        <f>Master!M108</f>
        <v>6A</v>
      </c>
    </row>
    <row r="194" spans="1:4" x14ac:dyDescent="0.25">
      <c r="A194" s="448" t="str">
        <f>Master!J109</f>
        <v>P134</v>
      </c>
      <c r="B194" s="449" t="str">
        <f>Master!K109</f>
        <v>10-052</v>
      </c>
      <c r="C194" s="449" t="str">
        <f>Master!L109</f>
        <v>B</v>
      </c>
      <c r="D194" s="449" t="str">
        <f>Master!M109</f>
        <v>6B</v>
      </c>
    </row>
    <row r="195" spans="1:4" x14ac:dyDescent="0.25">
      <c r="A195" s="448" t="str">
        <f>Master!J110</f>
        <v>P135</v>
      </c>
      <c r="B195" s="449" t="str">
        <f>Master!K110</f>
        <v>10-053</v>
      </c>
      <c r="C195" s="449" t="str">
        <f>Master!L110</f>
        <v>B</v>
      </c>
      <c r="D195" s="449" t="str">
        <f>Master!M110</f>
        <v>6A</v>
      </c>
    </row>
    <row r="196" spans="1:4" x14ac:dyDescent="0.25">
      <c r="A196" s="448" t="str">
        <f>Master!J111</f>
        <v>P136</v>
      </c>
      <c r="B196" s="449" t="str">
        <f>Master!K111</f>
        <v>10-054</v>
      </c>
      <c r="C196" s="449" t="str">
        <f>Master!L111</f>
        <v>B</v>
      </c>
      <c r="D196" s="449" t="str">
        <f>Master!M111</f>
        <v>6B</v>
      </c>
    </row>
    <row r="197" spans="1:4" x14ac:dyDescent="0.25">
      <c r="A197" s="448" t="str">
        <f>Master!J112</f>
        <v>P137</v>
      </c>
      <c r="B197" s="449" t="str">
        <f>Master!K112</f>
        <v>10-055</v>
      </c>
      <c r="C197" s="449" t="str">
        <f>Master!L112</f>
        <v>B</v>
      </c>
      <c r="D197" s="449" t="str">
        <f>Master!M112</f>
        <v>6A</v>
      </c>
    </row>
    <row r="198" spans="1:4" x14ac:dyDescent="0.25">
      <c r="A198" s="448" t="str">
        <f>Master!J113</f>
        <v>P138</v>
      </c>
      <c r="B198" s="449" t="str">
        <f>Master!K113</f>
        <v>10-056</v>
      </c>
      <c r="C198" s="449" t="str">
        <f>Master!L113</f>
        <v>B</v>
      </c>
      <c r="D198" s="449" t="str">
        <f>Master!M113</f>
        <v>6B</v>
      </c>
    </row>
    <row r="199" spans="1:4" x14ac:dyDescent="0.25">
      <c r="A199" s="448" t="str">
        <f>Master!J114</f>
        <v>P139</v>
      </c>
      <c r="B199" s="449" t="str">
        <f>Master!K114</f>
        <v>10-057</v>
      </c>
      <c r="C199" s="449" t="str">
        <f>Master!L114</f>
        <v>B</v>
      </c>
      <c r="D199" s="449" t="str">
        <f>Master!M114</f>
        <v>6A</v>
      </c>
    </row>
    <row r="200" spans="1:4" x14ac:dyDescent="0.25">
      <c r="A200" s="448" t="str">
        <f>Master!J115</f>
        <v>P140</v>
      </c>
      <c r="B200" s="449" t="str">
        <f>Master!K115</f>
        <v>10-058</v>
      </c>
      <c r="C200" s="449" t="str">
        <f>Master!L115</f>
        <v>B</v>
      </c>
      <c r="D200" s="449" t="str">
        <f>Master!M115</f>
        <v>6B</v>
      </c>
    </row>
    <row r="201" spans="1:4" x14ac:dyDescent="0.25">
      <c r="A201" s="448" t="str">
        <f>Master!J116</f>
        <v>P141</v>
      </c>
      <c r="B201" s="449" t="str">
        <f>Master!K116</f>
        <v>10-059</v>
      </c>
      <c r="C201" s="449" t="str">
        <f>Master!L116</f>
        <v>B</v>
      </c>
      <c r="D201" s="449" t="str">
        <f>Master!M116</f>
        <v>6A</v>
      </c>
    </row>
    <row r="202" spans="1:4" x14ac:dyDescent="0.25">
      <c r="A202" s="448" t="str">
        <f>Master!J117</f>
        <v>P142</v>
      </c>
      <c r="B202" s="449" t="str">
        <f>Master!K117</f>
        <v>10-060</v>
      </c>
      <c r="C202" s="449" t="str">
        <f>Master!L117</f>
        <v>B</v>
      </c>
      <c r="D202" s="449" t="str">
        <f>Master!M117</f>
        <v>6B</v>
      </c>
    </row>
    <row r="203" spans="1:4" x14ac:dyDescent="0.25">
      <c r="A203" s="448" t="str">
        <f>Master!J118</f>
        <v>P143</v>
      </c>
      <c r="B203" s="449" t="str">
        <f>Master!K118</f>
        <v>10-061</v>
      </c>
      <c r="C203" s="449" t="str">
        <f>Master!L118</f>
        <v>B</v>
      </c>
      <c r="D203" s="449" t="str">
        <f>Master!M118</f>
        <v>6A</v>
      </c>
    </row>
    <row r="204" spans="1:4" x14ac:dyDescent="0.25">
      <c r="A204" s="448" t="str">
        <f>Master!J119</f>
        <v>P144</v>
      </c>
      <c r="B204" s="449" t="str">
        <f>Master!K119</f>
        <v>10-062</v>
      </c>
      <c r="C204" s="449" t="str">
        <f>Master!L119</f>
        <v>B</v>
      </c>
      <c r="D204" s="449" t="str">
        <f>Master!M119</f>
        <v>6B</v>
      </c>
    </row>
    <row r="205" spans="1:4" x14ac:dyDescent="0.25">
      <c r="A205" s="448" t="str">
        <f>Master!J120</f>
        <v>P145</v>
      </c>
      <c r="B205" s="449" t="str">
        <f>Master!K120</f>
        <v>10-063</v>
      </c>
      <c r="C205" s="449" t="str">
        <f>Master!L120</f>
        <v>B</v>
      </c>
      <c r="D205" s="449" t="str">
        <f>Master!M120</f>
        <v>6A</v>
      </c>
    </row>
    <row r="206" spans="1:4" x14ac:dyDescent="0.25">
      <c r="A206" s="448" t="str">
        <f>Master!J121</f>
        <v>P146</v>
      </c>
      <c r="B206" s="449" t="str">
        <f>Master!K121</f>
        <v>10-064</v>
      </c>
      <c r="C206" s="449" t="str">
        <f>Master!L121</f>
        <v>B</v>
      </c>
      <c r="D206" s="449" t="str">
        <f>Master!M121</f>
        <v>6B</v>
      </c>
    </row>
    <row r="207" spans="1:4" x14ac:dyDescent="0.25">
      <c r="A207" s="448" t="str">
        <f>Master!J122</f>
        <v>P147</v>
      </c>
      <c r="B207" s="449" t="str">
        <f>Master!K122</f>
        <v>10-065</v>
      </c>
      <c r="C207" s="449" t="str">
        <f>Master!L122</f>
        <v>B</v>
      </c>
      <c r="D207" s="449" t="str">
        <f>Master!M122</f>
        <v>6A</v>
      </c>
    </row>
    <row r="208" spans="1:4" x14ac:dyDescent="0.25">
      <c r="A208" s="448" t="str">
        <f>Master!J123</f>
        <v>P148</v>
      </c>
      <c r="B208" s="449" t="str">
        <f>Master!K123</f>
        <v>10-066</v>
      </c>
      <c r="C208" s="449" t="str">
        <f>Master!L123</f>
        <v>B</v>
      </c>
      <c r="D208" s="449" t="str">
        <f>Master!M123</f>
        <v>6B</v>
      </c>
    </row>
    <row r="209" spans="1:4" x14ac:dyDescent="0.25">
      <c r="A209" s="448" t="str">
        <f>Master!J124</f>
        <v>P149</v>
      </c>
      <c r="B209" s="449" t="str">
        <f>Master!K124</f>
        <v>10-067</v>
      </c>
      <c r="C209" s="449" t="str">
        <f>Master!L124</f>
        <v>B</v>
      </c>
      <c r="D209" s="449" t="str">
        <f>Master!M124</f>
        <v>6A</v>
      </c>
    </row>
    <row r="210" spans="1:4" x14ac:dyDescent="0.25">
      <c r="A210" s="448" t="str">
        <f>Master!J125</f>
        <v>P150</v>
      </c>
      <c r="B210" s="449" t="str">
        <f>Master!K125</f>
        <v>10-068</v>
      </c>
      <c r="C210" s="449" t="str">
        <f>Master!L125</f>
        <v>B</v>
      </c>
      <c r="D210" s="449" t="str">
        <f>Master!M125</f>
        <v>6B</v>
      </c>
    </row>
    <row r="211" spans="1:4" x14ac:dyDescent="0.25">
      <c r="A211" s="448" t="str">
        <f>Master!J126</f>
        <v>P151</v>
      </c>
      <c r="B211" s="449" t="str">
        <f>Master!K126</f>
        <v>10-069</v>
      </c>
      <c r="C211" s="449" t="str">
        <f>Master!L126</f>
        <v>B</v>
      </c>
      <c r="D211" s="449" t="str">
        <f>Master!M126</f>
        <v>6A</v>
      </c>
    </row>
    <row r="212" spans="1:4" x14ac:dyDescent="0.25">
      <c r="A212" s="448" t="str">
        <f>Master!J127</f>
        <v>P152</v>
      </c>
      <c r="B212" s="449" t="str">
        <f>Master!K127</f>
        <v>10-070</v>
      </c>
      <c r="C212" s="449" t="str">
        <f>Master!L127</f>
        <v>B</v>
      </c>
      <c r="D212" s="449" t="str">
        <f>Master!M127</f>
        <v>6B</v>
      </c>
    </row>
    <row r="213" spans="1:4" x14ac:dyDescent="0.25">
      <c r="A213" s="448" t="str">
        <f>Master!J128</f>
        <v>P153</v>
      </c>
      <c r="B213" s="449" t="str">
        <f>Master!K128</f>
        <v>10-071</v>
      </c>
      <c r="C213" s="449" t="str">
        <f>Master!L128</f>
        <v>B</v>
      </c>
      <c r="D213" s="449" t="str">
        <f>Master!M128</f>
        <v>6A</v>
      </c>
    </row>
    <row r="214" spans="1:4" x14ac:dyDescent="0.25">
      <c r="A214" s="448" t="str">
        <f>Master!J129</f>
        <v>P154</v>
      </c>
      <c r="B214" s="449" t="str">
        <f>Master!K129</f>
        <v>10-072</v>
      </c>
      <c r="C214" s="449" t="str">
        <f>Master!L129</f>
        <v>B</v>
      </c>
      <c r="D214" s="449" t="str">
        <f>Master!M129</f>
        <v>6B</v>
      </c>
    </row>
    <row r="215" spans="1:4" x14ac:dyDescent="0.25">
      <c r="A215" s="448" t="str">
        <f>Master!J130</f>
        <v>P155</v>
      </c>
      <c r="B215" s="449" t="str">
        <f>Master!K130</f>
        <v>10-073</v>
      </c>
      <c r="C215" s="449" t="str">
        <f>Master!L130</f>
        <v>B</v>
      </c>
      <c r="D215" s="449" t="str">
        <f>Master!M130</f>
        <v>6A</v>
      </c>
    </row>
    <row r="216" spans="1:4" x14ac:dyDescent="0.25">
      <c r="A216" s="448" t="str">
        <f>Master!J131</f>
        <v>P156</v>
      </c>
      <c r="B216" s="449" t="str">
        <f>Master!K131</f>
        <v>10-074</v>
      </c>
      <c r="C216" s="449" t="str">
        <f>Master!L131</f>
        <v>B</v>
      </c>
      <c r="D216" s="449" t="str">
        <f>Master!M131</f>
        <v>6B</v>
      </c>
    </row>
    <row r="217" spans="1:4" x14ac:dyDescent="0.25">
      <c r="A217" s="448" t="str">
        <f>Master!J132</f>
        <v>P157</v>
      </c>
      <c r="B217" s="449" t="str">
        <f>Master!K132</f>
        <v>10-075</v>
      </c>
      <c r="C217" s="449" t="str">
        <f>Master!L132</f>
        <v>B</v>
      </c>
      <c r="D217" s="449" t="str">
        <f>Master!M132</f>
        <v>6A</v>
      </c>
    </row>
    <row r="218" spans="1:4" x14ac:dyDescent="0.25">
      <c r="A218" s="448" t="str">
        <f>Master!J133</f>
        <v>P158</v>
      </c>
      <c r="B218" s="449" t="str">
        <f>Master!K133</f>
        <v>10-076</v>
      </c>
      <c r="C218" s="449" t="str">
        <f>Master!L133</f>
        <v>B</v>
      </c>
      <c r="D218" s="449" t="str">
        <f>Master!M133</f>
        <v>6B</v>
      </c>
    </row>
    <row r="219" spans="1:4" x14ac:dyDescent="0.25">
      <c r="A219" s="448" t="str">
        <f>Master!J134</f>
        <v>P159</v>
      </c>
      <c r="B219" s="449" t="str">
        <f>Master!K134</f>
        <v>10-077</v>
      </c>
      <c r="C219" s="449" t="str">
        <f>Master!L134</f>
        <v>B</v>
      </c>
      <c r="D219" s="449" t="str">
        <f>Master!M134</f>
        <v>6A</v>
      </c>
    </row>
    <row r="220" spans="1:4" x14ac:dyDescent="0.25">
      <c r="A220" s="448" t="str">
        <f>Master!J135</f>
        <v>P160</v>
      </c>
      <c r="B220" s="449" t="str">
        <f>Master!K135</f>
        <v>10-078</v>
      </c>
      <c r="C220" s="449" t="str">
        <f>Master!L135</f>
        <v>B</v>
      </c>
      <c r="D220" s="449" t="str">
        <f>Master!M135</f>
        <v>6B</v>
      </c>
    </row>
    <row r="221" spans="1:4" x14ac:dyDescent="0.25">
      <c r="A221" s="448" t="str">
        <f>Master!J136</f>
        <v>P161</v>
      </c>
      <c r="B221" s="449" t="str">
        <f>Master!K136</f>
        <v>10-079</v>
      </c>
      <c r="C221" s="449" t="str">
        <f>Master!L136</f>
        <v>B</v>
      </c>
      <c r="D221" s="449" t="str">
        <f>Master!M136</f>
        <v>6A</v>
      </c>
    </row>
    <row r="222" spans="1:4" x14ac:dyDescent="0.25">
      <c r="A222" s="448" t="str">
        <f>Master!J137</f>
        <v>P162</v>
      </c>
      <c r="B222" s="449" t="str">
        <f>Master!K137</f>
        <v>10-080</v>
      </c>
      <c r="C222" s="449" t="str">
        <f>Master!L137</f>
        <v>B</v>
      </c>
      <c r="D222" s="449" t="str">
        <f>Master!M137</f>
        <v>6B</v>
      </c>
    </row>
    <row r="223" spans="1:4" x14ac:dyDescent="0.25">
      <c r="A223" s="448" t="str">
        <f>Master!J138</f>
        <v>P163</v>
      </c>
      <c r="B223" s="449" t="str">
        <f>Master!K138</f>
        <v>10-081</v>
      </c>
      <c r="C223" s="449" t="str">
        <f>Master!L138</f>
        <v>B</v>
      </c>
      <c r="D223" s="449" t="str">
        <f>Master!M138</f>
        <v>6A</v>
      </c>
    </row>
    <row r="224" spans="1:4" x14ac:dyDescent="0.25">
      <c r="A224" s="448" t="str">
        <f>Master!J139</f>
        <v>P164</v>
      </c>
      <c r="B224" s="449" t="str">
        <f>Master!K139</f>
        <v>10-082</v>
      </c>
      <c r="C224" s="449" t="str">
        <f>Master!L139</f>
        <v>B</v>
      </c>
      <c r="D224" s="449" t="str">
        <f>Master!M139</f>
        <v>6B</v>
      </c>
    </row>
  </sheetData>
  <mergeCells count="8">
    <mergeCell ref="AM20:AM35"/>
    <mergeCell ref="B59:D59"/>
    <mergeCell ref="P20:P56"/>
    <mergeCell ref="AI20:AI21"/>
    <mergeCell ref="V20:V23"/>
    <mergeCell ref="AE20:AE119"/>
    <mergeCell ref="AA20:AA23"/>
    <mergeCell ref="AF20:AF119"/>
  </mergeCells>
  <hyperlinks>
    <hyperlink ref="Z23" r:id="rId1" xr:uid="{963A99E4-B7D3-4DBB-84A0-F30FB30D123E}"/>
    <hyperlink ref="Z22" r:id="rId2" xr:uid="{B4215F91-C64F-4962-BA9F-19554897BF9A}"/>
    <hyperlink ref="Z21" r:id="rId3" xr:uid="{E7E331EB-F054-4796-9614-2D9DA69D0C32}"/>
    <hyperlink ref="Z20" r:id="rId4" xr:uid="{5BFBA1DA-D2A4-4222-9104-E738E5C086A3}"/>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W238"/>
  <sheetViews>
    <sheetView zoomScale="80" zoomScaleNormal="80" workbookViewId="0">
      <selection activeCell="AW34" sqref="AW34"/>
    </sheetView>
  </sheetViews>
  <sheetFormatPr defaultColWidth="9.140625" defaultRowHeight="15" x14ac:dyDescent="0.25"/>
  <cols>
    <col min="1" max="1" width="9.7109375" style="82" bestFit="1" customWidth="1"/>
    <col min="2" max="2" width="8.7109375" style="82" customWidth="1"/>
    <col min="3" max="3" width="9.28515625" style="82" customWidth="1"/>
    <col min="4" max="40" width="8.7109375" style="82" customWidth="1"/>
    <col min="41" max="16384" width="9.140625" style="82"/>
  </cols>
  <sheetData>
    <row r="1" spans="1:18" ht="18.75" x14ac:dyDescent="0.3">
      <c r="A1" s="94" t="s">
        <v>968</v>
      </c>
    </row>
    <row r="3" spans="1:18" ht="51" customHeight="1" x14ac:dyDescent="0.25">
      <c r="A3" s="95" t="s">
        <v>966</v>
      </c>
      <c r="B3" s="653" t="s">
        <v>106</v>
      </c>
      <c r="C3" s="654"/>
      <c r="D3" s="671" t="s">
        <v>967</v>
      </c>
      <c r="E3" s="671"/>
      <c r="G3" s="664" t="s">
        <v>969</v>
      </c>
      <c r="H3" s="664"/>
      <c r="I3" s="664"/>
      <c r="J3" s="664"/>
      <c r="K3" s="664"/>
      <c r="M3" s="681" t="s">
        <v>970</v>
      </c>
      <c r="N3" s="681"/>
      <c r="O3" s="681"/>
      <c r="P3" s="681"/>
      <c r="Q3" s="681"/>
      <c r="R3" s="681"/>
    </row>
    <row r="4" spans="1:18" ht="16.5" customHeight="1" x14ac:dyDescent="0.25">
      <c r="A4" s="96" t="s">
        <v>29</v>
      </c>
      <c r="B4" s="655">
        <v>1000</v>
      </c>
      <c r="C4" s="656"/>
      <c r="D4" s="662">
        <v>1</v>
      </c>
      <c r="E4" s="662"/>
      <c r="G4" s="660" t="s">
        <v>971</v>
      </c>
      <c r="H4" s="660"/>
      <c r="I4" s="660"/>
      <c r="J4" s="660"/>
      <c r="K4" s="660"/>
      <c r="M4" s="680"/>
      <c r="N4" s="680"/>
      <c r="O4" s="680" t="s">
        <v>972</v>
      </c>
      <c r="P4" s="680"/>
      <c r="Q4" s="680" t="s">
        <v>973</v>
      </c>
      <c r="R4" s="680"/>
    </row>
    <row r="5" spans="1:18" ht="16.5" customHeight="1" x14ac:dyDescent="0.25">
      <c r="A5" s="96" t="s">
        <v>30</v>
      </c>
      <c r="B5" s="655">
        <v>333.33333333333331</v>
      </c>
      <c r="C5" s="656"/>
      <c r="D5" s="662">
        <v>1</v>
      </c>
      <c r="E5" s="662"/>
      <c r="G5" s="659" t="s">
        <v>964</v>
      </c>
      <c r="H5" s="659"/>
      <c r="I5" s="659"/>
      <c r="J5" s="659"/>
      <c r="K5" s="659"/>
      <c r="M5" s="680" t="s">
        <v>404</v>
      </c>
      <c r="N5" s="680"/>
      <c r="O5" s="679">
        <v>1</v>
      </c>
      <c r="P5" s="679"/>
      <c r="Q5" s="679">
        <v>48</v>
      </c>
      <c r="R5" s="679"/>
    </row>
    <row r="6" spans="1:18" ht="16.5" customHeight="1" x14ac:dyDescent="0.25">
      <c r="A6" s="96" t="s">
        <v>31</v>
      </c>
      <c r="B6" s="655">
        <v>111.11111111111111</v>
      </c>
      <c r="C6" s="656"/>
      <c r="D6" s="662">
        <v>1</v>
      </c>
      <c r="E6" s="662"/>
      <c r="G6" s="660" t="s">
        <v>974</v>
      </c>
      <c r="H6" s="660"/>
      <c r="I6" s="660"/>
      <c r="J6" s="660"/>
      <c r="K6" s="660"/>
      <c r="M6" s="680" t="s">
        <v>405</v>
      </c>
      <c r="N6" s="680"/>
      <c r="O6" s="679"/>
      <c r="P6" s="679"/>
      <c r="Q6" s="679"/>
      <c r="R6" s="679"/>
    </row>
    <row r="7" spans="1:18" ht="16.5" customHeight="1" x14ac:dyDescent="0.25">
      <c r="A7" s="96" t="s">
        <v>32</v>
      </c>
      <c r="B7" s="655">
        <v>37.037037037037038</v>
      </c>
      <c r="C7" s="656"/>
      <c r="D7" s="662">
        <v>1</v>
      </c>
      <c r="E7" s="662"/>
      <c r="G7" s="659" t="s">
        <v>718</v>
      </c>
      <c r="H7" s="659"/>
      <c r="I7" s="659"/>
      <c r="J7" s="659"/>
      <c r="K7" s="659"/>
      <c r="M7" s="680" t="s">
        <v>406</v>
      </c>
      <c r="N7" s="680"/>
      <c r="O7" s="679"/>
      <c r="P7" s="679"/>
      <c r="Q7" s="679"/>
      <c r="R7" s="679"/>
    </row>
    <row r="8" spans="1:18" ht="16.5" customHeight="1" x14ac:dyDescent="0.25">
      <c r="A8" s="96" t="s">
        <v>33</v>
      </c>
      <c r="B8" s="655">
        <v>12.345679012345679</v>
      </c>
      <c r="C8" s="656"/>
      <c r="D8" s="662">
        <v>1</v>
      </c>
      <c r="E8" s="662"/>
    </row>
    <row r="9" spans="1:18" ht="16.5" customHeight="1" x14ac:dyDescent="0.25">
      <c r="A9" s="96" t="s">
        <v>34</v>
      </c>
      <c r="B9" s="655">
        <v>4.1152263374485596</v>
      </c>
      <c r="C9" s="656"/>
      <c r="D9" s="662">
        <v>1</v>
      </c>
      <c r="E9" s="662"/>
    </row>
    <row r="10" spans="1:18" ht="15" customHeight="1" x14ac:dyDescent="0.25">
      <c r="A10" s="96" t="s">
        <v>35</v>
      </c>
      <c r="B10" s="655">
        <v>1.3717421124828533</v>
      </c>
      <c r="C10" s="656"/>
      <c r="D10" s="662">
        <v>1</v>
      </c>
      <c r="E10" s="662"/>
    </row>
    <row r="11" spans="1:18" ht="15" customHeight="1" x14ac:dyDescent="0.25">
      <c r="A11" s="96" t="s">
        <v>36</v>
      </c>
      <c r="B11" s="655"/>
      <c r="C11" s="656"/>
      <c r="D11" s="662">
        <v>1</v>
      </c>
      <c r="E11" s="662"/>
      <c r="G11" s="660" t="s">
        <v>41</v>
      </c>
      <c r="H11" s="660"/>
      <c r="I11" s="660" t="s">
        <v>975</v>
      </c>
      <c r="J11" s="660"/>
      <c r="K11" s="660"/>
    </row>
    <row r="12" spans="1:18" x14ac:dyDescent="0.25">
      <c r="A12" s="96" t="s">
        <v>48</v>
      </c>
      <c r="B12" s="655"/>
      <c r="C12" s="656"/>
      <c r="D12" s="662">
        <v>1</v>
      </c>
      <c r="E12" s="662"/>
      <c r="G12" s="660" t="s">
        <v>40</v>
      </c>
      <c r="H12" s="660"/>
      <c r="I12" s="661" t="s">
        <v>976</v>
      </c>
      <c r="J12" s="661"/>
      <c r="K12" s="661"/>
    </row>
    <row r="13" spans="1:18" ht="16.5" customHeight="1" x14ac:dyDescent="0.25">
      <c r="A13" s="96" t="s">
        <v>49</v>
      </c>
      <c r="B13" s="655"/>
      <c r="C13" s="656"/>
      <c r="D13" s="662">
        <v>1</v>
      </c>
      <c r="E13" s="662"/>
      <c r="G13" s="660" t="s">
        <v>52</v>
      </c>
      <c r="H13" s="660"/>
      <c r="I13" s="663" t="s">
        <v>977</v>
      </c>
      <c r="J13" s="663"/>
      <c r="K13" s="663"/>
    </row>
    <row r="14" spans="1:18" x14ac:dyDescent="0.25">
      <c r="A14" s="96" t="s">
        <v>50</v>
      </c>
      <c r="B14" s="655"/>
      <c r="C14" s="656"/>
      <c r="D14" s="662">
        <v>1</v>
      </c>
      <c r="E14" s="662"/>
      <c r="G14" s="658" t="s">
        <v>978</v>
      </c>
      <c r="H14" s="658"/>
      <c r="I14" s="682" t="s">
        <v>228</v>
      </c>
      <c r="J14" s="682"/>
      <c r="K14" s="682"/>
    </row>
    <row r="15" spans="1:18" x14ac:dyDescent="0.25">
      <c r="A15" s="96" t="s">
        <v>51</v>
      </c>
      <c r="B15" s="655"/>
      <c r="C15" s="656"/>
      <c r="D15" s="662">
        <v>1</v>
      </c>
      <c r="E15" s="662"/>
    </row>
    <row r="16" spans="1:18" x14ac:dyDescent="0.25">
      <c r="A16" s="96" t="s">
        <v>98</v>
      </c>
      <c r="B16" s="655"/>
      <c r="C16" s="656"/>
      <c r="D16" s="662">
        <v>1</v>
      </c>
      <c r="E16" s="662"/>
    </row>
    <row r="17" spans="1:49" ht="15.75" x14ac:dyDescent="0.25">
      <c r="A17" s="96" t="s">
        <v>99</v>
      </c>
      <c r="B17" s="655"/>
      <c r="C17" s="656"/>
      <c r="D17" s="662">
        <v>1</v>
      </c>
      <c r="E17" s="662"/>
      <c r="G17" s="665" t="s">
        <v>979</v>
      </c>
      <c r="H17" s="666"/>
      <c r="I17" s="666"/>
      <c r="J17" s="666"/>
      <c r="K17" s="667"/>
    </row>
    <row r="18" spans="1:49" ht="15.75" x14ac:dyDescent="0.25">
      <c r="A18" s="96" t="s">
        <v>100</v>
      </c>
      <c r="B18" s="655"/>
      <c r="C18" s="656"/>
      <c r="D18" s="662">
        <v>1</v>
      </c>
      <c r="E18" s="662"/>
      <c r="G18" s="668" t="s">
        <v>980</v>
      </c>
      <c r="H18" s="669"/>
      <c r="I18" s="669"/>
      <c r="J18" s="669"/>
      <c r="K18" s="670"/>
    </row>
    <row r="19" spans="1:49" x14ac:dyDescent="0.25">
      <c r="A19" s="96" t="s">
        <v>101</v>
      </c>
      <c r="B19" s="657"/>
      <c r="C19" s="657"/>
      <c r="D19" s="662">
        <v>1</v>
      </c>
      <c r="E19" s="662"/>
    </row>
    <row r="20" spans="1:49" x14ac:dyDescent="0.25">
      <c r="A20" s="97"/>
      <c r="B20" s="98"/>
      <c r="C20" s="98"/>
      <c r="D20" s="99"/>
      <c r="J20" s="100"/>
      <c r="K20" s="100"/>
      <c r="L20" s="100"/>
      <c r="M20" s="100"/>
      <c r="N20" s="100"/>
      <c r="O20" s="100"/>
      <c r="P20" s="100"/>
      <c r="Q20" s="100"/>
      <c r="R20" s="100"/>
      <c r="S20" s="100"/>
      <c r="T20" s="100"/>
      <c r="U20" s="100"/>
      <c r="AA20" s="100"/>
    </row>
    <row r="21" spans="1:49" x14ac:dyDescent="0.25">
      <c r="A21" s="243" t="s">
        <v>981</v>
      </c>
      <c r="B21" s="657">
        <v>3</v>
      </c>
      <c r="C21" s="657"/>
      <c r="D21" s="99"/>
      <c r="J21" s="100"/>
      <c r="K21" s="100"/>
      <c r="L21" s="100"/>
      <c r="M21" s="100"/>
      <c r="N21" s="100"/>
      <c r="O21" s="100"/>
      <c r="P21" s="100"/>
      <c r="Q21" s="100"/>
      <c r="R21" s="100"/>
      <c r="S21" s="100"/>
      <c r="T21" s="100"/>
      <c r="U21" s="100"/>
      <c r="AA21" s="100"/>
    </row>
    <row r="22" spans="1:49" x14ac:dyDescent="0.25">
      <c r="A22" s="97"/>
      <c r="B22" s="98"/>
      <c r="C22" s="98"/>
      <c r="D22" s="99"/>
      <c r="J22" s="100"/>
      <c r="K22" s="100"/>
      <c r="L22" s="100"/>
      <c r="M22" s="100"/>
      <c r="N22" s="100"/>
      <c r="O22" s="100"/>
      <c r="P22" s="100"/>
      <c r="Q22" s="100"/>
      <c r="R22" s="100"/>
      <c r="S22" s="100"/>
      <c r="T22" s="100"/>
      <c r="U22" s="100"/>
      <c r="AA22" s="100"/>
    </row>
    <row r="23" spans="1:49" ht="13.5" customHeight="1" x14ac:dyDescent="0.25">
      <c r="A23" s="101"/>
      <c r="B23" s="101"/>
      <c r="C23" s="360"/>
      <c r="D23" s="360"/>
    </row>
    <row r="24" spans="1:49" ht="12.75" customHeight="1" x14ac:dyDescent="0.25">
      <c r="A24" s="676" t="s">
        <v>982</v>
      </c>
      <c r="B24" s="677"/>
      <c r="C24" s="677"/>
      <c r="D24" s="677"/>
      <c r="E24" s="677"/>
      <c r="F24" s="677"/>
      <c r="G24" s="677"/>
      <c r="H24" s="677"/>
      <c r="I24" s="677"/>
      <c r="J24" s="677"/>
      <c r="K24" s="677"/>
      <c r="L24" s="677"/>
      <c r="M24" s="677"/>
      <c r="N24" s="677"/>
      <c r="O24" s="677"/>
      <c r="P24" s="677"/>
      <c r="Q24" s="677"/>
      <c r="R24" s="677"/>
      <c r="S24" s="677"/>
      <c r="T24" s="677"/>
      <c r="U24" s="677"/>
      <c r="V24" s="677"/>
      <c r="W24" s="677"/>
      <c r="X24" s="677"/>
      <c r="Y24" s="677"/>
      <c r="Z24" s="677"/>
      <c r="AA24" s="677"/>
      <c r="AB24" s="677"/>
      <c r="AC24" s="677"/>
      <c r="AD24" s="677"/>
      <c r="AE24" s="677"/>
      <c r="AF24" s="677"/>
      <c r="AG24" s="677"/>
      <c r="AH24" s="677"/>
      <c r="AI24" s="677"/>
      <c r="AJ24" s="677"/>
      <c r="AK24" s="677"/>
      <c r="AL24" s="677"/>
      <c r="AM24" s="677"/>
      <c r="AN24" s="677"/>
      <c r="AO24" s="677"/>
      <c r="AP24" s="677"/>
      <c r="AQ24" s="677"/>
      <c r="AR24" s="677"/>
      <c r="AS24" s="677"/>
      <c r="AT24" s="677"/>
      <c r="AU24" s="677"/>
      <c r="AV24" s="677"/>
      <c r="AW24" s="678"/>
    </row>
    <row r="25" spans="1:49" x14ac:dyDescent="0.25">
      <c r="A25" s="346"/>
      <c r="B25" s="658" t="s">
        <v>154</v>
      </c>
      <c r="C25" s="658"/>
      <c r="D25" s="658"/>
      <c r="E25" s="658"/>
      <c r="F25" s="658"/>
      <c r="G25" s="658"/>
      <c r="H25" s="658"/>
      <c r="I25" s="658"/>
      <c r="J25" s="658"/>
      <c r="K25" s="658"/>
      <c r="L25" s="658"/>
      <c r="M25" s="658"/>
      <c r="N25" s="658" t="s">
        <v>155</v>
      </c>
      <c r="O25" s="658"/>
      <c r="P25" s="658"/>
      <c r="Q25" s="658"/>
      <c r="R25" s="658"/>
      <c r="S25" s="658"/>
      <c r="T25" s="658"/>
      <c r="U25" s="658"/>
      <c r="V25" s="658"/>
      <c r="W25" s="658"/>
      <c r="X25" s="658"/>
      <c r="Y25" s="658"/>
      <c r="Z25" s="658" t="s">
        <v>157</v>
      </c>
      <c r="AA25" s="658"/>
      <c r="AB25" s="658"/>
      <c r="AC25" s="658"/>
      <c r="AD25" s="658"/>
      <c r="AE25" s="658"/>
      <c r="AF25" s="658"/>
      <c r="AG25" s="658"/>
      <c r="AH25" s="658"/>
      <c r="AI25" s="658"/>
      <c r="AJ25" s="658"/>
      <c r="AK25" s="658"/>
      <c r="AL25" s="658" t="s">
        <v>157</v>
      </c>
      <c r="AM25" s="658"/>
      <c r="AN25" s="658"/>
      <c r="AO25" s="658"/>
      <c r="AP25" s="658"/>
      <c r="AQ25" s="658"/>
      <c r="AR25" s="658"/>
      <c r="AS25" s="658"/>
      <c r="AT25" s="658"/>
      <c r="AU25" s="658"/>
      <c r="AV25" s="658"/>
      <c r="AW25" s="658"/>
    </row>
    <row r="26" spans="1:49" x14ac:dyDescent="0.25">
      <c r="A26" s="102" t="s">
        <v>983</v>
      </c>
      <c r="B26" s="102" t="s">
        <v>0</v>
      </c>
      <c r="C26" s="102" t="s">
        <v>1</v>
      </c>
      <c r="D26" s="102" t="s">
        <v>2</v>
      </c>
      <c r="E26" s="102" t="s">
        <v>3</v>
      </c>
      <c r="F26" s="102" t="s">
        <v>4</v>
      </c>
      <c r="G26" s="102" t="s">
        <v>5</v>
      </c>
      <c r="H26" s="102" t="s">
        <v>6</v>
      </c>
      <c r="I26" s="102" t="s">
        <v>7</v>
      </c>
      <c r="J26" s="102" t="s">
        <v>8</v>
      </c>
      <c r="K26" s="102" t="s">
        <v>9</v>
      </c>
      <c r="L26" s="102" t="s">
        <v>10</v>
      </c>
      <c r="M26" s="102" t="s">
        <v>11</v>
      </c>
      <c r="N26" s="102" t="s">
        <v>45</v>
      </c>
      <c r="O26" s="102" t="s">
        <v>46</v>
      </c>
      <c r="P26" s="102" t="s">
        <v>47</v>
      </c>
      <c r="Q26" s="102" t="s">
        <v>66</v>
      </c>
      <c r="R26" s="102" t="s">
        <v>67</v>
      </c>
      <c r="S26" s="102" t="s">
        <v>68</v>
      </c>
      <c r="T26" s="102" t="s">
        <v>69</v>
      </c>
      <c r="U26" s="102" t="s">
        <v>70</v>
      </c>
      <c r="V26" s="102" t="s">
        <v>117</v>
      </c>
      <c r="W26" s="102" t="s">
        <v>118</v>
      </c>
      <c r="X26" s="102" t="s">
        <v>119</v>
      </c>
      <c r="Y26" s="102" t="s">
        <v>120</v>
      </c>
      <c r="Z26" s="102" t="s">
        <v>158</v>
      </c>
      <c r="AA26" s="102" t="s">
        <v>159</v>
      </c>
      <c r="AB26" s="102" t="s">
        <v>160</v>
      </c>
      <c r="AC26" s="102" t="s">
        <v>161</v>
      </c>
      <c r="AD26" s="102" t="s">
        <v>162</v>
      </c>
      <c r="AE26" s="102" t="s">
        <v>163</v>
      </c>
      <c r="AF26" s="102" t="s">
        <v>164</v>
      </c>
      <c r="AG26" s="102" t="s">
        <v>165</v>
      </c>
      <c r="AH26" s="102" t="s">
        <v>166</v>
      </c>
      <c r="AI26" s="102" t="s">
        <v>167</v>
      </c>
      <c r="AJ26" s="102" t="s">
        <v>168</v>
      </c>
      <c r="AK26" s="102" t="s">
        <v>169</v>
      </c>
      <c r="AL26" s="102" t="s">
        <v>997</v>
      </c>
      <c r="AM26" s="102" t="s">
        <v>998</v>
      </c>
      <c r="AN26" s="102" t="s">
        <v>999</v>
      </c>
      <c r="AO26" s="102" t="s">
        <v>1000</v>
      </c>
      <c r="AP26" s="102" t="s">
        <v>1001</v>
      </c>
      <c r="AQ26" s="102" t="s">
        <v>1002</v>
      </c>
      <c r="AR26" s="102" t="s">
        <v>1003</v>
      </c>
      <c r="AS26" s="102" t="s">
        <v>1004</v>
      </c>
      <c r="AT26" s="102" t="s">
        <v>1005</v>
      </c>
      <c r="AU26" s="102" t="s">
        <v>1006</v>
      </c>
      <c r="AV26" s="102" t="s">
        <v>1007</v>
      </c>
      <c r="AW26" s="102" t="s">
        <v>1008</v>
      </c>
    </row>
    <row r="27" spans="1:49" x14ac:dyDescent="0.25">
      <c r="A27" s="102" t="s">
        <v>21</v>
      </c>
      <c r="B27" s="373" t="s">
        <v>29</v>
      </c>
      <c r="C27" s="348" t="s">
        <v>84</v>
      </c>
      <c r="D27" s="349" t="s">
        <v>88</v>
      </c>
      <c r="E27" s="349" t="s">
        <v>103</v>
      </c>
      <c r="F27" s="349" t="s">
        <v>126</v>
      </c>
      <c r="G27" s="350" t="s">
        <v>134</v>
      </c>
      <c r="H27" s="349" t="s">
        <v>142</v>
      </c>
      <c r="I27" s="349" t="s">
        <v>150</v>
      </c>
      <c r="J27" s="349" t="s">
        <v>209</v>
      </c>
      <c r="K27" s="350" t="s">
        <v>217</v>
      </c>
      <c r="L27" s="349" t="s">
        <v>237</v>
      </c>
      <c r="M27" s="349" t="s">
        <v>245</v>
      </c>
      <c r="N27" s="349" t="s">
        <v>252</v>
      </c>
      <c r="O27" s="349" t="s">
        <v>244</v>
      </c>
      <c r="P27" s="350" t="s">
        <v>236</v>
      </c>
      <c r="Q27" s="349" t="s">
        <v>216</v>
      </c>
      <c r="R27" s="349" t="s">
        <v>208</v>
      </c>
      <c r="S27" s="349" t="s">
        <v>149</v>
      </c>
      <c r="T27" s="350" t="s">
        <v>141</v>
      </c>
      <c r="U27" s="349" t="s">
        <v>133</v>
      </c>
      <c r="V27" s="349" t="s">
        <v>125</v>
      </c>
      <c r="W27" s="349" t="s">
        <v>102</v>
      </c>
      <c r="X27" s="349" t="s">
        <v>87</v>
      </c>
      <c r="Y27" s="373" t="s">
        <v>228</v>
      </c>
      <c r="Z27" s="373" t="s">
        <v>29</v>
      </c>
      <c r="AA27" s="348" t="s">
        <v>84</v>
      </c>
      <c r="AB27" s="349" t="s">
        <v>255</v>
      </c>
      <c r="AC27" s="349" t="s">
        <v>263</v>
      </c>
      <c r="AD27" s="349" t="s">
        <v>271</v>
      </c>
      <c r="AE27" s="350" t="s">
        <v>279</v>
      </c>
      <c r="AF27" s="349" t="s">
        <v>287</v>
      </c>
      <c r="AG27" s="349" t="s">
        <v>295</v>
      </c>
      <c r="AH27" s="349" t="s">
        <v>303</v>
      </c>
      <c r="AI27" s="350" t="s">
        <v>311</v>
      </c>
      <c r="AJ27" s="349" t="s">
        <v>319</v>
      </c>
      <c r="AK27" s="349" t="s">
        <v>327</v>
      </c>
      <c r="AL27" s="373" t="s">
        <v>334</v>
      </c>
      <c r="AM27" s="349" t="s">
        <v>326</v>
      </c>
      <c r="AN27" s="350" t="s">
        <v>318</v>
      </c>
      <c r="AO27" s="349" t="s">
        <v>310</v>
      </c>
      <c r="AP27" s="349" t="s">
        <v>302</v>
      </c>
      <c r="AQ27" s="349" t="s">
        <v>294</v>
      </c>
      <c r="AR27" s="350" t="s">
        <v>286</v>
      </c>
      <c r="AS27" s="349" t="s">
        <v>278</v>
      </c>
      <c r="AT27" s="349" t="s">
        <v>270</v>
      </c>
      <c r="AU27" s="349" t="s">
        <v>262</v>
      </c>
      <c r="AV27" s="349" t="s">
        <v>254</v>
      </c>
      <c r="AW27" s="373" t="s">
        <v>228</v>
      </c>
    </row>
    <row r="28" spans="1:49" x14ac:dyDescent="0.25">
      <c r="A28" s="102" t="s">
        <v>22</v>
      </c>
      <c r="B28" s="373" t="s">
        <v>30</v>
      </c>
      <c r="C28" s="348" t="s">
        <v>84</v>
      </c>
      <c r="D28" s="349" t="s">
        <v>90</v>
      </c>
      <c r="E28" s="349" t="s">
        <v>104</v>
      </c>
      <c r="F28" s="349" t="s">
        <v>127</v>
      </c>
      <c r="G28" s="350" t="s">
        <v>135</v>
      </c>
      <c r="H28" s="349" t="s">
        <v>143</v>
      </c>
      <c r="I28" s="349" t="s">
        <v>151</v>
      </c>
      <c r="J28" s="349" t="s">
        <v>210</v>
      </c>
      <c r="K28" s="350" t="s">
        <v>218</v>
      </c>
      <c r="L28" s="349" t="s">
        <v>238</v>
      </c>
      <c r="M28" s="349" t="s">
        <v>246</v>
      </c>
      <c r="N28" s="349" t="s">
        <v>251</v>
      </c>
      <c r="O28" s="349" t="s">
        <v>243</v>
      </c>
      <c r="P28" s="350" t="s">
        <v>235</v>
      </c>
      <c r="Q28" s="349" t="s">
        <v>215</v>
      </c>
      <c r="R28" s="349" t="s">
        <v>207</v>
      </c>
      <c r="S28" s="349" t="s">
        <v>148</v>
      </c>
      <c r="T28" s="350" t="s">
        <v>140</v>
      </c>
      <c r="U28" s="349" t="s">
        <v>132</v>
      </c>
      <c r="V28" s="349" t="s">
        <v>124</v>
      </c>
      <c r="W28" s="349" t="s">
        <v>95</v>
      </c>
      <c r="X28" s="349" t="s">
        <v>89</v>
      </c>
      <c r="Y28" s="373" t="s">
        <v>35</v>
      </c>
      <c r="Z28" s="373" t="s">
        <v>30</v>
      </c>
      <c r="AA28" s="348" t="s">
        <v>84</v>
      </c>
      <c r="AB28" s="349" t="s">
        <v>256</v>
      </c>
      <c r="AC28" s="349" t="s">
        <v>264</v>
      </c>
      <c r="AD28" s="349" t="s">
        <v>272</v>
      </c>
      <c r="AE28" s="350" t="s">
        <v>280</v>
      </c>
      <c r="AF28" s="349" t="s">
        <v>288</v>
      </c>
      <c r="AG28" s="349" t="s">
        <v>296</v>
      </c>
      <c r="AH28" s="349" t="s">
        <v>304</v>
      </c>
      <c r="AI28" s="350" t="s">
        <v>312</v>
      </c>
      <c r="AJ28" s="349" t="s">
        <v>320</v>
      </c>
      <c r="AK28" s="349" t="s">
        <v>328</v>
      </c>
      <c r="AL28" s="373" t="s">
        <v>333</v>
      </c>
      <c r="AM28" s="349" t="s">
        <v>325</v>
      </c>
      <c r="AN28" s="350" t="s">
        <v>317</v>
      </c>
      <c r="AO28" s="349" t="s">
        <v>309</v>
      </c>
      <c r="AP28" s="349" t="s">
        <v>301</v>
      </c>
      <c r="AQ28" s="349" t="s">
        <v>293</v>
      </c>
      <c r="AR28" s="350" t="s">
        <v>285</v>
      </c>
      <c r="AS28" s="349" t="s">
        <v>277</v>
      </c>
      <c r="AT28" s="349" t="s">
        <v>269</v>
      </c>
      <c r="AU28" s="349" t="s">
        <v>261</v>
      </c>
      <c r="AV28" s="349" t="s">
        <v>253</v>
      </c>
      <c r="AW28" s="373" t="s">
        <v>35</v>
      </c>
    </row>
    <row r="29" spans="1:49" x14ac:dyDescent="0.25">
      <c r="A29" s="102" t="s">
        <v>23</v>
      </c>
      <c r="B29" s="373" t="s">
        <v>31</v>
      </c>
      <c r="C29" s="171" t="s">
        <v>85</v>
      </c>
      <c r="D29" s="349" t="s">
        <v>91</v>
      </c>
      <c r="E29" s="349" t="s">
        <v>105</v>
      </c>
      <c r="F29" s="349" t="s">
        <v>128</v>
      </c>
      <c r="G29" s="350" t="s">
        <v>136</v>
      </c>
      <c r="H29" s="349" t="s">
        <v>144</v>
      </c>
      <c r="I29" s="349" t="s">
        <v>152</v>
      </c>
      <c r="J29" s="349" t="s">
        <v>211</v>
      </c>
      <c r="K29" s="350" t="s">
        <v>219</v>
      </c>
      <c r="L29" s="349" t="s">
        <v>239</v>
      </c>
      <c r="M29" s="349" t="s">
        <v>247</v>
      </c>
      <c r="N29" s="349" t="s">
        <v>250</v>
      </c>
      <c r="O29" s="349" t="s">
        <v>242</v>
      </c>
      <c r="P29" s="350" t="s">
        <v>234</v>
      </c>
      <c r="Q29" s="349" t="s">
        <v>214</v>
      </c>
      <c r="R29" s="349" t="s">
        <v>206</v>
      </c>
      <c r="S29" s="349" t="s">
        <v>147</v>
      </c>
      <c r="T29" s="350" t="s">
        <v>139</v>
      </c>
      <c r="U29" s="349" t="s">
        <v>131</v>
      </c>
      <c r="V29" s="349" t="s">
        <v>123</v>
      </c>
      <c r="W29" s="349" t="s">
        <v>94</v>
      </c>
      <c r="X29" s="351" t="s">
        <v>86</v>
      </c>
      <c r="Y29" s="373" t="s">
        <v>34</v>
      </c>
      <c r="Z29" s="373" t="s">
        <v>31</v>
      </c>
      <c r="AA29" s="171" t="s">
        <v>85</v>
      </c>
      <c r="AB29" s="349" t="s">
        <v>257</v>
      </c>
      <c r="AC29" s="349" t="s">
        <v>265</v>
      </c>
      <c r="AD29" s="349" t="s">
        <v>273</v>
      </c>
      <c r="AE29" s="350" t="s">
        <v>281</v>
      </c>
      <c r="AF29" s="349" t="s">
        <v>289</v>
      </c>
      <c r="AG29" s="349" t="s">
        <v>297</v>
      </c>
      <c r="AH29" s="349" t="s">
        <v>305</v>
      </c>
      <c r="AI29" s="350" t="s">
        <v>313</v>
      </c>
      <c r="AJ29" s="349" t="s">
        <v>321</v>
      </c>
      <c r="AK29" s="349" t="s">
        <v>329</v>
      </c>
      <c r="AL29" s="373" t="s">
        <v>332</v>
      </c>
      <c r="AM29" s="349" t="s">
        <v>324</v>
      </c>
      <c r="AN29" s="350" t="s">
        <v>316</v>
      </c>
      <c r="AO29" s="349" t="s">
        <v>308</v>
      </c>
      <c r="AP29" s="349" t="s">
        <v>300</v>
      </c>
      <c r="AQ29" s="349" t="s">
        <v>292</v>
      </c>
      <c r="AR29" s="350" t="s">
        <v>284</v>
      </c>
      <c r="AS29" s="349" t="s">
        <v>276</v>
      </c>
      <c r="AT29" s="349" t="s">
        <v>268</v>
      </c>
      <c r="AU29" s="349" t="s">
        <v>260</v>
      </c>
      <c r="AV29" s="351" t="s">
        <v>86</v>
      </c>
      <c r="AW29" s="373" t="s">
        <v>34</v>
      </c>
    </row>
    <row r="30" spans="1:49" x14ac:dyDescent="0.25">
      <c r="A30" s="102" t="s">
        <v>24</v>
      </c>
      <c r="B30" s="373" t="s">
        <v>32</v>
      </c>
      <c r="C30" s="171" t="s">
        <v>85</v>
      </c>
      <c r="D30" s="349" t="s">
        <v>92</v>
      </c>
      <c r="E30" s="349" t="s">
        <v>121</v>
      </c>
      <c r="F30" s="349" t="s">
        <v>129</v>
      </c>
      <c r="G30" s="350" t="s">
        <v>137</v>
      </c>
      <c r="H30" s="349" t="s">
        <v>145</v>
      </c>
      <c r="I30" s="349" t="s">
        <v>204</v>
      </c>
      <c r="J30" s="349" t="s">
        <v>212</v>
      </c>
      <c r="K30" s="350" t="s">
        <v>232</v>
      </c>
      <c r="L30" s="349" t="s">
        <v>240</v>
      </c>
      <c r="M30" s="349" t="s">
        <v>248</v>
      </c>
      <c r="N30" s="349" t="s">
        <v>249</v>
      </c>
      <c r="O30" s="349" t="s">
        <v>241</v>
      </c>
      <c r="P30" s="350" t="s">
        <v>233</v>
      </c>
      <c r="Q30" s="349" t="s">
        <v>213</v>
      </c>
      <c r="R30" s="349" t="s">
        <v>205</v>
      </c>
      <c r="S30" s="349" t="s">
        <v>146</v>
      </c>
      <c r="T30" s="350" t="s">
        <v>138</v>
      </c>
      <c r="U30" s="349" t="s">
        <v>130</v>
      </c>
      <c r="V30" s="349" t="s">
        <v>122</v>
      </c>
      <c r="W30" s="349" t="s">
        <v>93</v>
      </c>
      <c r="X30" s="351" t="s">
        <v>86</v>
      </c>
      <c r="Y30" s="373" t="s">
        <v>33</v>
      </c>
      <c r="Z30" s="373" t="s">
        <v>32</v>
      </c>
      <c r="AA30" s="171" t="s">
        <v>85</v>
      </c>
      <c r="AB30" s="349" t="s">
        <v>258</v>
      </c>
      <c r="AC30" s="349" t="s">
        <v>266</v>
      </c>
      <c r="AD30" s="349" t="s">
        <v>274</v>
      </c>
      <c r="AE30" s="350" t="s">
        <v>282</v>
      </c>
      <c r="AF30" s="349" t="s">
        <v>290</v>
      </c>
      <c r="AG30" s="349" t="s">
        <v>298</v>
      </c>
      <c r="AH30" s="349" t="s">
        <v>306</v>
      </c>
      <c r="AI30" s="350" t="s">
        <v>314</v>
      </c>
      <c r="AJ30" s="349" t="s">
        <v>322</v>
      </c>
      <c r="AK30" s="349" t="s">
        <v>330</v>
      </c>
      <c r="AL30" s="373" t="s">
        <v>331</v>
      </c>
      <c r="AM30" s="349" t="s">
        <v>323</v>
      </c>
      <c r="AN30" s="350" t="s">
        <v>315</v>
      </c>
      <c r="AO30" s="349" t="s">
        <v>307</v>
      </c>
      <c r="AP30" s="349" t="s">
        <v>299</v>
      </c>
      <c r="AQ30" s="349" t="s">
        <v>291</v>
      </c>
      <c r="AR30" s="350" t="s">
        <v>283</v>
      </c>
      <c r="AS30" s="349" t="s">
        <v>275</v>
      </c>
      <c r="AT30" s="349" t="s">
        <v>267</v>
      </c>
      <c r="AU30" s="349" t="s">
        <v>259</v>
      </c>
      <c r="AV30" s="351" t="s">
        <v>86</v>
      </c>
      <c r="AW30" s="373" t="s">
        <v>33</v>
      </c>
    </row>
    <row r="31" spans="1:49" x14ac:dyDescent="0.25">
      <c r="A31" s="102" t="s">
        <v>25</v>
      </c>
      <c r="B31" s="373" t="s">
        <v>33</v>
      </c>
      <c r="C31" s="351" t="s">
        <v>86</v>
      </c>
      <c r="D31" s="349" t="s">
        <v>93</v>
      </c>
      <c r="E31" s="349" t="s">
        <v>122</v>
      </c>
      <c r="F31" s="349" t="s">
        <v>130</v>
      </c>
      <c r="G31" s="350" t="s">
        <v>138</v>
      </c>
      <c r="H31" s="349" t="s">
        <v>146</v>
      </c>
      <c r="I31" s="349" t="s">
        <v>205</v>
      </c>
      <c r="J31" s="349" t="s">
        <v>213</v>
      </c>
      <c r="K31" s="350" t="s">
        <v>233</v>
      </c>
      <c r="L31" s="349" t="s">
        <v>241</v>
      </c>
      <c r="M31" s="349" t="s">
        <v>249</v>
      </c>
      <c r="N31" s="349" t="s">
        <v>248</v>
      </c>
      <c r="O31" s="349" t="s">
        <v>240</v>
      </c>
      <c r="P31" s="350" t="s">
        <v>232</v>
      </c>
      <c r="Q31" s="349" t="s">
        <v>212</v>
      </c>
      <c r="R31" s="349" t="s">
        <v>204</v>
      </c>
      <c r="S31" s="349" t="s">
        <v>145</v>
      </c>
      <c r="T31" s="350" t="s">
        <v>137</v>
      </c>
      <c r="U31" s="349" t="s">
        <v>129</v>
      </c>
      <c r="V31" s="349" t="s">
        <v>121</v>
      </c>
      <c r="W31" s="349" t="s">
        <v>92</v>
      </c>
      <c r="X31" s="171" t="s">
        <v>85</v>
      </c>
      <c r="Y31" s="373" t="s">
        <v>32</v>
      </c>
      <c r="Z31" s="373" t="s">
        <v>33</v>
      </c>
      <c r="AA31" s="351" t="s">
        <v>86</v>
      </c>
      <c r="AB31" s="349" t="s">
        <v>259</v>
      </c>
      <c r="AC31" s="349" t="s">
        <v>267</v>
      </c>
      <c r="AD31" s="349" t="s">
        <v>275</v>
      </c>
      <c r="AE31" s="350" t="s">
        <v>283</v>
      </c>
      <c r="AF31" s="349" t="s">
        <v>291</v>
      </c>
      <c r="AG31" s="349" t="s">
        <v>299</v>
      </c>
      <c r="AH31" s="349" t="s">
        <v>307</v>
      </c>
      <c r="AI31" s="350" t="s">
        <v>315</v>
      </c>
      <c r="AJ31" s="349" t="s">
        <v>323</v>
      </c>
      <c r="AK31" s="349" t="s">
        <v>331</v>
      </c>
      <c r="AL31" s="373" t="s">
        <v>330</v>
      </c>
      <c r="AM31" s="349" t="s">
        <v>322</v>
      </c>
      <c r="AN31" s="350" t="s">
        <v>314</v>
      </c>
      <c r="AO31" s="349" t="s">
        <v>306</v>
      </c>
      <c r="AP31" s="349" t="s">
        <v>298</v>
      </c>
      <c r="AQ31" s="349" t="s">
        <v>290</v>
      </c>
      <c r="AR31" s="350" t="s">
        <v>282</v>
      </c>
      <c r="AS31" s="349" t="s">
        <v>274</v>
      </c>
      <c r="AT31" s="349" t="s">
        <v>266</v>
      </c>
      <c r="AU31" s="349" t="s">
        <v>258</v>
      </c>
      <c r="AV31" s="171" t="s">
        <v>85</v>
      </c>
      <c r="AW31" s="373" t="s">
        <v>32</v>
      </c>
    </row>
    <row r="32" spans="1:49" x14ac:dyDescent="0.25">
      <c r="A32" s="102" t="s">
        <v>26</v>
      </c>
      <c r="B32" s="373" t="s">
        <v>34</v>
      </c>
      <c r="C32" s="351" t="s">
        <v>86</v>
      </c>
      <c r="D32" s="349" t="s">
        <v>94</v>
      </c>
      <c r="E32" s="349" t="s">
        <v>123</v>
      </c>
      <c r="F32" s="349" t="s">
        <v>131</v>
      </c>
      <c r="G32" s="350" t="s">
        <v>139</v>
      </c>
      <c r="H32" s="349" t="s">
        <v>147</v>
      </c>
      <c r="I32" s="349" t="s">
        <v>206</v>
      </c>
      <c r="J32" s="349" t="s">
        <v>214</v>
      </c>
      <c r="K32" s="350" t="s">
        <v>234</v>
      </c>
      <c r="L32" s="349" t="s">
        <v>242</v>
      </c>
      <c r="M32" s="349" t="s">
        <v>250</v>
      </c>
      <c r="N32" s="349" t="s">
        <v>247</v>
      </c>
      <c r="O32" s="349" t="s">
        <v>239</v>
      </c>
      <c r="P32" s="350" t="s">
        <v>219</v>
      </c>
      <c r="Q32" s="349" t="s">
        <v>211</v>
      </c>
      <c r="R32" s="349" t="s">
        <v>152</v>
      </c>
      <c r="S32" s="349" t="s">
        <v>144</v>
      </c>
      <c r="T32" s="350" t="s">
        <v>136</v>
      </c>
      <c r="U32" s="349" t="s">
        <v>128</v>
      </c>
      <c r="V32" s="349" t="s">
        <v>105</v>
      </c>
      <c r="W32" s="349" t="s">
        <v>91</v>
      </c>
      <c r="X32" s="171" t="s">
        <v>85</v>
      </c>
      <c r="Y32" s="373" t="s">
        <v>31</v>
      </c>
      <c r="Z32" s="373" t="s">
        <v>34</v>
      </c>
      <c r="AA32" s="351" t="s">
        <v>86</v>
      </c>
      <c r="AB32" s="349" t="s">
        <v>260</v>
      </c>
      <c r="AC32" s="349" t="s">
        <v>268</v>
      </c>
      <c r="AD32" s="349" t="s">
        <v>276</v>
      </c>
      <c r="AE32" s="350" t="s">
        <v>284</v>
      </c>
      <c r="AF32" s="349" t="s">
        <v>292</v>
      </c>
      <c r="AG32" s="349" t="s">
        <v>300</v>
      </c>
      <c r="AH32" s="349" t="s">
        <v>308</v>
      </c>
      <c r="AI32" s="350" t="s">
        <v>316</v>
      </c>
      <c r="AJ32" s="349" t="s">
        <v>324</v>
      </c>
      <c r="AK32" s="349" t="s">
        <v>332</v>
      </c>
      <c r="AL32" s="373" t="s">
        <v>329</v>
      </c>
      <c r="AM32" s="349" t="s">
        <v>321</v>
      </c>
      <c r="AN32" s="350" t="s">
        <v>313</v>
      </c>
      <c r="AO32" s="349" t="s">
        <v>305</v>
      </c>
      <c r="AP32" s="349" t="s">
        <v>297</v>
      </c>
      <c r="AQ32" s="349" t="s">
        <v>289</v>
      </c>
      <c r="AR32" s="350" t="s">
        <v>281</v>
      </c>
      <c r="AS32" s="349" t="s">
        <v>273</v>
      </c>
      <c r="AT32" s="349" t="s">
        <v>265</v>
      </c>
      <c r="AU32" s="349" t="s">
        <v>257</v>
      </c>
      <c r="AV32" s="171" t="s">
        <v>85</v>
      </c>
      <c r="AW32" s="373" t="s">
        <v>31</v>
      </c>
    </row>
    <row r="33" spans="1:49" x14ac:dyDescent="0.25">
      <c r="A33" s="102" t="s">
        <v>27</v>
      </c>
      <c r="B33" s="373" t="s">
        <v>35</v>
      </c>
      <c r="C33" s="349" t="s">
        <v>89</v>
      </c>
      <c r="D33" s="349" t="s">
        <v>95</v>
      </c>
      <c r="E33" s="349" t="s">
        <v>124</v>
      </c>
      <c r="F33" s="349" t="s">
        <v>132</v>
      </c>
      <c r="G33" s="350" t="s">
        <v>140</v>
      </c>
      <c r="H33" s="349" t="s">
        <v>148</v>
      </c>
      <c r="I33" s="349" t="s">
        <v>207</v>
      </c>
      <c r="J33" s="349" t="s">
        <v>215</v>
      </c>
      <c r="K33" s="350" t="s">
        <v>235</v>
      </c>
      <c r="L33" s="349" t="s">
        <v>243</v>
      </c>
      <c r="M33" s="349" t="s">
        <v>251</v>
      </c>
      <c r="N33" s="349" t="s">
        <v>246</v>
      </c>
      <c r="O33" s="349" t="s">
        <v>238</v>
      </c>
      <c r="P33" s="350" t="s">
        <v>218</v>
      </c>
      <c r="Q33" s="349" t="s">
        <v>210</v>
      </c>
      <c r="R33" s="349" t="s">
        <v>151</v>
      </c>
      <c r="S33" s="349" t="s">
        <v>143</v>
      </c>
      <c r="T33" s="350" t="s">
        <v>135</v>
      </c>
      <c r="U33" s="349" t="s">
        <v>127</v>
      </c>
      <c r="V33" s="349" t="s">
        <v>104</v>
      </c>
      <c r="W33" s="349" t="s">
        <v>90</v>
      </c>
      <c r="X33" s="348" t="s">
        <v>84</v>
      </c>
      <c r="Y33" s="373" t="s">
        <v>30</v>
      </c>
      <c r="Z33" s="373" t="s">
        <v>35</v>
      </c>
      <c r="AA33" s="349" t="s">
        <v>253</v>
      </c>
      <c r="AB33" s="349" t="s">
        <v>261</v>
      </c>
      <c r="AC33" s="349" t="s">
        <v>269</v>
      </c>
      <c r="AD33" s="349" t="s">
        <v>277</v>
      </c>
      <c r="AE33" s="350" t="s">
        <v>285</v>
      </c>
      <c r="AF33" s="349" t="s">
        <v>293</v>
      </c>
      <c r="AG33" s="349" t="s">
        <v>301</v>
      </c>
      <c r="AH33" s="349" t="s">
        <v>309</v>
      </c>
      <c r="AI33" s="350" t="s">
        <v>317</v>
      </c>
      <c r="AJ33" s="349" t="s">
        <v>325</v>
      </c>
      <c r="AK33" s="349" t="s">
        <v>333</v>
      </c>
      <c r="AL33" s="373" t="s">
        <v>328</v>
      </c>
      <c r="AM33" s="349" t="s">
        <v>320</v>
      </c>
      <c r="AN33" s="350" t="s">
        <v>312</v>
      </c>
      <c r="AO33" s="349" t="s">
        <v>304</v>
      </c>
      <c r="AP33" s="349" t="s">
        <v>296</v>
      </c>
      <c r="AQ33" s="349" t="s">
        <v>288</v>
      </c>
      <c r="AR33" s="350" t="s">
        <v>280</v>
      </c>
      <c r="AS33" s="349" t="s">
        <v>272</v>
      </c>
      <c r="AT33" s="349" t="s">
        <v>264</v>
      </c>
      <c r="AU33" s="349" t="s">
        <v>256</v>
      </c>
      <c r="AV33" s="348" t="s">
        <v>84</v>
      </c>
      <c r="AW33" s="373" t="s">
        <v>30</v>
      </c>
    </row>
    <row r="34" spans="1:49" x14ac:dyDescent="0.25">
      <c r="A34" s="102" t="s">
        <v>28</v>
      </c>
      <c r="B34" s="373" t="s">
        <v>228</v>
      </c>
      <c r="C34" s="349" t="s">
        <v>87</v>
      </c>
      <c r="D34" s="349" t="s">
        <v>102</v>
      </c>
      <c r="E34" s="349" t="s">
        <v>125</v>
      </c>
      <c r="F34" s="349" t="s">
        <v>133</v>
      </c>
      <c r="G34" s="350" t="s">
        <v>141</v>
      </c>
      <c r="H34" s="349" t="s">
        <v>149</v>
      </c>
      <c r="I34" s="349" t="s">
        <v>208</v>
      </c>
      <c r="J34" s="349" t="s">
        <v>216</v>
      </c>
      <c r="K34" s="350" t="s">
        <v>236</v>
      </c>
      <c r="L34" s="349" t="s">
        <v>244</v>
      </c>
      <c r="M34" s="349" t="s">
        <v>252</v>
      </c>
      <c r="N34" s="349" t="s">
        <v>245</v>
      </c>
      <c r="O34" s="349" t="s">
        <v>237</v>
      </c>
      <c r="P34" s="350" t="s">
        <v>217</v>
      </c>
      <c r="Q34" s="349" t="s">
        <v>209</v>
      </c>
      <c r="R34" s="349" t="s">
        <v>150</v>
      </c>
      <c r="S34" s="349" t="s">
        <v>142</v>
      </c>
      <c r="T34" s="350" t="s">
        <v>134</v>
      </c>
      <c r="U34" s="349" t="s">
        <v>126</v>
      </c>
      <c r="V34" s="349" t="s">
        <v>103</v>
      </c>
      <c r="W34" s="349" t="s">
        <v>88</v>
      </c>
      <c r="X34" s="348" t="s">
        <v>84</v>
      </c>
      <c r="Y34" s="373" t="s">
        <v>29</v>
      </c>
      <c r="Z34" s="373" t="s">
        <v>228</v>
      </c>
      <c r="AA34" s="349" t="s">
        <v>254</v>
      </c>
      <c r="AB34" s="349" t="s">
        <v>262</v>
      </c>
      <c r="AC34" s="349" t="s">
        <v>270</v>
      </c>
      <c r="AD34" s="349" t="s">
        <v>278</v>
      </c>
      <c r="AE34" s="350" t="s">
        <v>286</v>
      </c>
      <c r="AF34" s="349" t="s">
        <v>294</v>
      </c>
      <c r="AG34" s="349" t="s">
        <v>302</v>
      </c>
      <c r="AH34" s="349" t="s">
        <v>310</v>
      </c>
      <c r="AI34" s="350" t="s">
        <v>318</v>
      </c>
      <c r="AJ34" s="349" t="s">
        <v>326</v>
      </c>
      <c r="AK34" s="349" t="s">
        <v>334</v>
      </c>
      <c r="AL34" s="373" t="s">
        <v>327</v>
      </c>
      <c r="AM34" s="349" t="s">
        <v>319</v>
      </c>
      <c r="AN34" s="350" t="s">
        <v>311</v>
      </c>
      <c r="AO34" s="349" t="s">
        <v>303</v>
      </c>
      <c r="AP34" s="349" t="s">
        <v>295</v>
      </c>
      <c r="AQ34" s="349" t="s">
        <v>287</v>
      </c>
      <c r="AR34" s="350" t="s">
        <v>279</v>
      </c>
      <c r="AS34" s="349" t="s">
        <v>271</v>
      </c>
      <c r="AT34" s="349" t="s">
        <v>263</v>
      </c>
      <c r="AU34" s="349" t="s">
        <v>255</v>
      </c>
      <c r="AV34" s="348" t="s">
        <v>84</v>
      </c>
      <c r="AW34" s="373" t="s">
        <v>29</v>
      </c>
    </row>
    <row r="36" spans="1:49" x14ac:dyDescent="0.25">
      <c r="I36" s="104"/>
    </row>
    <row r="38" spans="1:49" ht="25.5" x14ac:dyDescent="0.25">
      <c r="A38" s="675" t="s">
        <v>72</v>
      </c>
      <c r="B38" s="675"/>
      <c r="C38" s="105" t="s">
        <v>984</v>
      </c>
      <c r="D38" s="106" t="s">
        <v>115</v>
      </c>
      <c r="E38" s="672" t="s">
        <v>985</v>
      </c>
      <c r="F38" s="673"/>
      <c r="G38" s="673"/>
      <c r="H38" s="674"/>
    </row>
    <row r="39" spans="1:49" x14ac:dyDescent="0.25">
      <c r="A39" s="652" t="s">
        <v>84</v>
      </c>
      <c r="B39" s="652"/>
      <c r="C39" s="190">
        <v>60</v>
      </c>
      <c r="D39" s="103">
        <v>1</v>
      </c>
      <c r="E39" s="107" t="s">
        <v>1313</v>
      </c>
      <c r="F39" s="108"/>
      <c r="G39" s="108"/>
      <c r="H39" s="109"/>
    </row>
    <row r="40" spans="1:49" x14ac:dyDescent="0.25">
      <c r="A40" s="652" t="s">
        <v>85</v>
      </c>
      <c r="B40" s="652"/>
      <c r="C40" s="190">
        <v>300</v>
      </c>
      <c r="D40" s="103">
        <v>1</v>
      </c>
      <c r="E40" s="107" t="s">
        <v>1314</v>
      </c>
      <c r="F40" s="108"/>
      <c r="G40" s="108"/>
      <c r="H40" s="109"/>
      <c r="J40" s="93" t="s">
        <v>986</v>
      </c>
    </row>
    <row r="41" spans="1:49" x14ac:dyDescent="0.25">
      <c r="A41" s="652" t="s">
        <v>86</v>
      </c>
      <c r="B41" s="652"/>
      <c r="C41" s="190">
        <v>12</v>
      </c>
      <c r="D41" s="103">
        <v>1</v>
      </c>
      <c r="E41" s="107" t="s">
        <v>1315</v>
      </c>
      <c r="F41" s="108"/>
      <c r="G41" s="108"/>
      <c r="H41" s="109"/>
      <c r="J41" s="110" t="s">
        <v>987</v>
      </c>
    </row>
    <row r="42" spans="1:49" x14ac:dyDescent="0.25">
      <c r="A42" s="652" t="s">
        <v>89</v>
      </c>
      <c r="B42" s="652"/>
      <c r="C42" s="166"/>
      <c r="D42" s="103">
        <v>1</v>
      </c>
      <c r="E42" s="107"/>
      <c r="F42" s="108"/>
      <c r="G42" s="108"/>
      <c r="H42" s="109"/>
      <c r="J42" s="82" t="s">
        <v>988</v>
      </c>
    </row>
    <row r="43" spans="1:49" x14ac:dyDescent="0.25">
      <c r="A43" s="652" t="s">
        <v>87</v>
      </c>
      <c r="B43" s="652"/>
      <c r="C43" s="345"/>
      <c r="D43" s="103">
        <v>1</v>
      </c>
      <c r="E43" s="107"/>
      <c r="F43" s="108"/>
      <c r="G43" s="108"/>
      <c r="H43" s="109"/>
      <c r="K43" s="82" t="s">
        <v>989</v>
      </c>
    </row>
    <row r="44" spans="1:49" x14ac:dyDescent="0.25">
      <c r="A44" s="652" t="s">
        <v>88</v>
      </c>
      <c r="B44" s="652"/>
      <c r="C44" s="345"/>
      <c r="D44" s="103">
        <v>1</v>
      </c>
      <c r="E44" s="107"/>
      <c r="F44" s="108"/>
      <c r="G44" s="108"/>
      <c r="H44" s="109"/>
      <c r="J44" s="82" t="s">
        <v>990</v>
      </c>
    </row>
    <row r="45" spans="1:49" x14ac:dyDescent="0.25">
      <c r="A45" s="652" t="s">
        <v>90</v>
      </c>
      <c r="B45" s="652"/>
      <c r="C45" s="345"/>
      <c r="D45" s="103">
        <v>1</v>
      </c>
      <c r="E45" s="107"/>
      <c r="F45" s="108"/>
      <c r="G45" s="108"/>
      <c r="H45" s="109"/>
      <c r="K45" s="82" t="s">
        <v>991</v>
      </c>
    </row>
    <row r="46" spans="1:49" x14ac:dyDescent="0.25">
      <c r="A46" s="652" t="s">
        <v>91</v>
      </c>
      <c r="B46" s="652"/>
      <c r="C46" s="345"/>
      <c r="D46" s="103">
        <v>1</v>
      </c>
      <c r="E46" s="107"/>
      <c r="F46" s="108"/>
      <c r="G46" s="108"/>
      <c r="H46" s="109"/>
      <c r="K46" s="82" t="s">
        <v>992</v>
      </c>
    </row>
    <row r="47" spans="1:49" x14ac:dyDescent="0.25">
      <c r="A47" s="652" t="s">
        <v>92</v>
      </c>
      <c r="B47" s="652"/>
      <c r="C47" s="345"/>
      <c r="D47" s="103">
        <v>1</v>
      </c>
      <c r="E47" s="107"/>
      <c r="F47" s="108"/>
      <c r="G47" s="108"/>
      <c r="H47" s="109"/>
      <c r="J47" s="82" t="s">
        <v>993</v>
      </c>
    </row>
    <row r="48" spans="1:49" x14ac:dyDescent="0.25">
      <c r="A48" s="652" t="s">
        <v>93</v>
      </c>
      <c r="B48" s="652"/>
      <c r="C48" s="345"/>
      <c r="D48" s="103">
        <v>1</v>
      </c>
      <c r="E48" s="107"/>
      <c r="F48" s="108"/>
      <c r="G48" s="108"/>
      <c r="H48" s="109"/>
      <c r="J48" s="82" t="s">
        <v>994</v>
      </c>
    </row>
    <row r="49" spans="1:26" x14ac:dyDescent="0.25">
      <c r="A49" s="652" t="s">
        <v>94</v>
      </c>
      <c r="B49" s="652"/>
      <c r="C49" s="345"/>
      <c r="D49" s="103">
        <v>1</v>
      </c>
      <c r="E49" s="107"/>
      <c r="F49" s="108"/>
      <c r="G49" s="108"/>
      <c r="H49" s="109"/>
      <c r="K49" s="82" t="s">
        <v>995</v>
      </c>
    </row>
    <row r="50" spans="1:26" x14ac:dyDescent="0.25">
      <c r="A50" s="652" t="s">
        <v>95</v>
      </c>
      <c r="B50" s="652"/>
      <c r="C50" s="345"/>
      <c r="D50" s="103">
        <v>1</v>
      </c>
      <c r="E50" s="107"/>
      <c r="F50" s="108"/>
      <c r="G50" s="108"/>
      <c r="H50" s="109"/>
    </row>
    <row r="51" spans="1:26" x14ac:dyDescent="0.25">
      <c r="A51" s="652" t="s">
        <v>102</v>
      </c>
      <c r="B51" s="652"/>
      <c r="C51" s="345"/>
      <c r="D51" s="103">
        <v>1</v>
      </c>
      <c r="E51" s="107"/>
      <c r="F51" s="108"/>
      <c r="G51" s="108"/>
      <c r="H51" s="109"/>
      <c r="N51" s="93"/>
    </row>
    <row r="52" spans="1:26" x14ac:dyDescent="0.25">
      <c r="A52" s="652" t="s">
        <v>103</v>
      </c>
      <c r="B52" s="652"/>
      <c r="C52" s="345"/>
      <c r="D52" s="103">
        <v>1</v>
      </c>
      <c r="E52" s="107"/>
      <c r="F52" s="108"/>
      <c r="G52" s="108"/>
      <c r="H52" s="109"/>
      <c r="M52" s="93"/>
    </row>
    <row r="53" spans="1:26" x14ac:dyDescent="0.25">
      <c r="A53" s="652" t="s">
        <v>104</v>
      </c>
      <c r="B53" s="652"/>
      <c r="C53" s="345"/>
      <c r="D53" s="103">
        <v>1</v>
      </c>
      <c r="E53" s="107"/>
      <c r="F53" s="108"/>
      <c r="G53" s="108"/>
      <c r="H53" s="109"/>
    </row>
    <row r="54" spans="1:26" x14ac:dyDescent="0.25">
      <c r="A54" s="652" t="s">
        <v>105</v>
      </c>
      <c r="B54" s="652"/>
      <c r="C54" s="345"/>
      <c r="D54" s="103">
        <v>1</v>
      </c>
      <c r="E54" s="107"/>
      <c r="F54" s="108"/>
      <c r="G54" s="108"/>
      <c r="H54" s="109"/>
      <c r="I54" s="111"/>
    </row>
    <row r="55" spans="1:26" x14ac:dyDescent="0.25">
      <c r="A55" s="652" t="s">
        <v>121</v>
      </c>
      <c r="B55" s="652"/>
      <c r="C55" s="345"/>
      <c r="D55" s="103">
        <v>1</v>
      </c>
      <c r="E55" s="107"/>
      <c r="F55" s="108"/>
      <c r="G55" s="108"/>
      <c r="H55" s="109"/>
      <c r="X55" s="111"/>
      <c r="Y55" s="111"/>
      <c r="Z55" s="111"/>
    </row>
    <row r="56" spans="1:26" x14ac:dyDescent="0.25">
      <c r="A56" s="652" t="s">
        <v>122</v>
      </c>
      <c r="B56" s="652"/>
      <c r="C56" s="345"/>
      <c r="D56" s="103">
        <v>1</v>
      </c>
      <c r="E56" s="107"/>
      <c r="F56" s="108"/>
      <c r="G56" s="108"/>
      <c r="H56" s="109"/>
      <c r="X56" s="111"/>
      <c r="Y56" s="111"/>
      <c r="Z56" s="111"/>
    </row>
    <row r="57" spans="1:26" x14ac:dyDescent="0.25">
      <c r="A57" s="652" t="s">
        <v>123</v>
      </c>
      <c r="B57" s="652"/>
      <c r="C57" s="345"/>
      <c r="D57" s="103">
        <v>1</v>
      </c>
      <c r="E57" s="107"/>
      <c r="F57" s="108"/>
      <c r="G57" s="108"/>
      <c r="H57" s="109"/>
      <c r="X57" s="111"/>
      <c r="Y57" s="111"/>
      <c r="Z57" s="111"/>
    </row>
    <row r="58" spans="1:26" x14ac:dyDescent="0.25">
      <c r="A58" s="652" t="s">
        <v>124</v>
      </c>
      <c r="B58" s="652"/>
      <c r="C58" s="345"/>
      <c r="D58" s="103">
        <v>1</v>
      </c>
      <c r="E58" s="107"/>
      <c r="F58" s="108"/>
      <c r="G58" s="108"/>
      <c r="H58" s="109"/>
      <c r="X58" s="111"/>
      <c r="Y58" s="111"/>
      <c r="Z58" s="111"/>
    </row>
    <row r="59" spans="1:26" x14ac:dyDescent="0.25">
      <c r="A59" s="652" t="s">
        <v>125</v>
      </c>
      <c r="B59" s="652"/>
      <c r="C59" s="345"/>
      <c r="D59" s="103">
        <v>1</v>
      </c>
      <c r="E59" s="107"/>
      <c r="F59" s="108"/>
      <c r="G59" s="108"/>
      <c r="H59" s="109"/>
      <c r="X59" s="111"/>
      <c r="Y59" s="111"/>
      <c r="Z59" s="111"/>
    </row>
    <row r="60" spans="1:26" x14ac:dyDescent="0.25">
      <c r="A60" s="652" t="s">
        <v>126</v>
      </c>
      <c r="B60" s="652"/>
      <c r="C60" s="345"/>
      <c r="D60" s="103">
        <v>1</v>
      </c>
      <c r="E60" s="107"/>
      <c r="F60" s="108"/>
      <c r="G60" s="108"/>
      <c r="H60" s="109"/>
      <c r="X60" s="111"/>
      <c r="Y60" s="111"/>
      <c r="Z60" s="111"/>
    </row>
    <row r="61" spans="1:26" x14ac:dyDescent="0.25">
      <c r="A61" s="652" t="s">
        <v>127</v>
      </c>
      <c r="B61" s="652"/>
      <c r="C61" s="345"/>
      <c r="D61" s="103">
        <v>1</v>
      </c>
      <c r="E61" s="107"/>
      <c r="F61" s="108"/>
      <c r="G61" s="108"/>
      <c r="H61" s="109"/>
      <c r="X61" s="111"/>
      <c r="Y61" s="111"/>
      <c r="Z61" s="111"/>
    </row>
    <row r="62" spans="1:26" x14ac:dyDescent="0.25">
      <c r="A62" s="652" t="s">
        <v>128</v>
      </c>
      <c r="B62" s="652"/>
      <c r="C62" s="345"/>
      <c r="D62" s="103">
        <v>1</v>
      </c>
      <c r="E62" s="107"/>
      <c r="F62" s="108"/>
      <c r="G62" s="108"/>
      <c r="H62" s="109"/>
      <c r="X62" s="111"/>
      <c r="Y62" s="111"/>
      <c r="Z62" s="111"/>
    </row>
    <row r="63" spans="1:26" x14ac:dyDescent="0.25">
      <c r="A63" s="652" t="s">
        <v>129</v>
      </c>
      <c r="B63" s="652"/>
      <c r="C63" s="345"/>
      <c r="D63" s="103">
        <v>1</v>
      </c>
      <c r="E63" s="107"/>
      <c r="F63" s="108"/>
      <c r="G63" s="108"/>
      <c r="H63" s="109"/>
      <c r="X63" s="111"/>
      <c r="Y63" s="111"/>
      <c r="Z63" s="111"/>
    </row>
    <row r="64" spans="1:26" x14ac:dyDescent="0.25">
      <c r="A64" s="652" t="s">
        <v>130</v>
      </c>
      <c r="B64" s="652"/>
      <c r="C64" s="345"/>
      <c r="D64" s="103">
        <v>1</v>
      </c>
      <c r="E64" s="107"/>
      <c r="F64" s="108"/>
      <c r="G64" s="108"/>
      <c r="H64" s="109"/>
      <c r="X64" s="111"/>
      <c r="Y64" s="111"/>
      <c r="Z64" s="111"/>
    </row>
    <row r="65" spans="1:23" x14ac:dyDescent="0.25">
      <c r="A65" s="652" t="s">
        <v>131</v>
      </c>
      <c r="B65" s="652"/>
      <c r="C65" s="345"/>
      <c r="D65" s="103">
        <v>1</v>
      </c>
      <c r="E65" s="107"/>
      <c r="F65" s="108"/>
      <c r="G65" s="108"/>
      <c r="H65" s="109"/>
    </row>
    <row r="66" spans="1:23" x14ac:dyDescent="0.25">
      <c r="A66" s="652" t="s">
        <v>132</v>
      </c>
      <c r="B66" s="652"/>
      <c r="C66" s="345"/>
      <c r="D66" s="103">
        <v>1</v>
      </c>
      <c r="E66" s="107"/>
      <c r="F66" s="108"/>
      <c r="G66" s="108"/>
      <c r="H66" s="109"/>
    </row>
    <row r="67" spans="1:23" x14ac:dyDescent="0.25">
      <c r="A67" s="652" t="s">
        <v>133</v>
      </c>
      <c r="B67" s="652"/>
      <c r="C67" s="345"/>
      <c r="D67" s="103">
        <v>1</v>
      </c>
      <c r="E67" s="107"/>
      <c r="F67" s="108"/>
      <c r="G67" s="108"/>
      <c r="H67" s="109"/>
    </row>
    <row r="68" spans="1:23" x14ac:dyDescent="0.25">
      <c r="A68" s="652" t="s">
        <v>134</v>
      </c>
      <c r="B68" s="652"/>
      <c r="C68" s="345"/>
      <c r="D68" s="103">
        <v>1</v>
      </c>
      <c r="E68" s="107"/>
      <c r="F68" s="108"/>
      <c r="G68" s="108"/>
      <c r="H68" s="109"/>
    </row>
    <row r="69" spans="1:23" x14ac:dyDescent="0.25">
      <c r="A69" s="652" t="s">
        <v>135</v>
      </c>
      <c r="B69" s="652"/>
      <c r="C69" s="345"/>
      <c r="D69" s="103">
        <v>1</v>
      </c>
      <c r="E69" s="107"/>
      <c r="F69" s="108"/>
      <c r="G69" s="108"/>
      <c r="H69" s="109"/>
    </row>
    <row r="70" spans="1:23" x14ac:dyDescent="0.25">
      <c r="A70" s="652" t="s">
        <v>136</v>
      </c>
      <c r="B70" s="652"/>
      <c r="C70" s="345"/>
      <c r="D70" s="103">
        <v>1</v>
      </c>
      <c r="E70" s="107"/>
      <c r="F70" s="108"/>
      <c r="G70" s="108"/>
      <c r="H70" s="109"/>
    </row>
    <row r="71" spans="1:23" x14ac:dyDescent="0.25">
      <c r="A71" s="652" t="s">
        <v>137</v>
      </c>
      <c r="B71" s="652"/>
      <c r="C71" s="345"/>
      <c r="D71" s="103">
        <v>1</v>
      </c>
      <c r="E71" s="107"/>
      <c r="F71" s="108"/>
      <c r="G71" s="108"/>
      <c r="H71" s="109"/>
      <c r="T71" s="111"/>
      <c r="U71" s="111"/>
      <c r="V71" s="111"/>
      <c r="W71" s="111"/>
    </row>
    <row r="72" spans="1:23" x14ac:dyDescent="0.25">
      <c r="A72" s="652" t="s">
        <v>138</v>
      </c>
      <c r="B72" s="652"/>
      <c r="C72" s="345"/>
      <c r="D72" s="103">
        <v>1</v>
      </c>
      <c r="E72" s="107"/>
      <c r="F72" s="108"/>
      <c r="G72" s="108"/>
      <c r="H72" s="109"/>
      <c r="T72" s="111"/>
      <c r="U72" s="111"/>
      <c r="V72" s="111"/>
      <c r="W72" s="111"/>
    </row>
    <row r="73" spans="1:23" x14ac:dyDescent="0.25">
      <c r="A73" s="652" t="s">
        <v>139</v>
      </c>
      <c r="B73" s="652"/>
      <c r="C73" s="345"/>
      <c r="D73" s="103">
        <v>1</v>
      </c>
      <c r="E73" s="107"/>
      <c r="F73" s="108"/>
      <c r="G73" s="108"/>
      <c r="H73" s="109"/>
      <c r="I73" s="111"/>
      <c r="J73" s="111"/>
    </row>
    <row r="74" spans="1:23" x14ac:dyDescent="0.25">
      <c r="A74" s="652" t="s">
        <v>140</v>
      </c>
      <c r="B74" s="652"/>
      <c r="C74" s="345"/>
      <c r="D74" s="103">
        <v>1</v>
      </c>
      <c r="E74" s="107"/>
      <c r="F74" s="108"/>
      <c r="G74" s="108"/>
      <c r="H74" s="109"/>
    </row>
    <row r="75" spans="1:23" x14ac:dyDescent="0.25">
      <c r="A75" s="652" t="s">
        <v>141</v>
      </c>
      <c r="B75" s="652"/>
      <c r="C75" s="345"/>
      <c r="D75" s="103">
        <v>1</v>
      </c>
      <c r="E75" s="107"/>
      <c r="F75" s="108"/>
      <c r="G75" s="108"/>
      <c r="H75" s="109"/>
    </row>
    <row r="76" spans="1:23" x14ac:dyDescent="0.25">
      <c r="A76" s="652" t="s">
        <v>142</v>
      </c>
      <c r="B76" s="652"/>
      <c r="C76" s="344"/>
      <c r="D76" s="103">
        <v>1</v>
      </c>
      <c r="E76" s="107"/>
      <c r="F76" s="108"/>
      <c r="G76" s="108"/>
      <c r="H76" s="109"/>
    </row>
    <row r="77" spans="1:23" x14ac:dyDescent="0.25">
      <c r="A77" s="652" t="s">
        <v>143</v>
      </c>
      <c r="B77" s="652"/>
      <c r="C77" s="344"/>
      <c r="D77" s="103">
        <v>1</v>
      </c>
      <c r="E77" s="107"/>
      <c r="F77" s="108"/>
      <c r="G77" s="108"/>
      <c r="H77" s="109"/>
    </row>
    <row r="78" spans="1:23" x14ac:dyDescent="0.25">
      <c r="A78" s="652" t="s">
        <v>144</v>
      </c>
      <c r="B78" s="652"/>
      <c r="C78" s="344"/>
      <c r="D78" s="103">
        <v>1</v>
      </c>
      <c r="E78" s="107"/>
      <c r="F78" s="108"/>
      <c r="G78" s="108"/>
      <c r="H78" s="109"/>
    </row>
    <row r="79" spans="1:23" x14ac:dyDescent="0.25">
      <c r="A79" s="652" t="s">
        <v>145</v>
      </c>
      <c r="B79" s="652"/>
      <c r="C79" s="166"/>
      <c r="D79" s="103">
        <v>1</v>
      </c>
      <c r="E79" s="107"/>
      <c r="F79" s="108"/>
      <c r="G79" s="108"/>
      <c r="H79" s="109"/>
    </row>
    <row r="80" spans="1:23" x14ac:dyDescent="0.25">
      <c r="A80" s="652" t="s">
        <v>146</v>
      </c>
      <c r="B80" s="652"/>
      <c r="C80" s="166"/>
      <c r="D80" s="103">
        <v>1</v>
      </c>
      <c r="E80" s="107"/>
      <c r="F80" s="108"/>
      <c r="G80" s="108"/>
      <c r="H80" s="109"/>
    </row>
    <row r="81" spans="1:8" x14ac:dyDescent="0.25">
      <c r="A81" s="652" t="s">
        <v>147</v>
      </c>
      <c r="B81" s="652"/>
      <c r="C81" s="166"/>
      <c r="D81" s="103">
        <v>1</v>
      </c>
      <c r="E81" s="107"/>
      <c r="F81" s="108"/>
      <c r="G81" s="108"/>
      <c r="H81" s="109"/>
    </row>
    <row r="82" spans="1:8" x14ac:dyDescent="0.25">
      <c r="A82" s="652" t="s">
        <v>148</v>
      </c>
      <c r="B82" s="652"/>
      <c r="C82" s="166"/>
      <c r="D82" s="103">
        <v>1</v>
      </c>
      <c r="E82" s="107"/>
      <c r="F82" s="108"/>
      <c r="G82" s="108"/>
      <c r="H82" s="109"/>
    </row>
    <row r="83" spans="1:8" x14ac:dyDescent="0.25">
      <c r="A83" s="652" t="s">
        <v>149</v>
      </c>
      <c r="B83" s="652"/>
      <c r="C83" s="345"/>
      <c r="D83" s="103">
        <v>1</v>
      </c>
      <c r="E83" s="107"/>
      <c r="F83" s="108"/>
      <c r="G83" s="108"/>
      <c r="H83" s="109"/>
    </row>
    <row r="84" spans="1:8" x14ac:dyDescent="0.25">
      <c r="A84" s="652" t="s">
        <v>150</v>
      </c>
      <c r="B84" s="652"/>
      <c r="C84" s="345"/>
      <c r="D84" s="103">
        <v>1</v>
      </c>
      <c r="E84" s="107"/>
      <c r="F84" s="108"/>
      <c r="G84" s="108"/>
      <c r="H84" s="109"/>
    </row>
    <row r="85" spans="1:8" x14ac:dyDescent="0.25">
      <c r="A85" s="652" t="s">
        <v>151</v>
      </c>
      <c r="B85" s="652"/>
      <c r="C85" s="345"/>
      <c r="D85" s="103">
        <v>1</v>
      </c>
      <c r="E85" s="107"/>
      <c r="F85" s="108"/>
      <c r="G85" s="108"/>
      <c r="H85" s="109"/>
    </row>
    <row r="86" spans="1:8" x14ac:dyDescent="0.25">
      <c r="A86" s="652" t="s">
        <v>152</v>
      </c>
      <c r="B86" s="652"/>
      <c r="C86" s="345"/>
      <c r="D86" s="103">
        <v>1</v>
      </c>
      <c r="E86" s="107"/>
      <c r="F86" s="108"/>
      <c r="G86" s="108"/>
      <c r="H86" s="109"/>
    </row>
    <row r="87" spans="1:8" x14ac:dyDescent="0.25">
      <c r="A87" s="652" t="s">
        <v>204</v>
      </c>
      <c r="B87" s="652"/>
      <c r="C87" s="345"/>
      <c r="D87" s="103">
        <v>1</v>
      </c>
      <c r="E87" s="107"/>
      <c r="F87" s="108"/>
      <c r="G87" s="108"/>
      <c r="H87" s="109"/>
    </row>
    <row r="88" spans="1:8" x14ac:dyDescent="0.25">
      <c r="A88" s="652" t="s">
        <v>205</v>
      </c>
      <c r="B88" s="652"/>
      <c r="C88" s="345"/>
      <c r="D88" s="103">
        <v>1</v>
      </c>
      <c r="E88" s="107"/>
      <c r="F88" s="108"/>
      <c r="G88" s="108"/>
      <c r="H88" s="109"/>
    </row>
    <row r="89" spans="1:8" x14ac:dyDescent="0.25">
      <c r="A89" s="652" t="s">
        <v>206</v>
      </c>
      <c r="B89" s="652"/>
      <c r="C89" s="345"/>
      <c r="D89" s="103">
        <v>1</v>
      </c>
      <c r="E89" s="107"/>
      <c r="F89" s="108"/>
      <c r="G89" s="108"/>
      <c r="H89" s="109"/>
    </row>
    <row r="90" spans="1:8" x14ac:dyDescent="0.25">
      <c r="A90" s="652" t="s">
        <v>207</v>
      </c>
      <c r="B90" s="652"/>
      <c r="C90" s="345"/>
      <c r="D90" s="103">
        <v>1</v>
      </c>
      <c r="E90" s="107"/>
      <c r="F90" s="108"/>
      <c r="G90" s="108"/>
      <c r="H90" s="109"/>
    </row>
    <row r="91" spans="1:8" x14ac:dyDescent="0.25">
      <c r="A91" s="652" t="s">
        <v>208</v>
      </c>
      <c r="B91" s="652"/>
      <c r="C91" s="345"/>
      <c r="D91" s="103">
        <v>1</v>
      </c>
      <c r="E91" s="107"/>
      <c r="F91" s="108"/>
      <c r="G91" s="108"/>
      <c r="H91" s="109"/>
    </row>
    <row r="92" spans="1:8" x14ac:dyDescent="0.25">
      <c r="A92" s="652" t="s">
        <v>209</v>
      </c>
      <c r="B92" s="652"/>
      <c r="C92" s="345"/>
      <c r="D92" s="103">
        <v>1</v>
      </c>
      <c r="E92" s="107"/>
      <c r="F92" s="108"/>
      <c r="G92" s="108"/>
      <c r="H92" s="109"/>
    </row>
    <row r="93" spans="1:8" x14ac:dyDescent="0.25">
      <c r="A93" s="652" t="s">
        <v>210</v>
      </c>
      <c r="B93" s="652"/>
      <c r="C93" s="345"/>
      <c r="D93" s="103">
        <v>1</v>
      </c>
      <c r="E93" s="107"/>
      <c r="F93" s="108"/>
      <c r="G93" s="108"/>
      <c r="H93" s="109"/>
    </row>
    <row r="94" spans="1:8" x14ac:dyDescent="0.25">
      <c r="A94" s="652" t="s">
        <v>211</v>
      </c>
      <c r="B94" s="652"/>
      <c r="C94" s="345"/>
      <c r="D94" s="103">
        <v>1</v>
      </c>
      <c r="E94" s="107"/>
      <c r="F94" s="108"/>
      <c r="G94" s="108"/>
      <c r="H94" s="109"/>
    </row>
    <row r="95" spans="1:8" x14ac:dyDescent="0.25">
      <c r="A95" s="652" t="s">
        <v>212</v>
      </c>
      <c r="B95" s="652"/>
      <c r="C95" s="345"/>
      <c r="D95" s="103">
        <v>1</v>
      </c>
      <c r="E95" s="107"/>
      <c r="F95" s="108"/>
      <c r="G95" s="108"/>
      <c r="H95" s="109"/>
    </row>
    <row r="96" spans="1:8" x14ac:dyDescent="0.25">
      <c r="A96" s="652" t="s">
        <v>213</v>
      </c>
      <c r="B96" s="652"/>
      <c r="C96" s="345"/>
      <c r="D96" s="103">
        <v>1</v>
      </c>
      <c r="E96" s="107"/>
      <c r="F96" s="108"/>
      <c r="G96" s="108"/>
      <c r="H96" s="109"/>
    </row>
    <row r="97" spans="1:8" x14ac:dyDescent="0.25">
      <c r="A97" s="652" t="s">
        <v>214</v>
      </c>
      <c r="B97" s="652"/>
      <c r="C97" s="345"/>
      <c r="D97" s="103">
        <v>1</v>
      </c>
      <c r="E97" s="107"/>
      <c r="F97" s="108"/>
      <c r="G97" s="108"/>
      <c r="H97" s="109"/>
    </row>
    <row r="98" spans="1:8" x14ac:dyDescent="0.25">
      <c r="A98" s="652" t="s">
        <v>215</v>
      </c>
      <c r="B98" s="652"/>
      <c r="C98" s="345"/>
      <c r="D98" s="103">
        <v>1</v>
      </c>
      <c r="E98" s="107"/>
      <c r="F98" s="108"/>
      <c r="G98" s="108"/>
      <c r="H98" s="109"/>
    </row>
    <row r="99" spans="1:8" x14ac:dyDescent="0.25">
      <c r="A99" s="652" t="s">
        <v>216</v>
      </c>
      <c r="B99" s="652"/>
      <c r="C99" s="345"/>
      <c r="D99" s="103">
        <v>1</v>
      </c>
      <c r="E99" s="107"/>
      <c r="F99" s="108"/>
      <c r="G99" s="108"/>
      <c r="H99" s="109"/>
    </row>
    <row r="100" spans="1:8" x14ac:dyDescent="0.25">
      <c r="A100" s="652" t="s">
        <v>217</v>
      </c>
      <c r="B100" s="652"/>
      <c r="C100" s="345"/>
      <c r="D100" s="103">
        <v>1</v>
      </c>
      <c r="E100" s="107"/>
      <c r="F100" s="108"/>
      <c r="G100" s="108"/>
      <c r="H100" s="109"/>
    </row>
    <row r="101" spans="1:8" x14ac:dyDescent="0.25">
      <c r="A101" s="652" t="s">
        <v>218</v>
      </c>
      <c r="B101" s="652"/>
      <c r="C101" s="345"/>
      <c r="D101" s="103">
        <v>1</v>
      </c>
      <c r="E101" s="107"/>
      <c r="F101" s="108"/>
      <c r="G101" s="108"/>
      <c r="H101" s="109"/>
    </row>
    <row r="102" spans="1:8" x14ac:dyDescent="0.25">
      <c r="A102" s="652" t="s">
        <v>219</v>
      </c>
      <c r="B102" s="652"/>
      <c r="C102" s="345"/>
      <c r="D102" s="103">
        <v>1</v>
      </c>
      <c r="E102" s="107"/>
      <c r="F102" s="108"/>
      <c r="G102" s="108"/>
      <c r="H102" s="109"/>
    </row>
    <row r="103" spans="1:8" x14ac:dyDescent="0.25">
      <c r="A103" s="652" t="s">
        <v>232</v>
      </c>
      <c r="B103" s="652"/>
      <c r="C103" s="345"/>
      <c r="D103" s="103">
        <v>1</v>
      </c>
      <c r="E103" s="107"/>
      <c r="F103" s="108"/>
      <c r="G103" s="108"/>
      <c r="H103" s="109"/>
    </row>
    <row r="104" spans="1:8" x14ac:dyDescent="0.25">
      <c r="A104" s="652" t="s">
        <v>233</v>
      </c>
      <c r="B104" s="652"/>
      <c r="C104" s="345"/>
      <c r="D104" s="103">
        <v>1</v>
      </c>
      <c r="E104" s="107"/>
      <c r="F104" s="108"/>
      <c r="G104" s="108"/>
      <c r="H104" s="109"/>
    </row>
    <row r="105" spans="1:8" x14ac:dyDescent="0.25">
      <c r="A105" s="652" t="s">
        <v>234</v>
      </c>
      <c r="B105" s="652"/>
      <c r="C105" s="345"/>
      <c r="D105" s="103">
        <v>1</v>
      </c>
      <c r="E105" s="107"/>
      <c r="F105" s="108"/>
      <c r="G105" s="108"/>
      <c r="H105" s="109"/>
    </row>
    <row r="106" spans="1:8" x14ac:dyDescent="0.25">
      <c r="A106" s="652" t="s">
        <v>235</v>
      </c>
      <c r="B106" s="652"/>
      <c r="C106" s="345"/>
      <c r="D106" s="103">
        <v>1</v>
      </c>
      <c r="E106" s="107"/>
      <c r="F106" s="108"/>
      <c r="G106" s="108"/>
      <c r="H106" s="109"/>
    </row>
    <row r="107" spans="1:8" x14ac:dyDescent="0.25">
      <c r="A107" s="652" t="s">
        <v>236</v>
      </c>
      <c r="B107" s="652"/>
      <c r="C107" s="345"/>
      <c r="D107" s="103">
        <v>1</v>
      </c>
      <c r="E107" s="107"/>
      <c r="F107" s="108"/>
      <c r="G107" s="108"/>
      <c r="H107" s="109"/>
    </row>
    <row r="108" spans="1:8" x14ac:dyDescent="0.25">
      <c r="A108" s="652" t="s">
        <v>237</v>
      </c>
      <c r="B108" s="652"/>
      <c r="C108" s="345"/>
      <c r="D108" s="103">
        <v>1</v>
      </c>
      <c r="E108" s="107"/>
      <c r="F108" s="108"/>
      <c r="G108" s="108"/>
      <c r="H108" s="109"/>
    </row>
    <row r="109" spans="1:8" x14ac:dyDescent="0.25">
      <c r="A109" s="652" t="s">
        <v>238</v>
      </c>
      <c r="B109" s="652"/>
      <c r="C109" s="345"/>
      <c r="D109" s="103">
        <v>1</v>
      </c>
      <c r="E109" s="107"/>
      <c r="F109" s="108"/>
      <c r="G109" s="108"/>
      <c r="H109" s="109"/>
    </row>
    <row r="110" spans="1:8" x14ac:dyDescent="0.25">
      <c r="A110" s="652" t="s">
        <v>239</v>
      </c>
      <c r="B110" s="652"/>
      <c r="C110" s="345"/>
      <c r="D110" s="103">
        <v>1</v>
      </c>
      <c r="E110" s="107"/>
      <c r="F110" s="108"/>
      <c r="G110" s="108"/>
      <c r="H110" s="109"/>
    </row>
    <row r="111" spans="1:8" x14ac:dyDescent="0.25">
      <c r="A111" s="652" t="s">
        <v>240</v>
      </c>
      <c r="B111" s="652"/>
      <c r="C111" s="345"/>
      <c r="D111" s="103">
        <v>1</v>
      </c>
      <c r="E111" s="107"/>
      <c r="F111" s="108"/>
      <c r="G111" s="108"/>
      <c r="H111" s="109"/>
    </row>
    <row r="112" spans="1:8" x14ac:dyDescent="0.25">
      <c r="A112" s="652" t="s">
        <v>241</v>
      </c>
      <c r="B112" s="652"/>
      <c r="C112" s="345"/>
      <c r="D112" s="103">
        <v>1</v>
      </c>
      <c r="E112" s="107"/>
      <c r="F112" s="108"/>
      <c r="G112" s="108"/>
      <c r="H112" s="109"/>
    </row>
    <row r="113" spans="1:8" x14ac:dyDescent="0.25">
      <c r="A113" s="652" t="s">
        <v>242</v>
      </c>
      <c r="B113" s="652"/>
      <c r="C113" s="345"/>
      <c r="D113" s="103">
        <v>1</v>
      </c>
      <c r="E113" s="107"/>
      <c r="F113" s="108"/>
      <c r="G113" s="108"/>
      <c r="H113" s="109"/>
    </row>
    <row r="114" spans="1:8" x14ac:dyDescent="0.25">
      <c r="A114" s="652" t="s">
        <v>243</v>
      </c>
      <c r="B114" s="652"/>
      <c r="C114" s="345"/>
      <c r="D114" s="103">
        <v>1</v>
      </c>
      <c r="E114" s="107"/>
      <c r="F114" s="108"/>
      <c r="G114" s="108"/>
      <c r="H114" s="109"/>
    </row>
    <row r="115" spans="1:8" x14ac:dyDescent="0.25">
      <c r="A115" s="652" t="s">
        <v>244</v>
      </c>
      <c r="B115" s="652"/>
      <c r="C115" s="345"/>
      <c r="D115" s="103">
        <v>1</v>
      </c>
      <c r="E115" s="107"/>
      <c r="F115" s="108"/>
      <c r="G115" s="108"/>
      <c r="H115" s="109"/>
    </row>
    <row r="116" spans="1:8" x14ac:dyDescent="0.25">
      <c r="A116" s="652" t="s">
        <v>245</v>
      </c>
      <c r="B116" s="652"/>
      <c r="C116" s="345"/>
      <c r="D116" s="103">
        <v>1</v>
      </c>
      <c r="E116" s="107"/>
      <c r="F116" s="108"/>
      <c r="G116" s="108"/>
      <c r="H116" s="109"/>
    </row>
    <row r="117" spans="1:8" x14ac:dyDescent="0.25">
      <c r="A117" s="652" t="s">
        <v>246</v>
      </c>
      <c r="B117" s="652"/>
      <c r="C117" s="345"/>
      <c r="D117" s="103">
        <v>1</v>
      </c>
      <c r="E117" s="107"/>
      <c r="F117" s="108"/>
      <c r="G117" s="108"/>
      <c r="H117" s="109"/>
    </row>
    <row r="118" spans="1:8" x14ac:dyDescent="0.25">
      <c r="A118" s="652" t="s">
        <v>247</v>
      </c>
      <c r="B118" s="652"/>
      <c r="C118" s="345"/>
      <c r="D118" s="103">
        <v>1</v>
      </c>
      <c r="E118" s="107"/>
      <c r="F118" s="108"/>
      <c r="G118" s="108"/>
      <c r="H118" s="109"/>
    </row>
    <row r="119" spans="1:8" x14ac:dyDescent="0.25">
      <c r="A119" s="652" t="s">
        <v>248</v>
      </c>
      <c r="B119" s="652"/>
      <c r="C119" s="345"/>
      <c r="D119" s="103">
        <v>1</v>
      </c>
      <c r="E119" s="107"/>
      <c r="F119" s="108"/>
      <c r="G119" s="108"/>
      <c r="H119" s="109"/>
    </row>
    <row r="120" spans="1:8" x14ac:dyDescent="0.25">
      <c r="A120" s="652" t="s">
        <v>249</v>
      </c>
      <c r="B120" s="652"/>
      <c r="C120" s="345"/>
      <c r="D120" s="103">
        <v>1</v>
      </c>
      <c r="E120" s="107"/>
      <c r="F120" s="108"/>
      <c r="G120" s="108"/>
      <c r="H120" s="109"/>
    </row>
    <row r="121" spans="1:8" x14ac:dyDescent="0.25">
      <c r="A121" s="652" t="s">
        <v>250</v>
      </c>
      <c r="B121" s="652"/>
      <c r="C121" s="345"/>
      <c r="D121" s="103">
        <v>1</v>
      </c>
      <c r="E121" s="107"/>
      <c r="F121" s="108"/>
      <c r="G121" s="108"/>
      <c r="H121" s="109"/>
    </row>
    <row r="122" spans="1:8" x14ac:dyDescent="0.25">
      <c r="A122" s="652" t="s">
        <v>251</v>
      </c>
      <c r="B122" s="652"/>
      <c r="C122" s="345"/>
      <c r="D122" s="103">
        <v>1</v>
      </c>
      <c r="E122" s="107"/>
      <c r="F122" s="108"/>
      <c r="G122" s="108"/>
      <c r="H122" s="109"/>
    </row>
    <row r="123" spans="1:8" x14ac:dyDescent="0.25">
      <c r="A123" s="652" t="s">
        <v>252</v>
      </c>
      <c r="B123" s="652"/>
      <c r="C123" s="345"/>
      <c r="D123" s="103">
        <v>1</v>
      </c>
      <c r="E123" s="107"/>
      <c r="F123" s="108"/>
      <c r="G123" s="108"/>
      <c r="H123" s="109"/>
    </row>
    <row r="124" spans="1:8" x14ac:dyDescent="0.25">
      <c r="A124" s="652" t="s">
        <v>253</v>
      </c>
      <c r="B124" s="652"/>
      <c r="C124" s="345"/>
      <c r="D124" s="103">
        <v>1</v>
      </c>
      <c r="E124" s="107"/>
      <c r="F124" s="108"/>
      <c r="G124" s="108"/>
      <c r="H124" s="109"/>
    </row>
    <row r="125" spans="1:8" x14ac:dyDescent="0.25">
      <c r="A125" s="652" t="s">
        <v>254</v>
      </c>
      <c r="B125" s="652"/>
      <c r="C125" s="345"/>
      <c r="D125" s="103">
        <v>1</v>
      </c>
      <c r="E125" s="107"/>
      <c r="F125" s="108"/>
      <c r="G125" s="108"/>
      <c r="H125" s="109"/>
    </row>
    <row r="126" spans="1:8" x14ac:dyDescent="0.25">
      <c r="A126" s="652" t="s">
        <v>255</v>
      </c>
      <c r="B126" s="652"/>
      <c r="C126" s="345"/>
      <c r="D126" s="103">
        <v>1</v>
      </c>
      <c r="E126" s="107"/>
      <c r="F126" s="108"/>
      <c r="G126" s="108"/>
      <c r="H126" s="109"/>
    </row>
    <row r="127" spans="1:8" x14ac:dyDescent="0.25">
      <c r="A127" s="652" t="s">
        <v>256</v>
      </c>
      <c r="B127" s="652"/>
      <c r="C127" s="345"/>
      <c r="D127" s="103">
        <v>1</v>
      </c>
      <c r="E127" s="107"/>
      <c r="F127" s="108"/>
      <c r="G127" s="108"/>
      <c r="H127" s="109"/>
    </row>
    <row r="128" spans="1:8" x14ac:dyDescent="0.25">
      <c r="A128" s="652" t="s">
        <v>257</v>
      </c>
      <c r="B128" s="652"/>
      <c r="C128" s="345"/>
      <c r="D128" s="103">
        <v>1</v>
      </c>
      <c r="E128" s="107"/>
      <c r="F128" s="108"/>
      <c r="G128" s="108"/>
      <c r="H128" s="109"/>
    </row>
    <row r="129" spans="1:8" x14ac:dyDescent="0.25">
      <c r="A129" s="652" t="s">
        <v>258</v>
      </c>
      <c r="B129" s="652"/>
      <c r="C129" s="345"/>
      <c r="D129" s="103">
        <v>1</v>
      </c>
      <c r="E129" s="107"/>
      <c r="F129" s="108"/>
      <c r="G129" s="108"/>
      <c r="H129" s="109"/>
    </row>
    <row r="130" spans="1:8" x14ac:dyDescent="0.25">
      <c r="A130" s="652" t="s">
        <v>259</v>
      </c>
      <c r="B130" s="652"/>
      <c r="C130" s="345"/>
      <c r="D130" s="103">
        <v>1</v>
      </c>
      <c r="E130" s="107"/>
      <c r="F130" s="108"/>
      <c r="G130" s="108"/>
      <c r="H130" s="109"/>
    </row>
    <row r="131" spans="1:8" x14ac:dyDescent="0.25">
      <c r="A131" s="652" t="s">
        <v>260</v>
      </c>
      <c r="B131" s="652"/>
      <c r="C131" s="345"/>
      <c r="D131" s="103">
        <v>1</v>
      </c>
      <c r="E131" s="107"/>
      <c r="F131" s="108"/>
      <c r="G131" s="108"/>
      <c r="H131" s="109"/>
    </row>
    <row r="132" spans="1:8" x14ac:dyDescent="0.25">
      <c r="A132" s="652" t="s">
        <v>261</v>
      </c>
      <c r="B132" s="652"/>
      <c r="C132" s="345"/>
      <c r="D132" s="103">
        <v>1</v>
      </c>
      <c r="E132" s="107"/>
      <c r="F132" s="108"/>
      <c r="G132" s="108"/>
      <c r="H132" s="109"/>
    </row>
    <row r="133" spans="1:8" x14ac:dyDescent="0.25">
      <c r="A133" s="652" t="s">
        <v>262</v>
      </c>
      <c r="B133" s="652"/>
      <c r="C133" s="345"/>
      <c r="D133" s="103">
        <v>1</v>
      </c>
      <c r="E133" s="107"/>
      <c r="F133" s="108"/>
      <c r="G133" s="108"/>
      <c r="H133" s="109"/>
    </row>
    <row r="134" spans="1:8" x14ac:dyDescent="0.25">
      <c r="A134" s="652" t="s">
        <v>263</v>
      </c>
      <c r="B134" s="652"/>
      <c r="C134" s="345"/>
      <c r="D134" s="103">
        <v>1</v>
      </c>
      <c r="E134" s="107"/>
      <c r="F134" s="108"/>
      <c r="G134" s="108"/>
      <c r="H134" s="109"/>
    </row>
    <row r="135" spans="1:8" x14ac:dyDescent="0.25">
      <c r="A135" s="652" t="s">
        <v>264</v>
      </c>
      <c r="B135" s="652"/>
      <c r="C135" s="345"/>
      <c r="D135" s="103">
        <v>1</v>
      </c>
      <c r="E135" s="107"/>
      <c r="F135" s="108"/>
      <c r="G135" s="108"/>
      <c r="H135" s="109"/>
    </row>
    <row r="136" spans="1:8" x14ac:dyDescent="0.25">
      <c r="A136" s="652" t="s">
        <v>265</v>
      </c>
      <c r="B136" s="652"/>
      <c r="C136" s="345"/>
      <c r="D136" s="103">
        <v>1</v>
      </c>
      <c r="E136" s="107"/>
      <c r="F136" s="108"/>
      <c r="G136" s="108"/>
      <c r="H136" s="109"/>
    </row>
    <row r="137" spans="1:8" x14ac:dyDescent="0.25">
      <c r="A137" s="652" t="s">
        <v>266</v>
      </c>
      <c r="B137" s="652"/>
      <c r="C137" s="345"/>
      <c r="D137" s="103">
        <v>1</v>
      </c>
      <c r="E137" s="107"/>
      <c r="F137" s="108"/>
      <c r="G137" s="108"/>
      <c r="H137" s="109"/>
    </row>
    <row r="138" spans="1:8" x14ac:dyDescent="0.25">
      <c r="A138" s="652" t="s">
        <v>267</v>
      </c>
      <c r="B138" s="652"/>
      <c r="C138" s="345"/>
      <c r="D138" s="103">
        <v>1</v>
      </c>
      <c r="E138" s="107"/>
      <c r="F138" s="108"/>
      <c r="G138" s="108"/>
      <c r="H138" s="109"/>
    </row>
    <row r="139" spans="1:8" x14ac:dyDescent="0.25">
      <c r="A139" s="652" t="s">
        <v>268</v>
      </c>
      <c r="B139" s="652"/>
      <c r="C139" s="345"/>
      <c r="D139" s="103">
        <v>1</v>
      </c>
      <c r="E139" s="107"/>
      <c r="F139" s="108"/>
      <c r="G139" s="108"/>
      <c r="H139" s="109"/>
    </row>
    <row r="140" spans="1:8" x14ac:dyDescent="0.25">
      <c r="A140" s="652" t="s">
        <v>269</v>
      </c>
      <c r="B140" s="652"/>
      <c r="C140" s="345"/>
      <c r="D140" s="103">
        <v>1</v>
      </c>
      <c r="E140" s="107"/>
      <c r="F140" s="108"/>
      <c r="G140" s="108"/>
      <c r="H140" s="109"/>
    </row>
    <row r="141" spans="1:8" x14ac:dyDescent="0.25">
      <c r="A141" s="652" t="s">
        <v>270</v>
      </c>
      <c r="B141" s="652"/>
      <c r="C141" s="345"/>
      <c r="D141" s="103">
        <v>1</v>
      </c>
      <c r="E141" s="107"/>
      <c r="F141" s="108"/>
      <c r="G141" s="108"/>
      <c r="H141" s="109"/>
    </row>
    <row r="142" spans="1:8" x14ac:dyDescent="0.25">
      <c r="A142" s="652" t="s">
        <v>271</v>
      </c>
      <c r="B142" s="652"/>
      <c r="C142" s="345"/>
      <c r="D142" s="103">
        <v>1</v>
      </c>
      <c r="E142" s="107"/>
      <c r="F142" s="108"/>
      <c r="G142" s="108"/>
      <c r="H142" s="109"/>
    </row>
    <row r="143" spans="1:8" x14ac:dyDescent="0.25">
      <c r="A143" s="652" t="s">
        <v>272</v>
      </c>
      <c r="B143" s="652"/>
      <c r="C143" s="345"/>
      <c r="D143" s="103">
        <v>1</v>
      </c>
      <c r="E143" s="107"/>
      <c r="F143" s="108"/>
      <c r="G143" s="108"/>
      <c r="H143" s="109"/>
    </row>
    <row r="144" spans="1:8" x14ac:dyDescent="0.25">
      <c r="A144" s="652" t="s">
        <v>273</v>
      </c>
      <c r="B144" s="652"/>
      <c r="C144" s="345"/>
      <c r="D144" s="103">
        <v>1</v>
      </c>
      <c r="E144" s="107"/>
      <c r="F144" s="108"/>
      <c r="G144" s="108"/>
      <c r="H144" s="109"/>
    </row>
    <row r="145" spans="1:8" x14ac:dyDescent="0.25">
      <c r="A145" s="652" t="s">
        <v>274</v>
      </c>
      <c r="B145" s="652"/>
      <c r="C145" s="345"/>
      <c r="D145" s="103">
        <v>1</v>
      </c>
      <c r="E145" s="107"/>
      <c r="F145" s="108"/>
      <c r="G145" s="108"/>
      <c r="H145" s="109"/>
    </row>
    <row r="146" spans="1:8" x14ac:dyDescent="0.25">
      <c r="A146" s="652" t="s">
        <v>275</v>
      </c>
      <c r="B146" s="652"/>
      <c r="C146" s="345"/>
      <c r="D146" s="103">
        <v>1</v>
      </c>
      <c r="E146" s="107"/>
      <c r="F146" s="108"/>
      <c r="G146" s="108"/>
      <c r="H146" s="109"/>
    </row>
    <row r="147" spans="1:8" x14ac:dyDescent="0.25">
      <c r="A147" s="652" t="s">
        <v>276</v>
      </c>
      <c r="B147" s="652"/>
      <c r="C147" s="345"/>
      <c r="D147" s="103">
        <v>1</v>
      </c>
      <c r="E147" s="107"/>
      <c r="F147" s="108"/>
      <c r="G147" s="108"/>
      <c r="H147" s="109"/>
    </row>
    <row r="148" spans="1:8" x14ac:dyDescent="0.25">
      <c r="A148" s="652" t="s">
        <v>277</v>
      </c>
      <c r="B148" s="652"/>
      <c r="C148" s="345"/>
      <c r="D148" s="103">
        <v>1</v>
      </c>
      <c r="E148" s="107"/>
      <c r="F148" s="108"/>
      <c r="G148" s="108"/>
      <c r="H148" s="109"/>
    </row>
    <row r="149" spans="1:8" x14ac:dyDescent="0.25">
      <c r="A149" s="652" t="s">
        <v>278</v>
      </c>
      <c r="B149" s="652"/>
      <c r="C149" s="345"/>
      <c r="D149" s="103">
        <v>1</v>
      </c>
      <c r="E149" s="107"/>
      <c r="F149" s="108"/>
      <c r="G149" s="108"/>
      <c r="H149" s="109"/>
    </row>
    <row r="150" spans="1:8" x14ac:dyDescent="0.25">
      <c r="A150" s="652" t="s">
        <v>279</v>
      </c>
      <c r="B150" s="652"/>
      <c r="C150" s="345"/>
      <c r="D150" s="103">
        <v>1</v>
      </c>
      <c r="E150" s="107"/>
      <c r="F150" s="108"/>
      <c r="G150" s="108"/>
      <c r="H150" s="109"/>
    </row>
    <row r="151" spans="1:8" x14ac:dyDescent="0.25">
      <c r="A151" s="652" t="s">
        <v>280</v>
      </c>
      <c r="B151" s="652"/>
      <c r="C151" s="345"/>
      <c r="D151" s="103">
        <v>1</v>
      </c>
      <c r="E151" s="107"/>
      <c r="F151" s="108"/>
      <c r="G151" s="108"/>
      <c r="H151" s="109"/>
    </row>
    <row r="152" spans="1:8" x14ac:dyDescent="0.25">
      <c r="A152" s="652" t="s">
        <v>281</v>
      </c>
      <c r="B152" s="652"/>
      <c r="C152" s="345"/>
      <c r="D152" s="103">
        <v>1</v>
      </c>
      <c r="E152" s="107"/>
      <c r="F152" s="108"/>
      <c r="G152" s="108"/>
      <c r="H152" s="109"/>
    </row>
    <row r="153" spans="1:8" x14ac:dyDescent="0.25">
      <c r="A153" s="652" t="s">
        <v>282</v>
      </c>
      <c r="B153" s="652"/>
      <c r="C153" s="345"/>
      <c r="D153" s="103">
        <v>1</v>
      </c>
      <c r="E153" s="107"/>
      <c r="F153" s="108"/>
      <c r="G153" s="108"/>
      <c r="H153" s="109"/>
    </row>
    <row r="154" spans="1:8" x14ac:dyDescent="0.25">
      <c r="A154" s="652" t="s">
        <v>283</v>
      </c>
      <c r="B154" s="652"/>
      <c r="C154" s="345"/>
      <c r="D154" s="103">
        <v>1</v>
      </c>
      <c r="E154" s="107"/>
      <c r="F154" s="108"/>
      <c r="G154" s="108"/>
      <c r="H154" s="109"/>
    </row>
    <row r="155" spans="1:8" x14ac:dyDescent="0.25">
      <c r="A155" s="652" t="s">
        <v>284</v>
      </c>
      <c r="B155" s="652"/>
      <c r="C155" s="345"/>
      <c r="D155" s="103">
        <v>1</v>
      </c>
      <c r="E155" s="107"/>
      <c r="F155" s="108"/>
      <c r="G155" s="108"/>
      <c r="H155" s="109"/>
    </row>
    <row r="156" spans="1:8" x14ac:dyDescent="0.25">
      <c r="A156" s="652" t="s">
        <v>285</v>
      </c>
      <c r="B156" s="652"/>
      <c r="C156" s="345"/>
      <c r="D156" s="103">
        <v>1</v>
      </c>
      <c r="E156" s="107"/>
      <c r="F156" s="108"/>
      <c r="G156" s="108"/>
      <c r="H156" s="109"/>
    </row>
    <row r="157" spans="1:8" x14ac:dyDescent="0.25">
      <c r="A157" s="652" t="s">
        <v>286</v>
      </c>
      <c r="B157" s="652"/>
      <c r="C157" s="345"/>
      <c r="D157" s="103">
        <v>1</v>
      </c>
      <c r="E157" s="107"/>
      <c r="F157" s="108"/>
      <c r="G157" s="108"/>
      <c r="H157" s="109"/>
    </row>
    <row r="158" spans="1:8" x14ac:dyDescent="0.25">
      <c r="A158" s="652" t="s">
        <v>287</v>
      </c>
      <c r="B158" s="652"/>
      <c r="C158" s="345"/>
      <c r="D158" s="103">
        <v>1</v>
      </c>
      <c r="E158" s="107"/>
      <c r="F158" s="108"/>
      <c r="G158" s="108"/>
      <c r="H158" s="109"/>
    </row>
    <row r="159" spans="1:8" x14ac:dyDescent="0.25">
      <c r="A159" s="652" t="s">
        <v>288</v>
      </c>
      <c r="B159" s="652"/>
      <c r="C159" s="345"/>
      <c r="D159" s="103">
        <v>1</v>
      </c>
      <c r="E159" s="107"/>
      <c r="F159" s="108"/>
      <c r="G159" s="108"/>
      <c r="H159" s="109"/>
    </row>
    <row r="160" spans="1:8" x14ac:dyDescent="0.25">
      <c r="A160" s="652" t="s">
        <v>289</v>
      </c>
      <c r="B160" s="652"/>
      <c r="C160" s="345"/>
      <c r="D160" s="103">
        <v>1</v>
      </c>
      <c r="E160" s="107"/>
      <c r="F160" s="108"/>
      <c r="G160" s="108"/>
      <c r="H160" s="109"/>
    </row>
    <row r="161" spans="1:8" x14ac:dyDescent="0.25">
      <c r="A161" s="652" t="s">
        <v>290</v>
      </c>
      <c r="B161" s="652"/>
      <c r="C161" s="345"/>
      <c r="D161" s="103">
        <v>1</v>
      </c>
      <c r="E161" s="107"/>
      <c r="F161" s="108"/>
      <c r="G161" s="108"/>
      <c r="H161" s="109"/>
    </row>
    <row r="162" spans="1:8" x14ac:dyDescent="0.25">
      <c r="A162" s="652" t="s">
        <v>291</v>
      </c>
      <c r="B162" s="652"/>
      <c r="C162" s="345"/>
      <c r="D162" s="103">
        <v>1</v>
      </c>
      <c r="E162" s="107"/>
      <c r="F162" s="108"/>
      <c r="G162" s="108"/>
      <c r="H162" s="109"/>
    </row>
    <row r="163" spans="1:8" x14ac:dyDescent="0.25">
      <c r="A163" s="652" t="s">
        <v>292</v>
      </c>
      <c r="B163" s="652"/>
      <c r="C163" s="345"/>
      <c r="D163" s="103">
        <v>1</v>
      </c>
      <c r="E163" s="107"/>
      <c r="F163" s="108"/>
      <c r="G163" s="108"/>
      <c r="H163" s="109"/>
    </row>
    <row r="164" spans="1:8" x14ac:dyDescent="0.25">
      <c r="A164" s="652" t="s">
        <v>293</v>
      </c>
      <c r="B164" s="652"/>
      <c r="C164" s="345"/>
      <c r="D164" s="103">
        <v>1</v>
      </c>
      <c r="E164" s="107"/>
      <c r="F164" s="108"/>
      <c r="G164" s="108"/>
      <c r="H164" s="109"/>
    </row>
    <row r="165" spans="1:8" x14ac:dyDescent="0.25">
      <c r="A165" s="652" t="s">
        <v>294</v>
      </c>
      <c r="B165" s="652"/>
      <c r="C165" s="345"/>
      <c r="D165" s="103">
        <v>1</v>
      </c>
      <c r="E165" s="107"/>
      <c r="F165" s="108"/>
      <c r="G165" s="108"/>
      <c r="H165" s="109"/>
    </row>
    <row r="166" spans="1:8" x14ac:dyDescent="0.25">
      <c r="A166" s="652" t="s">
        <v>295</v>
      </c>
      <c r="B166" s="652"/>
      <c r="C166" s="345"/>
      <c r="D166" s="103">
        <v>1</v>
      </c>
      <c r="E166" s="107"/>
      <c r="F166" s="108"/>
      <c r="G166" s="108"/>
      <c r="H166" s="109"/>
    </row>
    <row r="167" spans="1:8" x14ac:dyDescent="0.25">
      <c r="A167" s="652" t="s">
        <v>296</v>
      </c>
      <c r="B167" s="652"/>
      <c r="C167" s="345"/>
      <c r="D167" s="103">
        <v>1</v>
      </c>
      <c r="E167" s="107"/>
      <c r="F167" s="108"/>
      <c r="G167" s="108"/>
      <c r="H167" s="109"/>
    </row>
    <row r="168" spans="1:8" x14ac:dyDescent="0.25">
      <c r="A168" s="652" t="s">
        <v>297</v>
      </c>
      <c r="B168" s="652"/>
      <c r="C168" s="345"/>
      <c r="D168" s="103">
        <v>1</v>
      </c>
      <c r="E168" s="107"/>
      <c r="F168" s="108"/>
      <c r="G168" s="108"/>
      <c r="H168" s="109"/>
    </row>
    <row r="169" spans="1:8" x14ac:dyDescent="0.25">
      <c r="A169" s="652" t="s">
        <v>298</v>
      </c>
      <c r="B169" s="652"/>
      <c r="C169" s="345"/>
      <c r="D169" s="103">
        <v>1</v>
      </c>
      <c r="E169" s="107"/>
      <c r="F169" s="108"/>
      <c r="G169" s="108"/>
      <c r="H169" s="109"/>
    </row>
    <row r="170" spans="1:8" x14ac:dyDescent="0.25">
      <c r="A170" s="652" t="s">
        <v>299</v>
      </c>
      <c r="B170" s="652"/>
      <c r="C170" s="345"/>
      <c r="D170" s="103">
        <v>1</v>
      </c>
      <c r="E170" s="107"/>
      <c r="F170" s="108"/>
      <c r="G170" s="108"/>
      <c r="H170" s="109"/>
    </row>
    <row r="171" spans="1:8" x14ac:dyDescent="0.25">
      <c r="A171" s="652" t="s">
        <v>300</v>
      </c>
      <c r="B171" s="652"/>
      <c r="C171" s="345"/>
      <c r="D171" s="103">
        <v>1</v>
      </c>
      <c r="E171" s="107"/>
      <c r="F171" s="108"/>
      <c r="G171" s="108"/>
      <c r="H171" s="109"/>
    </row>
    <row r="172" spans="1:8" x14ac:dyDescent="0.25">
      <c r="A172" s="652" t="s">
        <v>301</v>
      </c>
      <c r="B172" s="652"/>
      <c r="C172" s="345"/>
      <c r="D172" s="103">
        <v>1</v>
      </c>
      <c r="E172" s="107"/>
      <c r="F172" s="108"/>
      <c r="G172" s="108"/>
      <c r="H172" s="109"/>
    </row>
    <row r="173" spans="1:8" x14ac:dyDescent="0.25">
      <c r="A173" s="652" t="s">
        <v>302</v>
      </c>
      <c r="B173" s="652"/>
      <c r="C173" s="345"/>
      <c r="D173" s="103">
        <v>1</v>
      </c>
      <c r="E173" s="107"/>
      <c r="F173" s="108"/>
      <c r="G173" s="108"/>
      <c r="H173" s="109"/>
    </row>
    <row r="174" spans="1:8" x14ac:dyDescent="0.25">
      <c r="A174" s="652" t="s">
        <v>303</v>
      </c>
      <c r="B174" s="652"/>
      <c r="C174" s="345"/>
      <c r="D174" s="103">
        <v>1</v>
      </c>
      <c r="E174" s="107"/>
      <c r="F174" s="108"/>
      <c r="G174" s="108"/>
      <c r="H174" s="109"/>
    </row>
    <row r="175" spans="1:8" x14ac:dyDescent="0.25">
      <c r="A175" s="652" t="s">
        <v>304</v>
      </c>
      <c r="B175" s="652"/>
      <c r="C175" s="345"/>
      <c r="D175" s="103">
        <v>1</v>
      </c>
      <c r="E175" s="107"/>
      <c r="F175" s="108"/>
      <c r="G175" s="108"/>
      <c r="H175" s="109"/>
    </row>
    <row r="176" spans="1:8" x14ac:dyDescent="0.25">
      <c r="A176" s="652" t="s">
        <v>305</v>
      </c>
      <c r="B176" s="652"/>
      <c r="C176" s="345"/>
      <c r="D176" s="103">
        <v>1</v>
      </c>
      <c r="E176" s="107"/>
      <c r="F176" s="108"/>
      <c r="G176" s="108"/>
      <c r="H176" s="109"/>
    </row>
    <row r="177" spans="1:8" x14ac:dyDescent="0.25">
      <c r="A177" s="652" t="s">
        <v>306</v>
      </c>
      <c r="B177" s="652"/>
      <c r="C177" s="345"/>
      <c r="D177" s="103">
        <v>1</v>
      </c>
      <c r="E177" s="107"/>
      <c r="F177" s="108"/>
      <c r="G177" s="108"/>
      <c r="H177" s="109"/>
    </row>
    <row r="178" spans="1:8" x14ac:dyDescent="0.25">
      <c r="A178" s="652" t="s">
        <v>307</v>
      </c>
      <c r="B178" s="652"/>
      <c r="C178" s="345"/>
      <c r="D178" s="103">
        <v>1</v>
      </c>
      <c r="E178" s="107"/>
      <c r="F178" s="108"/>
      <c r="G178" s="108"/>
      <c r="H178" s="109"/>
    </row>
    <row r="179" spans="1:8" x14ac:dyDescent="0.25">
      <c r="A179" s="652" t="s">
        <v>308</v>
      </c>
      <c r="B179" s="652"/>
      <c r="C179" s="345"/>
      <c r="D179" s="103">
        <v>1</v>
      </c>
      <c r="E179" s="107"/>
      <c r="F179" s="108"/>
      <c r="G179" s="108"/>
      <c r="H179" s="109"/>
    </row>
    <row r="180" spans="1:8" x14ac:dyDescent="0.25">
      <c r="A180" s="652" t="s">
        <v>309</v>
      </c>
      <c r="B180" s="652"/>
      <c r="C180" s="345"/>
      <c r="D180" s="103">
        <v>1</v>
      </c>
      <c r="E180" s="107"/>
      <c r="F180" s="108"/>
      <c r="G180" s="108"/>
      <c r="H180" s="109"/>
    </row>
    <row r="181" spans="1:8" x14ac:dyDescent="0.25">
      <c r="A181" s="652" t="s">
        <v>310</v>
      </c>
      <c r="B181" s="652"/>
      <c r="C181" s="345"/>
      <c r="D181" s="103">
        <v>1</v>
      </c>
      <c r="E181" s="107"/>
      <c r="F181" s="108"/>
      <c r="G181" s="108"/>
      <c r="H181" s="109"/>
    </row>
    <row r="182" spans="1:8" x14ac:dyDescent="0.25">
      <c r="A182" s="652" t="s">
        <v>311</v>
      </c>
      <c r="B182" s="652"/>
      <c r="C182" s="345"/>
      <c r="D182" s="103">
        <v>1</v>
      </c>
      <c r="E182" s="107"/>
      <c r="F182" s="108"/>
      <c r="G182" s="108"/>
      <c r="H182" s="109"/>
    </row>
    <row r="183" spans="1:8" x14ac:dyDescent="0.25">
      <c r="A183" s="652" t="s">
        <v>312</v>
      </c>
      <c r="B183" s="652"/>
      <c r="C183" s="345"/>
      <c r="D183" s="103">
        <v>1</v>
      </c>
      <c r="E183" s="107"/>
      <c r="F183" s="108"/>
      <c r="G183" s="108"/>
      <c r="H183" s="109"/>
    </row>
    <row r="184" spans="1:8" x14ac:dyDescent="0.25">
      <c r="A184" s="652" t="s">
        <v>313</v>
      </c>
      <c r="B184" s="652"/>
      <c r="C184" s="345"/>
      <c r="D184" s="103">
        <v>1</v>
      </c>
      <c r="E184" s="107"/>
      <c r="F184" s="108"/>
      <c r="G184" s="108"/>
      <c r="H184" s="109"/>
    </row>
    <row r="185" spans="1:8" x14ac:dyDescent="0.25">
      <c r="A185" s="652" t="s">
        <v>314</v>
      </c>
      <c r="B185" s="652"/>
      <c r="C185" s="345"/>
      <c r="D185" s="103">
        <v>1</v>
      </c>
      <c r="E185" s="107"/>
      <c r="F185" s="108"/>
      <c r="G185" s="108"/>
      <c r="H185" s="109"/>
    </row>
    <row r="186" spans="1:8" x14ac:dyDescent="0.25">
      <c r="A186" s="652" t="s">
        <v>315</v>
      </c>
      <c r="B186" s="652"/>
      <c r="C186" s="345"/>
      <c r="D186" s="103">
        <v>1</v>
      </c>
      <c r="E186" s="107"/>
      <c r="F186" s="108"/>
      <c r="G186" s="108"/>
      <c r="H186" s="109"/>
    </row>
    <row r="187" spans="1:8" x14ac:dyDescent="0.25">
      <c r="A187" s="652" t="s">
        <v>316</v>
      </c>
      <c r="B187" s="652"/>
      <c r="C187" s="345"/>
      <c r="D187" s="103">
        <v>1</v>
      </c>
      <c r="E187" s="107"/>
      <c r="F187" s="108"/>
      <c r="G187" s="108"/>
      <c r="H187" s="109"/>
    </row>
    <row r="188" spans="1:8" x14ac:dyDescent="0.25">
      <c r="A188" s="652" t="s">
        <v>317</v>
      </c>
      <c r="B188" s="652"/>
      <c r="C188" s="345"/>
      <c r="D188" s="103">
        <v>1</v>
      </c>
      <c r="E188" s="107"/>
      <c r="F188" s="108"/>
      <c r="G188" s="108"/>
      <c r="H188" s="109"/>
    </row>
    <row r="189" spans="1:8" x14ac:dyDescent="0.25">
      <c r="A189" s="652" t="s">
        <v>318</v>
      </c>
      <c r="B189" s="652"/>
      <c r="C189" s="345"/>
      <c r="D189" s="103">
        <v>1</v>
      </c>
      <c r="E189" s="107"/>
      <c r="F189" s="108"/>
      <c r="G189" s="108"/>
      <c r="H189" s="109"/>
    </row>
    <row r="190" spans="1:8" x14ac:dyDescent="0.25">
      <c r="A190" s="652" t="s">
        <v>319</v>
      </c>
      <c r="B190" s="652"/>
      <c r="C190" s="345"/>
      <c r="D190" s="103">
        <v>1</v>
      </c>
      <c r="E190" s="107"/>
      <c r="F190" s="108"/>
      <c r="G190" s="108"/>
      <c r="H190" s="109"/>
    </row>
    <row r="191" spans="1:8" x14ac:dyDescent="0.25">
      <c r="A191" s="652" t="s">
        <v>320</v>
      </c>
      <c r="B191" s="652"/>
      <c r="C191" s="345"/>
      <c r="D191" s="103">
        <v>1</v>
      </c>
      <c r="E191" s="107"/>
      <c r="F191" s="108"/>
      <c r="G191" s="108"/>
      <c r="H191" s="109"/>
    </row>
    <row r="192" spans="1:8" x14ac:dyDescent="0.25">
      <c r="A192" s="652" t="s">
        <v>321</v>
      </c>
      <c r="B192" s="652"/>
      <c r="C192" s="345"/>
      <c r="D192" s="103">
        <v>1</v>
      </c>
      <c r="E192" s="107"/>
      <c r="F192" s="108"/>
      <c r="G192" s="108"/>
      <c r="H192" s="109"/>
    </row>
    <row r="193" spans="1:8" x14ac:dyDescent="0.25">
      <c r="A193" s="652" t="s">
        <v>322</v>
      </c>
      <c r="B193" s="652"/>
      <c r="C193" s="345"/>
      <c r="D193" s="103">
        <v>1</v>
      </c>
      <c r="E193" s="107"/>
      <c r="F193" s="108"/>
      <c r="G193" s="108"/>
      <c r="H193" s="109"/>
    </row>
    <row r="194" spans="1:8" x14ac:dyDescent="0.25">
      <c r="A194" s="652" t="s">
        <v>323</v>
      </c>
      <c r="B194" s="652"/>
      <c r="C194" s="345"/>
      <c r="D194" s="103">
        <v>1</v>
      </c>
      <c r="E194" s="107"/>
      <c r="F194" s="108"/>
      <c r="G194" s="108"/>
      <c r="H194" s="109"/>
    </row>
    <row r="195" spans="1:8" x14ac:dyDescent="0.25">
      <c r="A195" s="652" t="s">
        <v>324</v>
      </c>
      <c r="B195" s="652"/>
      <c r="C195" s="345"/>
      <c r="D195" s="103">
        <v>1</v>
      </c>
      <c r="E195" s="107"/>
      <c r="F195" s="108"/>
      <c r="G195" s="108"/>
      <c r="H195" s="109"/>
    </row>
    <row r="196" spans="1:8" x14ac:dyDescent="0.25">
      <c r="A196" s="652" t="s">
        <v>325</v>
      </c>
      <c r="B196" s="652"/>
      <c r="C196" s="345"/>
      <c r="D196" s="103">
        <v>1</v>
      </c>
      <c r="E196" s="107"/>
      <c r="F196" s="108"/>
      <c r="G196" s="108"/>
      <c r="H196" s="109"/>
    </row>
    <row r="197" spans="1:8" x14ac:dyDescent="0.25">
      <c r="A197" s="652" t="s">
        <v>326</v>
      </c>
      <c r="B197" s="652"/>
      <c r="C197" s="345"/>
      <c r="D197" s="103">
        <v>1</v>
      </c>
      <c r="E197" s="107"/>
      <c r="F197" s="108"/>
      <c r="G197" s="108"/>
      <c r="H197" s="109"/>
    </row>
    <row r="198" spans="1:8" x14ac:dyDescent="0.25">
      <c r="A198" s="652" t="s">
        <v>327</v>
      </c>
      <c r="B198" s="652"/>
      <c r="C198" s="345"/>
      <c r="D198" s="103">
        <v>1</v>
      </c>
      <c r="E198" s="107"/>
      <c r="F198" s="108"/>
      <c r="G198" s="108"/>
      <c r="H198" s="109"/>
    </row>
    <row r="199" spans="1:8" x14ac:dyDescent="0.25">
      <c r="A199" s="652" t="s">
        <v>328</v>
      </c>
      <c r="B199" s="652"/>
      <c r="C199" s="345"/>
      <c r="D199" s="103">
        <v>1</v>
      </c>
      <c r="E199" s="107"/>
      <c r="F199" s="108"/>
      <c r="G199" s="108"/>
      <c r="H199" s="109"/>
    </row>
    <row r="200" spans="1:8" x14ac:dyDescent="0.25">
      <c r="A200" s="652" t="s">
        <v>329</v>
      </c>
      <c r="B200" s="652"/>
      <c r="C200" s="345"/>
      <c r="D200" s="103">
        <v>1</v>
      </c>
      <c r="E200" s="107"/>
      <c r="F200" s="108"/>
      <c r="G200" s="108"/>
      <c r="H200" s="109"/>
    </row>
    <row r="201" spans="1:8" x14ac:dyDescent="0.25">
      <c r="A201" s="652" t="s">
        <v>330</v>
      </c>
      <c r="B201" s="652"/>
      <c r="C201" s="345"/>
      <c r="D201" s="103">
        <v>1</v>
      </c>
      <c r="E201" s="107"/>
      <c r="F201" s="108"/>
      <c r="G201" s="108"/>
      <c r="H201" s="109"/>
    </row>
    <row r="202" spans="1:8" x14ac:dyDescent="0.25">
      <c r="A202" s="652" t="s">
        <v>331</v>
      </c>
      <c r="B202" s="652"/>
      <c r="C202" s="345"/>
      <c r="D202" s="103">
        <v>1</v>
      </c>
      <c r="E202" s="107"/>
      <c r="F202" s="108"/>
      <c r="G202" s="108"/>
      <c r="H202" s="109"/>
    </row>
    <row r="203" spans="1:8" x14ac:dyDescent="0.25">
      <c r="A203" s="652" t="s">
        <v>332</v>
      </c>
      <c r="B203" s="652"/>
      <c r="C203" s="345"/>
      <c r="D203" s="103">
        <v>1</v>
      </c>
      <c r="E203" s="107"/>
      <c r="F203" s="108"/>
      <c r="G203" s="108"/>
      <c r="H203" s="109"/>
    </row>
    <row r="204" spans="1:8" x14ac:dyDescent="0.25">
      <c r="A204" s="652" t="s">
        <v>333</v>
      </c>
      <c r="B204" s="652"/>
      <c r="C204" s="345"/>
      <c r="D204" s="103">
        <v>1</v>
      </c>
      <c r="E204" s="107"/>
      <c r="F204" s="108"/>
      <c r="G204" s="108"/>
      <c r="H204" s="109"/>
    </row>
    <row r="205" spans="1:8" x14ac:dyDescent="0.25">
      <c r="A205" s="652" t="s">
        <v>334</v>
      </c>
      <c r="B205" s="652"/>
      <c r="C205" s="345"/>
      <c r="D205" s="103">
        <v>1</v>
      </c>
      <c r="E205" s="107"/>
      <c r="F205" s="108"/>
      <c r="G205" s="108"/>
      <c r="H205" s="109"/>
    </row>
    <row r="206" spans="1:8" x14ac:dyDescent="0.25">
      <c r="A206" s="652" t="s">
        <v>335</v>
      </c>
      <c r="B206" s="652"/>
      <c r="C206" s="345"/>
      <c r="D206" s="103">
        <v>1</v>
      </c>
      <c r="E206" s="107"/>
      <c r="F206" s="108"/>
      <c r="G206" s="108"/>
      <c r="H206" s="109"/>
    </row>
    <row r="207" spans="1:8" x14ac:dyDescent="0.25">
      <c r="A207" s="652" t="s">
        <v>336</v>
      </c>
      <c r="B207" s="652"/>
      <c r="C207" s="345"/>
      <c r="D207" s="103">
        <v>1</v>
      </c>
      <c r="E207" s="107"/>
      <c r="F207" s="108"/>
      <c r="G207" s="108"/>
      <c r="H207" s="109"/>
    </row>
    <row r="208" spans="1:8" x14ac:dyDescent="0.25">
      <c r="A208" s="652" t="s">
        <v>337</v>
      </c>
      <c r="B208" s="652"/>
      <c r="C208" s="345"/>
      <c r="D208" s="103">
        <v>1</v>
      </c>
      <c r="E208" s="107"/>
      <c r="F208" s="108"/>
      <c r="G208" s="108"/>
      <c r="H208" s="109"/>
    </row>
    <row r="209" spans="1:8" x14ac:dyDescent="0.25">
      <c r="A209" s="652" t="s">
        <v>338</v>
      </c>
      <c r="B209" s="652"/>
      <c r="C209" s="345"/>
      <c r="D209" s="103">
        <v>1</v>
      </c>
      <c r="E209" s="107"/>
      <c r="F209" s="108"/>
      <c r="G209" s="108"/>
      <c r="H209" s="109"/>
    </row>
    <row r="210" spans="1:8" x14ac:dyDescent="0.25">
      <c r="A210" s="652" t="s">
        <v>339</v>
      </c>
      <c r="B210" s="652"/>
      <c r="C210" s="345"/>
      <c r="D210" s="103">
        <v>1</v>
      </c>
      <c r="E210" s="107"/>
      <c r="F210" s="108"/>
      <c r="G210" s="108"/>
      <c r="H210" s="109"/>
    </row>
    <row r="211" spans="1:8" x14ac:dyDescent="0.25">
      <c r="A211" s="652" t="s">
        <v>340</v>
      </c>
      <c r="B211" s="652"/>
      <c r="C211" s="345"/>
      <c r="D211" s="103">
        <v>1</v>
      </c>
      <c r="E211" s="107"/>
      <c r="F211" s="108"/>
      <c r="G211" s="108"/>
      <c r="H211" s="109"/>
    </row>
    <row r="212" spans="1:8" x14ac:dyDescent="0.25">
      <c r="A212" s="652" t="s">
        <v>341</v>
      </c>
      <c r="B212" s="652"/>
      <c r="C212" s="345"/>
      <c r="D212" s="103">
        <v>1</v>
      </c>
      <c r="E212" s="107"/>
      <c r="F212" s="108"/>
      <c r="G212" s="108"/>
      <c r="H212" s="109"/>
    </row>
    <row r="213" spans="1:8" x14ac:dyDescent="0.25">
      <c r="A213" s="652" t="s">
        <v>342</v>
      </c>
      <c r="B213" s="652"/>
      <c r="C213" s="345"/>
      <c r="D213" s="103">
        <v>1</v>
      </c>
      <c r="E213" s="107"/>
      <c r="F213" s="108"/>
      <c r="G213" s="108"/>
      <c r="H213" s="109"/>
    </row>
    <row r="214" spans="1:8" x14ac:dyDescent="0.25">
      <c r="A214" s="652" t="s">
        <v>343</v>
      </c>
      <c r="B214" s="652"/>
      <c r="C214" s="345"/>
      <c r="D214" s="103">
        <v>1</v>
      </c>
      <c r="E214" s="107"/>
      <c r="F214" s="108"/>
      <c r="G214" s="108"/>
      <c r="H214" s="109"/>
    </row>
    <row r="215" spans="1:8" x14ac:dyDescent="0.25">
      <c r="A215" s="652" t="s">
        <v>344</v>
      </c>
      <c r="B215" s="652"/>
      <c r="C215" s="345"/>
      <c r="D215" s="103">
        <v>1</v>
      </c>
      <c r="E215" s="107"/>
      <c r="F215" s="108"/>
      <c r="G215" s="108"/>
      <c r="H215" s="109"/>
    </row>
    <row r="216" spans="1:8" x14ac:dyDescent="0.25">
      <c r="A216" s="652" t="s">
        <v>345</v>
      </c>
      <c r="B216" s="652"/>
      <c r="C216" s="345"/>
      <c r="D216" s="103">
        <v>1</v>
      </c>
      <c r="E216" s="107"/>
      <c r="F216" s="108"/>
      <c r="G216" s="108"/>
      <c r="H216" s="109"/>
    </row>
    <row r="217" spans="1:8" x14ac:dyDescent="0.25">
      <c r="A217" s="652" t="s">
        <v>346</v>
      </c>
      <c r="B217" s="652"/>
      <c r="C217" s="345"/>
      <c r="D217" s="103">
        <v>1</v>
      </c>
      <c r="E217" s="107"/>
      <c r="F217" s="108"/>
      <c r="G217" s="108"/>
      <c r="H217" s="109"/>
    </row>
    <row r="218" spans="1:8" x14ac:dyDescent="0.25">
      <c r="A218" s="652" t="s">
        <v>347</v>
      </c>
      <c r="B218" s="652"/>
      <c r="C218" s="345"/>
      <c r="D218" s="103">
        <v>1</v>
      </c>
      <c r="E218" s="107"/>
      <c r="F218" s="108"/>
      <c r="G218" s="108"/>
      <c r="H218" s="109"/>
    </row>
    <row r="219" spans="1:8" x14ac:dyDescent="0.25">
      <c r="A219" s="652" t="s">
        <v>348</v>
      </c>
      <c r="B219" s="652"/>
      <c r="C219" s="345"/>
      <c r="D219" s="103">
        <v>1</v>
      </c>
      <c r="E219" s="107"/>
      <c r="F219" s="108"/>
      <c r="G219" s="108"/>
      <c r="H219" s="109"/>
    </row>
    <row r="220" spans="1:8" x14ac:dyDescent="0.25">
      <c r="A220" s="652" t="s">
        <v>349</v>
      </c>
      <c r="B220" s="652"/>
      <c r="C220" s="345"/>
      <c r="D220" s="103">
        <v>1</v>
      </c>
      <c r="E220" s="107"/>
      <c r="F220" s="108"/>
      <c r="G220" s="108"/>
      <c r="H220" s="109"/>
    </row>
    <row r="221" spans="1:8" x14ac:dyDescent="0.25">
      <c r="A221" s="652" t="s">
        <v>350</v>
      </c>
      <c r="B221" s="652"/>
      <c r="C221" s="345"/>
      <c r="D221" s="103">
        <v>1</v>
      </c>
      <c r="E221" s="107"/>
      <c r="F221" s="108"/>
      <c r="G221" s="108"/>
      <c r="H221" s="109"/>
    </row>
    <row r="222" spans="1:8" x14ac:dyDescent="0.25">
      <c r="A222" s="652" t="s">
        <v>351</v>
      </c>
      <c r="B222" s="652"/>
      <c r="C222" s="345"/>
      <c r="D222" s="103">
        <v>1</v>
      </c>
      <c r="E222" s="107"/>
      <c r="F222" s="108"/>
      <c r="G222" s="108"/>
      <c r="H222" s="109"/>
    </row>
    <row r="223" spans="1:8" x14ac:dyDescent="0.25">
      <c r="A223" s="652" t="s">
        <v>352</v>
      </c>
      <c r="B223" s="652"/>
      <c r="C223" s="345"/>
      <c r="D223" s="103">
        <v>1</v>
      </c>
      <c r="E223" s="107"/>
      <c r="F223" s="108"/>
      <c r="G223" s="108"/>
      <c r="H223" s="109"/>
    </row>
    <row r="224" spans="1:8" x14ac:dyDescent="0.25">
      <c r="A224" s="652" t="s">
        <v>353</v>
      </c>
      <c r="B224" s="652"/>
      <c r="C224" s="345"/>
      <c r="D224" s="103">
        <v>1</v>
      </c>
      <c r="E224" s="107"/>
      <c r="F224" s="108"/>
      <c r="G224" s="108"/>
      <c r="H224" s="109"/>
    </row>
    <row r="225" spans="1:8" x14ac:dyDescent="0.25">
      <c r="A225" s="652" t="s">
        <v>354</v>
      </c>
      <c r="B225" s="652"/>
      <c r="C225" s="345"/>
      <c r="D225" s="103">
        <v>1</v>
      </c>
      <c r="E225" s="107"/>
      <c r="F225" s="108"/>
      <c r="G225" s="108"/>
      <c r="H225" s="109"/>
    </row>
    <row r="226" spans="1:8" x14ac:dyDescent="0.25">
      <c r="A226" s="652" t="s">
        <v>355</v>
      </c>
      <c r="B226" s="652"/>
      <c r="C226" s="345"/>
      <c r="D226" s="103">
        <v>1</v>
      </c>
      <c r="E226" s="107"/>
      <c r="F226" s="108"/>
      <c r="G226" s="108"/>
      <c r="H226" s="109"/>
    </row>
    <row r="227" spans="1:8" x14ac:dyDescent="0.25">
      <c r="A227" s="652" t="s">
        <v>356</v>
      </c>
      <c r="B227" s="652"/>
      <c r="C227" s="345"/>
      <c r="D227" s="103">
        <v>1</v>
      </c>
      <c r="E227" s="107"/>
      <c r="F227" s="108"/>
      <c r="G227" s="108"/>
      <c r="H227" s="109"/>
    </row>
    <row r="228" spans="1:8" x14ac:dyDescent="0.25">
      <c r="A228" s="652" t="s">
        <v>357</v>
      </c>
      <c r="B228" s="652"/>
      <c r="C228" s="345"/>
      <c r="D228" s="103">
        <v>1</v>
      </c>
      <c r="E228" s="107"/>
      <c r="F228" s="108"/>
      <c r="G228" s="108"/>
      <c r="H228" s="109"/>
    </row>
    <row r="229" spans="1:8" x14ac:dyDescent="0.25">
      <c r="A229" s="652" t="s">
        <v>358</v>
      </c>
      <c r="B229" s="652"/>
      <c r="C229" s="345"/>
      <c r="D229" s="103">
        <v>1</v>
      </c>
      <c r="E229" s="107"/>
      <c r="F229" s="108"/>
      <c r="G229" s="108"/>
      <c r="H229" s="109"/>
    </row>
    <row r="230" spans="1:8" x14ac:dyDescent="0.25">
      <c r="A230" s="652" t="s">
        <v>359</v>
      </c>
      <c r="B230" s="652"/>
      <c r="C230" s="345"/>
      <c r="D230" s="103">
        <v>1</v>
      </c>
      <c r="E230" s="107"/>
      <c r="F230" s="108"/>
      <c r="G230" s="108"/>
      <c r="H230" s="109"/>
    </row>
    <row r="231" spans="1:8" x14ac:dyDescent="0.25">
      <c r="A231" s="652" t="s">
        <v>360</v>
      </c>
      <c r="B231" s="652"/>
      <c r="C231" s="345"/>
      <c r="D231" s="103">
        <v>1</v>
      </c>
      <c r="E231" s="107"/>
      <c r="F231" s="108"/>
      <c r="G231" s="108"/>
      <c r="H231" s="109"/>
    </row>
    <row r="232" spans="1:8" x14ac:dyDescent="0.25">
      <c r="A232" s="652" t="s">
        <v>361</v>
      </c>
      <c r="B232" s="652"/>
      <c r="C232" s="345"/>
      <c r="D232" s="103">
        <v>1</v>
      </c>
      <c r="E232" s="107"/>
      <c r="F232" s="108"/>
      <c r="G232" s="108"/>
      <c r="H232" s="109"/>
    </row>
    <row r="233" spans="1:8" x14ac:dyDescent="0.25">
      <c r="A233" s="652" t="s">
        <v>362</v>
      </c>
      <c r="B233" s="652"/>
      <c r="C233" s="345"/>
      <c r="D233" s="103">
        <v>1</v>
      </c>
      <c r="E233" s="107"/>
      <c r="F233" s="108"/>
      <c r="G233" s="108"/>
      <c r="H233" s="109"/>
    </row>
    <row r="234" spans="1:8" x14ac:dyDescent="0.25">
      <c r="A234" s="652" t="s">
        <v>363</v>
      </c>
      <c r="B234" s="652"/>
      <c r="C234" s="345"/>
      <c r="D234" s="103">
        <v>1</v>
      </c>
      <c r="E234" s="107"/>
      <c r="F234" s="108"/>
      <c r="G234" s="108"/>
      <c r="H234" s="109"/>
    </row>
    <row r="235" spans="1:8" x14ac:dyDescent="0.25">
      <c r="A235" s="652" t="s">
        <v>364</v>
      </c>
      <c r="B235" s="652"/>
      <c r="C235" s="345"/>
      <c r="D235" s="103">
        <v>1</v>
      </c>
      <c r="E235" s="107"/>
      <c r="F235" s="108"/>
      <c r="G235" s="108"/>
      <c r="H235" s="109"/>
    </row>
    <row r="236" spans="1:8" x14ac:dyDescent="0.25">
      <c r="A236" s="652" t="s">
        <v>365</v>
      </c>
      <c r="B236" s="652"/>
      <c r="C236" s="345"/>
      <c r="D236" s="103">
        <v>1</v>
      </c>
      <c r="E236" s="107"/>
      <c r="F236" s="108"/>
      <c r="G236" s="108"/>
      <c r="H236" s="109"/>
    </row>
    <row r="237" spans="1:8" x14ac:dyDescent="0.25">
      <c r="A237" s="652" t="s">
        <v>366</v>
      </c>
      <c r="B237" s="652"/>
      <c r="C237" s="345"/>
      <c r="D237" s="103">
        <v>1</v>
      </c>
      <c r="E237" s="107"/>
      <c r="F237" s="108"/>
      <c r="G237" s="108"/>
      <c r="H237" s="109"/>
    </row>
    <row r="238" spans="1:8" x14ac:dyDescent="0.25">
      <c r="A238" s="652" t="s">
        <v>367</v>
      </c>
      <c r="B238" s="652"/>
      <c r="C238" s="345"/>
      <c r="D238" s="103">
        <v>1</v>
      </c>
      <c r="E238" s="107"/>
      <c r="F238" s="108"/>
      <c r="G238" s="108"/>
      <c r="H238" s="109"/>
    </row>
  </sheetData>
  <sheetProtection formatCells="0" formatColumns="0" formatRows="0"/>
  <sortState ref="Z10:AJ17">
    <sortCondition descending="1" ref="Z10"/>
  </sortState>
  <mergeCells count="270">
    <mergeCell ref="AL25:AW25"/>
    <mergeCell ref="A24:AW24"/>
    <mergeCell ref="Q7:R7"/>
    <mergeCell ref="M4:N4"/>
    <mergeCell ref="M3:R3"/>
    <mergeCell ref="M5:N5"/>
    <mergeCell ref="M6:N6"/>
    <mergeCell ref="M7:N7"/>
    <mergeCell ref="O4:P4"/>
    <mergeCell ref="Q4:R4"/>
    <mergeCell ref="O5:P5"/>
    <mergeCell ref="O6:P6"/>
    <mergeCell ref="O7:P7"/>
    <mergeCell ref="Q5:R5"/>
    <mergeCell ref="Q6:R6"/>
    <mergeCell ref="B4:C4"/>
    <mergeCell ref="B10:C10"/>
    <mergeCell ref="B6:C6"/>
    <mergeCell ref="B7:C7"/>
    <mergeCell ref="I14:K14"/>
    <mergeCell ref="G13:H13"/>
    <mergeCell ref="G11:H11"/>
    <mergeCell ref="D15:E15"/>
    <mergeCell ref="D16:E16"/>
    <mergeCell ref="A181:B181"/>
    <mergeCell ref="A182:B182"/>
    <mergeCell ref="A183:B183"/>
    <mergeCell ref="A184:B184"/>
    <mergeCell ref="A185:B185"/>
    <mergeCell ref="A186:B186"/>
    <mergeCell ref="A175:B175"/>
    <mergeCell ref="A176:B176"/>
    <mergeCell ref="A177:B177"/>
    <mergeCell ref="A178:B178"/>
    <mergeCell ref="A179:B179"/>
    <mergeCell ref="A180:B180"/>
    <mergeCell ref="A238:B238"/>
    <mergeCell ref="A229:B229"/>
    <mergeCell ref="A230:B230"/>
    <mergeCell ref="A231:B231"/>
    <mergeCell ref="A232:B232"/>
    <mergeCell ref="A233:B233"/>
    <mergeCell ref="A234:B234"/>
    <mergeCell ref="A202:B202"/>
    <mergeCell ref="A203:B203"/>
    <mergeCell ref="A204:B204"/>
    <mergeCell ref="A205:B205"/>
    <mergeCell ref="A206:B206"/>
    <mergeCell ref="A207:B207"/>
    <mergeCell ref="A208:B208"/>
    <mergeCell ref="A209:B209"/>
    <mergeCell ref="A210:B210"/>
    <mergeCell ref="A235:B235"/>
    <mergeCell ref="A236:B236"/>
    <mergeCell ref="A237:B237"/>
    <mergeCell ref="A223:B223"/>
    <mergeCell ref="A224:B224"/>
    <mergeCell ref="A225:B225"/>
    <mergeCell ref="A226:B226"/>
    <mergeCell ref="A193:B193"/>
    <mergeCell ref="A194:B194"/>
    <mergeCell ref="A195:B195"/>
    <mergeCell ref="A196:B196"/>
    <mergeCell ref="A197:B197"/>
    <mergeCell ref="A198:B198"/>
    <mergeCell ref="A187:B187"/>
    <mergeCell ref="A188:B188"/>
    <mergeCell ref="A189:B189"/>
    <mergeCell ref="A190:B190"/>
    <mergeCell ref="A191:B191"/>
    <mergeCell ref="A192:B192"/>
    <mergeCell ref="A199:B199"/>
    <mergeCell ref="A200:B200"/>
    <mergeCell ref="A201:B201"/>
    <mergeCell ref="A227:B227"/>
    <mergeCell ref="A228:B228"/>
    <mergeCell ref="A217:B217"/>
    <mergeCell ref="A218:B218"/>
    <mergeCell ref="A219:B219"/>
    <mergeCell ref="A220:B220"/>
    <mergeCell ref="A221:B221"/>
    <mergeCell ref="A222:B222"/>
    <mergeCell ref="A211:B211"/>
    <mergeCell ref="A212:B212"/>
    <mergeCell ref="A213:B213"/>
    <mergeCell ref="A214:B214"/>
    <mergeCell ref="A215:B215"/>
    <mergeCell ref="A216:B216"/>
    <mergeCell ref="A170:B170"/>
    <mergeCell ref="A171:B171"/>
    <mergeCell ref="A172:B172"/>
    <mergeCell ref="A173:B173"/>
    <mergeCell ref="A174:B174"/>
    <mergeCell ref="A163:B163"/>
    <mergeCell ref="A164:B164"/>
    <mergeCell ref="A165:B165"/>
    <mergeCell ref="A166:B166"/>
    <mergeCell ref="A167:B167"/>
    <mergeCell ref="A168:B168"/>
    <mergeCell ref="A169:B169"/>
    <mergeCell ref="A157:B157"/>
    <mergeCell ref="A158:B158"/>
    <mergeCell ref="A159:B159"/>
    <mergeCell ref="A160:B160"/>
    <mergeCell ref="A161:B161"/>
    <mergeCell ref="A162:B162"/>
    <mergeCell ref="A151:B151"/>
    <mergeCell ref="A152:B152"/>
    <mergeCell ref="A153:B153"/>
    <mergeCell ref="A154:B154"/>
    <mergeCell ref="A155:B155"/>
    <mergeCell ref="A156:B156"/>
    <mergeCell ref="A145:B145"/>
    <mergeCell ref="A146:B146"/>
    <mergeCell ref="A147:B147"/>
    <mergeCell ref="A148:B148"/>
    <mergeCell ref="A149:B149"/>
    <mergeCell ref="A150:B150"/>
    <mergeCell ref="A139:B139"/>
    <mergeCell ref="A140:B140"/>
    <mergeCell ref="A141:B141"/>
    <mergeCell ref="A142:B142"/>
    <mergeCell ref="A143:B143"/>
    <mergeCell ref="A144:B144"/>
    <mergeCell ref="A133:B133"/>
    <mergeCell ref="A134:B134"/>
    <mergeCell ref="A135:B135"/>
    <mergeCell ref="A136:B136"/>
    <mergeCell ref="A137:B137"/>
    <mergeCell ref="A138:B138"/>
    <mergeCell ref="A127:B127"/>
    <mergeCell ref="A128:B128"/>
    <mergeCell ref="A129:B129"/>
    <mergeCell ref="A130:B130"/>
    <mergeCell ref="A131:B131"/>
    <mergeCell ref="A132:B132"/>
    <mergeCell ref="A121:B121"/>
    <mergeCell ref="A122:B122"/>
    <mergeCell ref="A123:B123"/>
    <mergeCell ref="A124:B124"/>
    <mergeCell ref="A125:B125"/>
    <mergeCell ref="A126:B126"/>
    <mergeCell ref="A115:B115"/>
    <mergeCell ref="A116:B116"/>
    <mergeCell ref="A117:B117"/>
    <mergeCell ref="A118:B118"/>
    <mergeCell ref="A119:B119"/>
    <mergeCell ref="A120:B120"/>
    <mergeCell ref="A60:B60"/>
    <mergeCell ref="A75:B75"/>
    <mergeCell ref="A78:B78"/>
    <mergeCell ref="A77:B77"/>
    <mergeCell ref="A76:B76"/>
    <mergeCell ref="A48:B48"/>
    <mergeCell ref="A82:B82"/>
    <mergeCell ref="A54:B54"/>
    <mergeCell ref="A85:B85"/>
    <mergeCell ref="A83:B83"/>
    <mergeCell ref="A81:B81"/>
    <mergeCell ref="A84:B84"/>
    <mergeCell ref="A72:B72"/>
    <mergeCell ref="B11:C11"/>
    <mergeCell ref="B9:C9"/>
    <mergeCell ref="A109:B109"/>
    <mergeCell ref="A110:B110"/>
    <mergeCell ref="A111:B111"/>
    <mergeCell ref="A112:B112"/>
    <mergeCell ref="A113:B113"/>
    <mergeCell ref="A114:B114"/>
    <mergeCell ref="A103:B103"/>
    <mergeCell ref="A104:B104"/>
    <mergeCell ref="A105:B105"/>
    <mergeCell ref="A106:B106"/>
    <mergeCell ref="A107:B107"/>
    <mergeCell ref="A108:B108"/>
    <mergeCell ref="A53:B53"/>
    <mergeCell ref="A50:B50"/>
    <mergeCell ref="A52:B52"/>
    <mergeCell ref="A42:B42"/>
    <mergeCell ref="A41:B41"/>
    <mergeCell ref="A45:B45"/>
    <mergeCell ref="A86:B86"/>
    <mergeCell ref="A69:B69"/>
    <mergeCell ref="A65:B65"/>
    <mergeCell ref="A68:B68"/>
    <mergeCell ref="B13:C13"/>
    <mergeCell ref="A46:B46"/>
    <mergeCell ref="A49:B49"/>
    <mergeCell ref="A51:B51"/>
    <mergeCell ref="E38:H38"/>
    <mergeCell ref="G14:H14"/>
    <mergeCell ref="A38:B38"/>
    <mergeCell ref="A40:B40"/>
    <mergeCell ref="A44:B44"/>
    <mergeCell ref="B17:C17"/>
    <mergeCell ref="D19:E19"/>
    <mergeCell ref="B18:C18"/>
    <mergeCell ref="D17:E17"/>
    <mergeCell ref="N25:Y25"/>
    <mergeCell ref="Z25:AK25"/>
    <mergeCell ref="A43:B43"/>
    <mergeCell ref="G18:K18"/>
    <mergeCell ref="D18:E18"/>
    <mergeCell ref="B19:C19"/>
    <mergeCell ref="D3:E3"/>
    <mergeCell ref="D4:E4"/>
    <mergeCell ref="D5:E5"/>
    <mergeCell ref="D12:E12"/>
    <mergeCell ref="D13:E13"/>
    <mergeCell ref="B12:C12"/>
    <mergeCell ref="G6:K6"/>
    <mergeCell ref="B16:C16"/>
    <mergeCell ref="B15:C15"/>
    <mergeCell ref="D7:E7"/>
    <mergeCell ref="D9:E9"/>
    <mergeCell ref="B14:C14"/>
    <mergeCell ref="D10:E10"/>
    <mergeCell ref="D11:E11"/>
    <mergeCell ref="B8:C8"/>
    <mergeCell ref="D6:E6"/>
    <mergeCell ref="G4:K4"/>
    <mergeCell ref="G7:K7"/>
    <mergeCell ref="A94:B94"/>
    <mergeCell ref="G5:K5"/>
    <mergeCell ref="I11:K11"/>
    <mergeCell ref="G12:H12"/>
    <mergeCell ref="I12:K12"/>
    <mergeCell ref="D14:E14"/>
    <mergeCell ref="I13:K13"/>
    <mergeCell ref="G3:K3"/>
    <mergeCell ref="A80:B80"/>
    <mergeCell ref="A70:B70"/>
    <mergeCell ref="A67:B67"/>
    <mergeCell ref="D8:E8"/>
    <mergeCell ref="A64:B64"/>
    <mergeCell ref="A55:B55"/>
    <mergeCell ref="A74:B74"/>
    <mergeCell ref="A73:B73"/>
    <mergeCell ref="A57:B57"/>
    <mergeCell ref="A71:B71"/>
    <mergeCell ref="A66:B66"/>
    <mergeCell ref="A56:B56"/>
    <mergeCell ref="G17:K17"/>
    <mergeCell ref="A62:B62"/>
    <mergeCell ref="A79:B79"/>
    <mergeCell ref="A61:B61"/>
    <mergeCell ref="A95:B95"/>
    <mergeCell ref="B3:C3"/>
    <mergeCell ref="B5:C5"/>
    <mergeCell ref="B21:C21"/>
    <mergeCell ref="A92:B92"/>
    <mergeCell ref="A93:B93"/>
    <mergeCell ref="A90:B90"/>
    <mergeCell ref="A91:B91"/>
    <mergeCell ref="A102:B102"/>
    <mergeCell ref="A100:B100"/>
    <mergeCell ref="A101:B101"/>
    <mergeCell ref="A98:B98"/>
    <mergeCell ref="A99:B99"/>
    <mergeCell ref="A96:B96"/>
    <mergeCell ref="A97:B97"/>
    <mergeCell ref="B25:M25"/>
    <mergeCell ref="A47:B47"/>
    <mergeCell ref="A58:B58"/>
    <mergeCell ref="A63:B63"/>
    <mergeCell ref="A39:B39"/>
    <mergeCell ref="A59:B59"/>
    <mergeCell ref="A88:B88"/>
    <mergeCell ref="A89:B89"/>
    <mergeCell ref="A87:B87"/>
  </mergeCells>
  <phoneticPr fontId="5" type="noConversion"/>
  <conditionalFormatting sqref="D39:D238">
    <cfRule type="expression" dxfId="215" priority="111" stopIfTrue="1">
      <formula>OR(D39=0,ISBLANK(D39))</formula>
    </cfRule>
  </conditionalFormatting>
  <conditionalFormatting sqref="C23:D23">
    <cfRule type="expression" dxfId="214" priority="109" stopIfTrue="1">
      <formula>AND(C23=0,NOT(ISBLANK(C23)))</formula>
    </cfRule>
  </conditionalFormatting>
  <conditionalFormatting sqref="B12:C20 B22:C22 B4:B11">
    <cfRule type="expression" dxfId="213" priority="110" stopIfTrue="1">
      <formula>AND(B4=0,NOT(ISBLANK(B4)))</formula>
    </cfRule>
  </conditionalFormatting>
  <conditionalFormatting sqref="B12:B18">
    <cfRule type="expression" dxfId="212" priority="105" stopIfTrue="1">
      <formula>AND(B12=0,NOT(ISBLANK(B12)))</formula>
    </cfRule>
  </conditionalFormatting>
  <conditionalFormatting sqref="B12:B18">
    <cfRule type="expression" dxfId="211" priority="104" stopIfTrue="1">
      <formula>AND(B12=0,NOT(ISBLANK(B12)))</formula>
    </cfRule>
  </conditionalFormatting>
  <conditionalFormatting sqref="B21:C21">
    <cfRule type="expression" dxfId="210" priority="100" stopIfTrue="1">
      <formula>AND(B21=0,NOT(ISBLANK(B21)))</formula>
    </cfRule>
  </conditionalFormatting>
  <conditionalFormatting sqref="AL27:AL34">
    <cfRule type="expression" dxfId="209" priority="10" stopIfTrue="1">
      <formula>NOT(ISERROR(SEARCH("S",AL27)))</formula>
    </cfRule>
    <cfRule type="expression" dxfId="208" priority="11" stopIfTrue="1">
      <formula>NOT(ISERROR(SEARCH("Neg",AL27)))</formula>
    </cfRule>
    <cfRule type="expression" dxfId="207" priority="12" stopIfTrue="1">
      <formula>NOT(ISERROR(SEARCH("U",AL27)))</formula>
    </cfRule>
  </conditionalFormatting>
  <conditionalFormatting sqref="AL27:AL34">
    <cfRule type="expression" dxfId="206" priority="7" stopIfTrue="1">
      <formula>NOT(ISERROR(SEARCH("S",AL27)))</formula>
    </cfRule>
    <cfRule type="expression" dxfId="205" priority="8" stopIfTrue="1">
      <formula>NOT(ISERROR(SEARCH("Neg",AL27)))</formula>
    </cfRule>
    <cfRule type="expression" dxfId="204" priority="9" stopIfTrue="1">
      <formula>NOT(ISERROR(SEARCH("U",AL27)))</formula>
    </cfRule>
  </conditionalFormatting>
  <conditionalFormatting sqref="AV29:AV30">
    <cfRule type="expression" dxfId="203" priority="4" stopIfTrue="1">
      <formula>NOT(ISERROR(SEARCH("S",AV29)))</formula>
    </cfRule>
    <cfRule type="expression" dxfId="202" priority="5" stopIfTrue="1">
      <formula>NOT(ISERROR(SEARCH("Neg",AV29)))</formula>
    </cfRule>
    <cfRule type="expression" dxfId="201" priority="6" stopIfTrue="1">
      <formula>NOT(ISERROR(SEARCH("U",AV29)))</formula>
    </cfRule>
  </conditionalFormatting>
  <conditionalFormatting sqref="AV29:AV30">
    <cfRule type="expression" dxfId="200" priority="1" stopIfTrue="1">
      <formula>NOT(ISERROR(SEARCH("S",AV29)))</formula>
    </cfRule>
    <cfRule type="expression" dxfId="199" priority="2" stopIfTrue="1">
      <formula>NOT(ISERROR(SEARCH("Neg",AV29)))</formula>
    </cfRule>
    <cfRule type="expression" dxfId="198" priority="3" stopIfTrue="1">
      <formula>NOT(ISERROR(SEARCH("U",AV29)))</formula>
    </cfRule>
  </conditionalFormatting>
  <conditionalFormatting sqref="B27:M34">
    <cfRule type="expression" dxfId="197" priority="34" stopIfTrue="1">
      <formula>NOT(ISERROR(SEARCH("S",B27)))</formula>
    </cfRule>
    <cfRule type="expression" dxfId="196" priority="35" stopIfTrue="1">
      <formula>NOT(ISERROR(SEARCH("Neg",B27)))</formula>
    </cfRule>
    <cfRule type="expression" dxfId="195" priority="36" stopIfTrue="1">
      <formula>NOT(ISERROR(SEARCH("U",B27)))</formula>
    </cfRule>
  </conditionalFormatting>
  <conditionalFormatting sqref="B27:M34">
    <cfRule type="expression" dxfId="194" priority="31" stopIfTrue="1">
      <formula>NOT(ISERROR(SEARCH("S",B27)))</formula>
    </cfRule>
    <cfRule type="expression" dxfId="193" priority="32" stopIfTrue="1">
      <formula>NOT(ISERROR(SEARCH("Neg",B27)))</formula>
    </cfRule>
    <cfRule type="expression" dxfId="192" priority="33" stopIfTrue="1">
      <formula>NOT(ISERROR(SEARCH("U",B27)))</formula>
    </cfRule>
  </conditionalFormatting>
  <conditionalFormatting sqref="N27:Y34">
    <cfRule type="expression" dxfId="191" priority="28" stopIfTrue="1">
      <formula>NOT(ISERROR(SEARCH("S",N27)))</formula>
    </cfRule>
    <cfRule type="expression" dxfId="190" priority="29" stopIfTrue="1">
      <formula>NOT(ISERROR(SEARCH("Neg",N27)))</formula>
    </cfRule>
    <cfRule type="expression" dxfId="189" priority="30" stopIfTrue="1">
      <formula>NOT(ISERROR(SEARCH("U",N27)))</formula>
    </cfRule>
  </conditionalFormatting>
  <conditionalFormatting sqref="N27:Y34">
    <cfRule type="expression" dxfId="188" priority="25" stopIfTrue="1">
      <formula>NOT(ISERROR(SEARCH("S",N27)))</formula>
    </cfRule>
    <cfRule type="expression" dxfId="187" priority="26" stopIfTrue="1">
      <formula>NOT(ISERROR(SEARCH("Neg",N27)))</formula>
    </cfRule>
    <cfRule type="expression" dxfId="186" priority="27" stopIfTrue="1">
      <formula>NOT(ISERROR(SEARCH("U",N27)))</formula>
    </cfRule>
  </conditionalFormatting>
  <conditionalFormatting sqref="Z27:AK34">
    <cfRule type="expression" dxfId="185" priority="22" stopIfTrue="1">
      <formula>NOT(ISERROR(SEARCH("S",Z27)))</formula>
    </cfRule>
    <cfRule type="expression" dxfId="184" priority="23" stopIfTrue="1">
      <formula>NOT(ISERROR(SEARCH("Neg",Z27)))</formula>
    </cfRule>
    <cfRule type="expression" dxfId="183" priority="24" stopIfTrue="1">
      <formula>NOT(ISERROR(SEARCH("U",Z27)))</formula>
    </cfRule>
  </conditionalFormatting>
  <conditionalFormatting sqref="Z27:AK34">
    <cfRule type="expression" dxfId="182" priority="19" stopIfTrue="1">
      <formula>NOT(ISERROR(SEARCH("S",Z27)))</formula>
    </cfRule>
    <cfRule type="expression" dxfId="181" priority="20" stopIfTrue="1">
      <formula>NOT(ISERROR(SEARCH("Neg",Z27)))</formula>
    </cfRule>
    <cfRule type="expression" dxfId="180" priority="21" stopIfTrue="1">
      <formula>NOT(ISERROR(SEARCH("U",Z27)))</formula>
    </cfRule>
  </conditionalFormatting>
  <conditionalFormatting sqref="AM27:AW28 AM31:AW34 AM29:AU30 AW29:AW30">
    <cfRule type="expression" dxfId="179" priority="16" stopIfTrue="1">
      <formula>NOT(ISERROR(SEARCH("S",AM27)))</formula>
    </cfRule>
    <cfRule type="expression" dxfId="178" priority="17" stopIfTrue="1">
      <formula>NOT(ISERROR(SEARCH("Neg",AM27)))</formula>
    </cfRule>
    <cfRule type="expression" dxfId="177" priority="18" stopIfTrue="1">
      <formula>NOT(ISERROR(SEARCH("U",AM27)))</formula>
    </cfRule>
  </conditionalFormatting>
  <conditionalFormatting sqref="AM27:AW28 AM31:AW34 AM29:AU30 AW29:AW30">
    <cfRule type="expression" dxfId="176" priority="13" stopIfTrue="1">
      <formula>NOT(ISERROR(SEARCH("S",AM27)))</formula>
    </cfRule>
    <cfRule type="expression" dxfId="175" priority="14" stopIfTrue="1">
      <formula>NOT(ISERROR(SEARCH("Neg",AM27)))</formula>
    </cfRule>
    <cfRule type="expression" dxfId="174" priority="15" stopIfTrue="1">
      <formula>NOT(ISERROR(SEARCH("U",AM27)))</formula>
    </cfRule>
  </conditionalFormatting>
  <pageMargins left="0.7" right="0.7" top="0.75" bottom="0.75" header="0.3" footer="0.3"/>
  <pageSetup scale="14" orientation="landscape" horizontalDpi="200" verticalDpi="200" r:id="rId1"/>
  <drawing r:id="rId2"/>
  <legacyDrawing r:id="rId3"/>
  <controls>
    <mc:AlternateContent xmlns:mc="http://schemas.openxmlformats.org/markup-compatibility/2006">
      <mc:Choice Requires="x14">
        <control shapeId="845827" r:id="rId4" name="Serial_Dilution">
          <controlPr defaultSize="0" autoLine="0" r:id="rId5">
            <anchor moveWithCells="1">
              <from>
                <xdr:col>1</xdr:col>
                <xdr:colOff>95250</xdr:colOff>
                <xdr:row>2</xdr:row>
                <xdr:rowOff>180975</xdr:rowOff>
              </from>
              <to>
                <xdr:col>2</xdr:col>
                <xdr:colOff>495300</xdr:colOff>
                <xdr:row>2</xdr:row>
                <xdr:rowOff>533400</xdr:rowOff>
              </to>
            </anchor>
          </controlPr>
        </control>
      </mc:Choice>
      <mc:Fallback>
        <control shapeId="845827" r:id="rId4" name="Serial_Dilution"/>
      </mc:Fallback>
    </mc:AlternateContent>
    <mc:AlternateContent xmlns:mc="http://schemas.openxmlformats.org/markup-compatibility/2006">
      <mc:Choice Requires="x14">
        <control shapeId="845828" r:id="rId6" name="Button 4">
          <controlPr defaultSize="0" print="0" autoFill="0" autoPict="0" macro="[0]!AnalyzeResults_and_GenerateReports">
            <anchor>
              <from>
                <xdr:col>9</xdr:col>
                <xdr:colOff>0</xdr:colOff>
                <xdr:row>36</xdr:row>
                <xdr:rowOff>9525</xdr:rowOff>
              </from>
              <to>
                <xdr:col>15</xdr:col>
                <xdr:colOff>0</xdr:colOff>
                <xdr:row>38</xdr:row>
                <xdr:rowOff>152400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B1:O44"/>
  <sheetViews>
    <sheetView zoomScale="80" zoomScaleNormal="80" workbookViewId="0"/>
  </sheetViews>
  <sheetFormatPr defaultColWidth="9.140625" defaultRowHeight="15" x14ac:dyDescent="0.25"/>
  <cols>
    <col min="1" max="18" width="9.7109375" style="82" customWidth="1"/>
    <col min="19" max="16384" width="9.140625" style="82"/>
  </cols>
  <sheetData>
    <row r="1" spans="2:15" ht="20.100000000000001" customHeight="1" x14ac:dyDescent="0.25"/>
    <row r="2" spans="2:15" ht="20.100000000000001" customHeight="1" x14ac:dyDescent="0.25">
      <c r="H2" s="715" t="s">
        <v>490</v>
      </c>
      <c r="I2" s="715"/>
      <c r="J2" s="715"/>
      <c r="K2" s="715"/>
      <c r="L2" s="715"/>
      <c r="M2" s="715"/>
    </row>
    <row r="3" spans="2:15" ht="20.100000000000001" customHeight="1" x14ac:dyDescent="0.25">
      <c r="H3" s="92" t="s">
        <v>491</v>
      </c>
      <c r="I3" s="716" t="s">
        <v>492</v>
      </c>
      <c r="J3" s="716"/>
      <c r="K3" s="716"/>
      <c r="L3" s="716" t="s">
        <v>493</v>
      </c>
      <c r="M3" s="716"/>
    </row>
    <row r="4" spans="2:15" ht="20.100000000000001" customHeight="1" x14ac:dyDescent="0.25">
      <c r="B4" s="699" t="s">
        <v>466</v>
      </c>
      <c r="C4" s="700"/>
      <c r="D4" s="700"/>
      <c r="E4" s="700"/>
      <c r="F4" s="701"/>
      <c r="H4" s="92" t="s">
        <v>494</v>
      </c>
      <c r="I4" s="717" t="str">
        <f>IF(BioScale_Internal!K14="","",IF(BioScale_Internal!K14="WashBuffer","Wash Buffer",IF(BioScale_Internal!K14="RegenerationBuffer","Regeneration Solution",IF(BioScale_Internal!K14="DeconBuffer","Decontamination Solution",""))))</f>
        <v>Wash Buffer</v>
      </c>
      <c r="J4" s="717"/>
      <c r="K4" s="717"/>
      <c r="L4" s="718">
        <f>IF(BioScale_Internal!N14="","",ROUNDUP((BioScale_Internal!N14+10000)/10000,0)*10)</f>
        <v>100</v>
      </c>
      <c r="M4" s="718"/>
    </row>
    <row r="5" spans="2:15" ht="20.100000000000001" customHeight="1" x14ac:dyDescent="0.25">
      <c r="B5" s="702"/>
      <c r="C5" s="703"/>
      <c r="D5" s="703"/>
      <c r="E5" s="703"/>
      <c r="F5" s="704"/>
      <c r="H5" s="92" t="s">
        <v>495</v>
      </c>
      <c r="I5" s="717" t="str">
        <f>IF(BioScale_Internal!K15="","",IF(BioScale_Internal!K15="WashBuffer","Wash Buffer",IF(BioScale_Internal!K15="RegenerationBuffer","Regeneration Solution",IF(BioScale_Internal!K15="DeconBuffer","Decontamination Solution",""))))</f>
        <v>Wash Buffer</v>
      </c>
      <c r="J5" s="717"/>
      <c r="K5" s="717"/>
      <c r="L5" s="718">
        <f>IF(BioScale_Internal!N15="","",ROUNDUP((BioScale_Internal!N15+10000)/10000,0)*10)</f>
        <v>100</v>
      </c>
      <c r="M5" s="718"/>
    </row>
    <row r="6" spans="2:15" ht="20.100000000000001" customHeight="1" x14ac:dyDescent="0.25">
      <c r="B6" s="694" t="s">
        <v>488</v>
      </c>
      <c r="C6" s="694"/>
      <c r="D6" s="694"/>
      <c r="E6" s="694"/>
      <c r="F6" s="694"/>
      <c r="H6" s="92" t="s">
        <v>496</v>
      </c>
      <c r="I6" s="717" t="str">
        <f>IF(BioScale_Internal!K16="","",IF(BioScale_Internal!K16="WashBuffer","Wash Buffer",IF(BioScale_Internal!K16="RegenerationBuffer","Regeneration Solution",IF(BioScale_Internal!K16="DeconBuffer","Decontamination Solution",""))))</f>
        <v>Wash Buffer</v>
      </c>
      <c r="J6" s="717"/>
      <c r="K6" s="717"/>
      <c r="L6" s="718">
        <f>IF(BioScale_Internal!N16="","",ROUNDUP((BioScale_Internal!N16+10000)/10000,0)*10)</f>
        <v>70</v>
      </c>
      <c r="M6" s="718"/>
    </row>
    <row r="7" spans="2:15" ht="20.100000000000001" customHeight="1" x14ac:dyDescent="0.25">
      <c r="B7" s="707"/>
      <c r="C7" s="708"/>
      <c r="D7" s="708"/>
      <c r="E7" s="708"/>
      <c r="F7" s="709"/>
      <c r="H7" s="92" t="s">
        <v>497</v>
      </c>
      <c r="I7" s="717" t="str">
        <f>IF(BioScale_Internal!K17="","",IF(BioScale_Internal!K17="WashBuffer","Wash Buffer",IF(BioScale_Internal!K17="RegenerationBuffer","Regeneration Solution",IF(BioScale_Internal!K17="DeconBuffer","Decontamination Solution",""))))</f>
        <v>Regeneration Solution</v>
      </c>
      <c r="J7" s="717"/>
      <c r="K7" s="717"/>
      <c r="L7" s="718">
        <f>IF(BioScale_Internal!N17="","",ROUNDUP((BioScale_Internal!N17+10000)/10000,0)*10)</f>
        <v>100</v>
      </c>
      <c r="M7" s="718"/>
    </row>
    <row r="8" spans="2:15" ht="20.100000000000001" customHeight="1" x14ac:dyDescent="0.25">
      <c r="H8" s="92" t="s">
        <v>498</v>
      </c>
      <c r="I8" s="717" t="str">
        <f>IF(BioScale_Internal!K18="","",IF(BioScale_Internal!K18="WashBuffer","Wash Buffer",IF(BioScale_Internal!K18="RegenerationBuffer","Regeneration Solution",IF(BioScale_Internal!K18="DeconBuffer","Decontamination Solution",""))))</f>
        <v>Regeneration Solution</v>
      </c>
      <c r="J8" s="717"/>
      <c r="K8" s="717"/>
      <c r="L8" s="718">
        <f>IF(BioScale_Internal!N18="","",ROUNDUP((BioScale_Internal!N18+10000)/10000,0)*10)</f>
        <v>30</v>
      </c>
      <c r="M8" s="718"/>
    </row>
    <row r="9" spans="2:15" ht="20.100000000000001" customHeight="1" x14ac:dyDescent="0.25">
      <c r="H9" s="92" t="s">
        <v>499</v>
      </c>
      <c r="I9" s="717" t="str">
        <f>IF(BioScale_Internal!K19="","",IF(BioScale_Internal!K19="WashBuffer","Wash Buffer",IF(BioScale_Internal!K19="RegenerationBuffer","Regeneration Solution",IF(BioScale_Internal!K19="DeconBuffer","Decontamination Solution",""))))</f>
        <v/>
      </c>
      <c r="J9" s="717"/>
      <c r="K9" s="717"/>
      <c r="L9" s="718" t="str">
        <f>IF(BioScale_Internal!N19="","",ROUNDUP((BioScale_Internal!N19+10000)/10000,0)*10)</f>
        <v/>
      </c>
      <c r="M9" s="718"/>
    </row>
    <row r="10" spans="2:15" ht="20.100000000000001" customHeight="1" x14ac:dyDescent="0.25">
      <c r="G10" s="85"/>
    </row>
    <row r="11" spans="2:15" ht="20.100000000000001" hidden="1" customHeight="1" x14ac:dyDescent="0.25">
      <c r="B11" s="699" t="s">
        <v>500</v>
      </c>
      <c r="C11" s="700"/>
      <c r="D11" s="700"/>
      <c r="E11" s="700"/>
      <c r="F11" s="701"/>
    </row>
    <row r="12" spans="2:15" ht="20.100000000000001" hidden="1" customHeight="1" x14ac:dyDescent="0.25">
      <c r="B12" s="702"/>
      <c r="C12" s="703"/>
      <c r="D12" s="703"/>
      <c r="E12" s="703"/>
      <c r="F12" s="704"/>
    </row>
    <row r="13" spans="2:15" ht="20.100000000000001" hidden="1" customHeight="1" x14ac:dyDescent="0.25">
      <c r="B13" s="705" t="s">
        <v>467</v>
      </c>
      <c r="C13" s="705"/>
      <c r="D13" s="705"/>
      <c r="E13" s="705"/>
      <c r="F13" s="705"/>
      <c r="H13" s="732" t="s">
        <v>471</v>
      </c>
      <c r="I13" s="732"/>
      <c r="J13" s="720" t="s">
        <v>472</v>
      </c>
      <c r="K13" s="720"/>
      <c r="L13" s="723" t="s">
        <v>503</v>
      </c>
      <c r="M13" s="720"/>
      <c r="N13" s="724"/>
      <c r="O13" s="719" t="s">
        <v>479</v>
      </c>
    </row>
    <row r="14" spans="2:15" ht="20.100000000000001" hidden="1" customHeight="1" x14ac:dyDescent="0.25">
      <c r="B14" s="706"/>
      <c r="C14" s="706"/>
      <c r="D14" s="706"/>
      <c r="E14" s="706"/>
      <c r="F14" s="706"/>
      <c r="H14" s="732"/>
      <c r="I14" s="732"/>
      <c r="J14" s="721"/>
      <c r="K14" s="721"/>
      <c r="L14" s="725"/>
      <c r="M14" s="721"/>
      <c r="N14" s="726"/>
      <c r="O14" s="719"/>
    </row>
    <row r="15" spans="2:15" ht="20.100000000000001" hidden="1" customHeight="1" x14ac:dyDescent="0.25">
      <c r="B15" s="705" t="s">
        <v>468</v>
      </c>
      <c r="C15" s="705"/>
      <c r="D15" s="705"/>
      <c r="E15" s="705"/>
      <c r="F15" s="705"/>
      <c r="H15" s="732"/>
      <c r="I15" s="732"/>
      <c r="J15" s="722"/>
      <c r="K15" s="722"/>
      <c r="L15" s="727"/>
      <c r="M15" s="722"/>
      <c r="N15" s="728"/>
      <c r="O15" s="719"/>
    </row>
    <row r="16" spans="2:15" ht="20.100000000000001" hidden="1" customHeight="1" x14ac:dyDescent="0.25">
      <c r="B16" s="706"/>
      <c r="C16" s="706"/>
      <c r="D16" s="706"/>
      <c r="E16" s="706"/>
      <c r="F16" s="706"/>
      <c r="H16" s="732" t="s">
        <v>474</v>
      </c>
      <c r="I16" s="732"/>
      <c r="J16" s="696">
        <v>150</v>
      </c>
      <c r="K16" s="697"/>
      <c r="L16" s="729">
        <f>ROUNDUP((COUNTA('Sample Setup'!B27:AK34)/8)*Reag1Vol/(J16-30),0)</f>
        <v>0</v>
      </c>
      <c r="M16" s="730"/>
      <c r="N16" s="731"/>
      <c r="O16" s="84">
        <f t="array" ref="O16">SUM(IF($J$24:$J$35=H16,1,0))</f>
        <v>6</v>
      </c>
    </row>
    <row r="17" spans="2:15" ht="20.100000000000001" hidden="1" customHeight="1" x14ac:dyDescent="0.25">
      <c r="B17" s="686" t="s">
        <v>501</v>
      </c>
      <c r="C17" s="687"/>
      <c r="D17" s="687"/>
      <c r="E17" s="687"/>
      <c r="F17" s="688"/>
      <c r="H17" s="732" t="s">
        <v>476</v>
      </c>
      <c r="I17" s="732"/>
      <c r="J17" s="696">
        <v>150</v>
      </c>
      <c r="K17" s="697"/>
      <c r="L17" s="729">
        <f>ROUNDUP((COUNTA('Sample Setup'!B27:AK34)/8)*Reag2Vol/(J17-30),0)</f>
        <v>0</v>
      </c>
      <c r="M17" s="730"/>
      <c r="N17" s="731"/>
      <c r="O17" s="84">
        <f t="array" ref="O17">SUM(IF($J$24:$J$35=H17,1,0))</f>
        <v>6</v>
      </c>
    </row>
    <row r="18" spans="2:15" ht="20.100000000000001" hidden="1" customHeight="1" x14ac:dyDescent="0.25">
      <c r="B18" s="710"/>
      <c r="C18" s="711"/>
      <c r="D18" s="711"/>
      <c r="E18" s="711"/>
      <c r="F18" s="712"/>
    </row>
    <row r="19" spans="2:15" ht="20.100000000000001" hidden="1" customHeight="1" x14ac:dyDescent="0.25">
      <c r="B19" s="686" t="s">
        <v>469</v>
      </c>
      <c r="C19" s="687"/>
      <c r="D19" s="687"/>
      <c r="E19" s="687"/>
      <c r="F19" s="688"/>
    </row>
    <row r="20" spans="2:15" ht="20.100000000000001" hidden="1" customHeight="1" x14ac:dyDescent="0.25">
      <c r="B20" s="679"/>
      <c r="C20" s="713"/>
      <c r="D20" s="713"/>
      <c r="E20" s="713"/>
      <c r="F20" s="713"/>
    </row>
    <row r="21" spans="2:15" ht="20.100000000000001" hidden="1" customHeight="1" x14ac:dyDescent="0.25"/>
    <row r="22" spans="2:15" ht="20.100000000000001" hidden="1" customHeight="1" x14ac:dyDescent="0.25">
      <c r="B22" s="689" t="s">
        <v>486</v>
      </c>
      <c r="C22" s="689"/>
      <c r="D22" s="689"/>
      <c r="E22" s="689"/>
      <c r="F22" s="689"/>
      <c r="G22" s="85"/>
      <c r="H22" s="683" t="s">
        <v>559</v>
      </c>
      <c r="I22" s="684"/>
      <c r="J22" s="684"/>
      <c r="K22" s="684"/>
      <c r="L22" s="685"/>
    </row>
    <row r="23" spans="2:15" ht="20.100000000000001" hidden="1" customHeight="1" x14ac:dyDescent="0.25">
      <c r="B23" s="714"/>
      <c r="C23" s="714"/>
      <c r="D23" s="714"/>
      <c r="E23" s="714"/>
      <c r="F23" s="714"/>
      <c r="G23" s="91"/>
      <c r="H23" s="733" t="s">
        <v>502</v>
      </c>
      <c r="I23" s="734"/>
      <c r="J23" s="690" t="str">
        <f>IF(ProtocolName="TwoReagentAdd","Reagent  (R1 or R2)","Reagent  (R1 Only)")</f>
        <v>Reagent  (R1 Only)</v>
      </c>
      <c r="K23" s="690"/>
      <c r="L23" s="690"/>
    </row>
    <row r="24" spans="2:15" ht="20.100000000000001" hidden="1" customHeight="1" x14ac:dyDescent="0.25">
      <c r="F24" s="91"/>
      <c r="G24" s="91"/>
      <c r="H24" s="695" t="s">
        <v>473</v>
      </c>
      <c r="I24" s="695"/>
      <c r="J24" s="694" t="s">
        <v>474</v>
      </c>
      <c r="K24" s="694"/>
      <c r="L24" s="694"/>
    </row>
    <row r="25" spans="2:15" ht="20.100000000000001" hidden="1" customHeight="1" x14ac:dyDescent="0.25">
      <c r="F25" s="93"/>
      <c r="G25" s="93"/>
      <c r="H25" s="695" t="s">
        <v>475</v>
      </c>
      <c r="I25" s="695"/>
      <c r="J25" s="694" t="s">
        <v>474</v>
      </c>
      <c r="K25" s="694"/>
      <c r="L25" s="694"/>
    </row>
    <row r="26" spans="2:15" ht="20.100000000000001" hidden="1" customHeight="1" x14ac:dyDescent="0.25">
      <c r="F26" s="93"/>
      <c r="G26" s="93"/>
      <c r="H26" s="695" t="s">
        <v>477</v>
      </c>
      <c r="I26" s="695"/>
      <c r="J26" s="694" t="s">
        <v>474</v>
      </c>
      <c r="K26" s="694"/>
      <c r="L26" s="694"/>
    </row>
    <row r="27" spans="2:15" ht="20.100000000000001" hidden="1" customHeight="1" x14ac:dyDescent="0.25">
      <c r="F27" s="93"/>
      <c r="G27" s="93"/>
      <c r="H27" s="695" t="s">
        <v>478</v>
      </c>
      <c r="I27" s="695"/>
      <c r="J27" s="694" t="s">
        <v>474</v>
      </c>
      <c r="K27" s="694"/>
      <c r="L27" s="694"/>
    </row>
    <row r="28" spans="2:15" ht="20.100000000000001" hidden="1" customHeight="1" x14ac:dyDescent="0.25">
      <c r="F28" s="93"/>
      <c r="G28" s="93"/>
      <c r="H28" s="695" t="s">
        <v>480</v>
      </c>
      <c r="I28" s="695"/>
      <c r="J28" s="694" t="s">
        <v>474</v>
      </c>
      <c r="K28" s="694"/>
      <c r="L28" s="694"/>
    </row>
    <row r="29" spans="2:15" ht="20.100000000000001" hidden="1" customHeight="1" x14ac:dyDescent="0.25">
      <c r="H29" s="695" t="s">
        <v>481</v>
      </c>
      <c r="I29" s="695"/>
      <c r="J29" s="694" t="s">
        <v>474</v>
      </c>
      <c r="K29" s="694"/>
      <c r="L29" s="694"/>
    </row>
    <row r="30" spans="2:15" ht="20.100000000000001" hidden="1" customHeight="1" x14ac:dyDescent="0.25">
      <c r="H30" s="695" t="s">
        <v>482</v>
      </c>
      <c r="I30" s="695"/>
      <c r="J30" s="691" t="s">
        <v>476</v>
      </c>
      <c r="K30" s="692"/>
      <c r="L30" s="693"/>
    </row>
    <row r="31" spans="2:15" ht="20.100000000000001" hidden="1" customHeight="1" x14ac:dyDescent="0.25">
      <c r="H31" s="695" t="s">
        <v>483</v>
      </c>
      <c r="I31" s="695"/>
      <c r="J31" s="691" t="s">
        <v>476</v>
      </c>
      <c r="K31" s="692"/>
      <c r="L31" s="693"/>
    </row>
    <row r="32" spans="2:15" ht="20.100000000000001" hidden="1" customHeight="1" x14ac:dyDescent="0.25">
      <c r="H32" s="695" t="s">
        <v>484</v>
      </c>
      <c r="I32" s="695"/>
      <c r="J32" s="694" t="s">
        <v>476</v>
      </c>
      <c r="K32" s="694"/>
      <c r="L32" s="694"/>
    </row>
    <row r="33" spans="2:12" ht="20.100000000000001" hidden="1" customHeight="1" x14ac:dyDescent="0.25">
      <c r="H33" s="695" t="s">
        <v>485</v>
      </c>
      <c r="I33" s="695"/>
      <c r="J33" s="694" t="s">
        <v>476</v>
      </c>
      <c r="K33" s="694"/>
      <c r="L33" s="694"/>
    </row>
    <row r="34" spans="2:12" ht="20.100000000000001" hidden="1" customHeight="1" x14ac:dyDescent="0.25">
      <c r="H34" s="695" t="s">
        <v>487</v>
      </c>
      <c r="I34" s="695"/>
      <c r="J34" s="691" t="s">
        <v>476</v>
      </c>
      <c r="K34" s="692"/>
      <c r="L34" s="693"/>
    </row>
    <row r="35" spans="2:12" ht="20.100000000000001" hidden="1" customHeight="1" x14ac:dyDescent="0.25">
      <c r="H35" s="695" t="s">
        <v>489</v>
      </c>
      <c r="I35" s="695"/>
      <c r="J35" s="691" t="s">
        <v>476</v>
      </c>
      <c r="K35" s="692"/>
      <c r="L35" s="693"/>
    </row>
    <row r="36" spans="2:12" ht="20.100000000000001" customHeight="1" x14ac:dyDescent="0.25"/>
    <row r="37" spans="2:12" ht="20.100000000000001" hidden="1" customHeight="1" x14ac:dyDescent="0.25">
      <c r="B37" s="686" t="s">
        <v>470</v>
      </c>
      <c r="C37" s="687"/>
      <c r="D37" s="687"/>
      <c r="E37" s="687"/>
      <c r="F37" s="688"/>
    </row>
    <row r="38" spans="2:12" ht="20.100000000000001" hidden="1" customHeight="1" x14ac:dyDescent="0.25">
      <c r="B38" s="696"/>
      <c r="C38" s="697"/>
      <c r="D38" s="697"/>
      <c r="E38" s="697"/>
      <c r="F38" s="698"/>
    </row>
    <row r="39" spans="2:12" ht="20.100000000000001" customHeight="1" x14ac:dyDescent="0.25"/>
    <row r="40" spans="2:12" ht="20.100000000000001" customHeight="1" x14ac:dyDescent="0.25"/>
    <row r="41" spans="2:12" ht="20.100000000000001" customHeight="1" x14ac:dyDescent="0.25"/>
    <row r="42" spans="2:12" ht="20.100000000000001" customHeight="1" x14ac:dyDescent="0.25"/>
    <row r="43" spans="2:12" ht="20.100000000000001" customHeight="1" x14ac:dyDescent="0.25"/>
    <row r="44" spans="2:12" ht="20.100000000000001" customHeight="1" x14ac:dyDescent="0.25"/>
  </sheetData>
  <sheetProtection formatCells="0" formatColumns="0" formatRows="0" insertColumns="0" insertRows="0" insertHyperlinks="0" sort="0" autoFilter="0" pivotTables="0"/>
  <mergeCells count="70">
    <mergeCell ref="J30:L30"/>
    <mergeCell ref="J31:L31"/>
    <mergeCell ref="J25:L25"/>
    <mergeCell ref="H30:I30"/>
    <mergeCell ref="H31:I31"/>
    <mergeCell ref="H29:I29"/>
    <mergeCell ref="H26:I26"/>
    <mergeCell ref="H27:I27"/>
    <mergeCell ref="H25:I25"/>
    <mergeCell ref="J24:L24"/>
    <mergeCell ref="J28:L28"/>
    <mergeCell ref="J29:L29"/>
    <mergeCell ref="H23:I23"/>
    <mergeCell ref="H24:I24"/>
    <mergeCell ref="L16:N16"/>
    <mergeCell ref="L17:N17"/>
    <mergeCell ref="H13:I15"/>
    <mergeCell ref="H16:I16"/>
    <mergeCell ref="H17:I17"/>
    <mergeCell ref="J16:K16"/>
    <mergeCell ref="J17:K17"/>
    <mergeCell ref="I5:K5"/>
    <mergeCell ref="L5:M5"/>
    <mergeCell ref="I6:K6"/>
    <mergeCell ref="L8:M8"/>
    <mergeCell ref="I9:K9"/>
    <mergeCell ref="L9:M9"/>
    <mergeCell ref="O13:O15"/>
    <mergeCell ref="L6:M6"/>
    <mergeCell ref="I7:K7"/>
    <mergeCell ref="L7:M7"/>
    <mergeCell ref="I8:K8"/>
    <mergeCell ref="J13:K15"/>
    <mergeCell ref="L13:N15"/>
    <mergeCell ref="H2:M2"/>
    <mergeCell ref="I3:K3"/>
    <mergeCell ref="L3:M3"/>
    <mergeCell ref="I4:K4"/>
    <mergeCell ref="L4:M4"/>
    <mergeCell ref="B38:F38"/>
    <mergeCell ref="B4:F4"/>
    <mergeCell ref="B5:F5"/>
    <mergeCell ref="B13:F13"/>
    <mergeCell ref="B14:F14"/>
    <mergeCell ref="B6:F6"/>
    <mergeCell ref="B7:F7"/>
    <mergeCell ref="B11:F11"/>
    <mergeCell ref="B12:F12"/>
    <mergeCell ref="B15:F15"/>
    <mergeCell ref="B16:F16"/>
    <mergeCell ref="B17:F17"/>
    <mergeCell ref="B18:F18"/>
    <mergeCell ref="B20:F20"/>
    <mergeCell ref="B23:F23"/>
    <mergeCell ref="H22:L22"/>
    <mergeCell ref="B19:F19"/>
    <mergeCell ref="B22:F22"/>
    <mergeCell ref="B37:F37"/>
    <mergeCell ref="J23:L23"/>
    <mergeCell ref="J35:L35"/>
    <mergeCell ref="J32:L32"/>
    <mergeCell ref="J27:L27"/>
    <mergeCell ref="J34:L34"/>
    <mergeCell ref="H35:I35"/>
    <mergeCell ref="H32:I32"/>
    <mergeCell ref="H28:I28"/>
    <mergeCell ref="H33:I33"/>
    <mergeCell ref="H34:I34"/>
    <mergeCell ref="J33:L33"/>
    <mergeCell ref="J26:L26"/>
  </mergeCells>
  <conditionalFormatting sqref="O16">
    <cfRule type="expression" dxfId="173" priority="3" stopIfTrue="1">
      <formula>$L$16&gt;$O$16</formula>
    </cfRule>
  </conditionalFormatting>
  <conditionalFormatting sqref="O17">
    <cfRule type="expression" dxfId="172" priority="4" stopIfTrue="1">
      <formula>$L$17&gt;$O$17</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59394" r:id="rId3" name="Drop Down 2">
              <controlPr locked="0" defaultSize="0" autoLine="0" autoPict="0">
                <anchor moveWithCells="1">
                  <from>
                    <xdr:col>1</xdr:col>
                    <xdr:colOff>0</xdr:colOff>
                    <xdr:row>4</xdr:row>
                    <xdr:rowOff>0</xdr:rowOff>
                  </from>
                  <to>
                    <xdr:col>6</xdr:col>
                    <xdr:colOff>0</xdr:colOff>
                    <xdr:row>5</xdr:row>
                    <xdr:rowOff>0</xdr:rowOff>
                  </to>
                </anchor>
              </controlPr>
            </control>
          </mc:Choice>
        </mc:AlternateContent>
        <mc:AlternateContent xmlns:mc="http://schemas.openxmlformats.org/markup-compatibility/2006">
          <mc:Choice Requires="x14">
            <control shapeId="3259395" r:id="rId4" name="Check Box 3">
              <controlPr defaultSize="0" autoFill="0" autoLine="0" autoPict="0">
                <anchor moveWithCells="1">
                  <from>
                    <xdr:col>1</xdr:col>
                    <xdr:colOff>0</xdr:colOff>
                    <xdr:row>8</xdr:row>
                    <xdr:rowOff>0</xdr:rowOff>
                  </from>
                  <to>
                    <xdr:col>6</xdr:col>
                    <xdr:colOff>0</xdr:colOff>
                    <xdr:row>9</xdr:row>
                    <xdr:rowOff>0</xdr:rowOff>
                  </to>
                </anchor>
              </controlPr>
            </control>
          </mc:Choice>
        </mc:AlternateContent>
        <mc:AlternateContent xmlns:mc="http://schemas.openxmlformats.org/markup-compatibility/2006">
          <mc:Choice Requires="x14">
            <control shapeId="3259397" r:id="rId5" name="Drop Down 5">
              <controlPr defaultSize="0" autoLine="0" autoPict="0">
                <anchor moveWithCells="1">
                  <from>
                    <xdr:col>1</xdr:col>
                    <xdr:colOff>0</xdr:colOff>
                    <xdr:row>6</xdr:row>
                    <xdr:rowOff>0</xdr:rowOff>
                  </from>
                  <to>
                    <xdr:col>6</xdr:col>
                    <xdr:colOff>0</xdr:colOff>
                    <xdr:row>7</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Q46"/>
  <sheetViews>
    <sheetView zoomScale="80" zoomScaleNormal="80" workbookViewId="0">
      <selection activeCell="J26" sqref="J26:N26"/>
    </sheetView>
  </sheetViews>
  <sheetFormatPr defaultRowHeight="15" x14ac:dyDescent="0.25"/>
  <cols>
    <col min="1" max="8" width="8.7109375" style="1" customWidth="1"/>
    <col min="9" max="31" width="8.7109375" customWidth="1"/>
  </cols>
  <sheetData>
    <row r="1" spans="1:17" x14ac:dyDescent="0.25">
      <c r="A1" s="737" t="s">
        <v>418</v>
      </c>
      <c r="B1" s="737"/>
      <c r="C1" s="737"/>
      <c r="D1" s="737"/>
      <c r="E1" s="737"/>
      <c r="F1" s="737"/>
      <c r="G1" s="737"/>
      <c r="H1" s="737"/>
      <c r="J1" s="747" t="s">
        <v>435</v>
      </c>
      <c r="K1" s="747"/>
      <c r="L1" s="747"/>
      <c r="M1" s="747"/>
      <c r="N1" s="747"/>
    </row>
    <row r="2" spans="1:17" x14ac:dyDescent="0.25">
      <c r="A2" s="4" t="s">
        <v>109</v>
      </c>
      <c r="B2" s="737" t="s">
        <v>419</v>
      </c>
      <c r="C2" s="737"/>
      <c r="D2" s="737"/>
      <c r="E2" s="737" t="s">
        <v>420</v>
      </c>
      <c r="F2" s="737"/>
      <c r="G2" s="737"/>
      <c r="H2" s="737"/>
      <c r="J2" s="736" t="s">
        <v>568</v>
      </c>
      <c r="K2" s="736"/>
      <c r="L2" s="736"/>
      <c r="M2" s="736"/>
      <c r="N2" s="736"/>
      <c r="O2" s="1"/>
      <c r="P2" s="1"/>
      <c r="Q2" s="1"/>
    </row>
    <row r="3" spans="1:17" x14ac:dyDescent="0.25">
      <c r="A3" s="7">
        <v>1</v>
      </c>
      <c r="B3" s="749" t="s">
        <v>421</v>
      </c>
      <c r="C3" s="749"/>
      <c r="D3" s="749"/>
      <c r="E3" s="746" t="s">
        <v>422</v>
      </c>
      <c r="F3" s="746"/>
      <c r="G3" s="746"/>
      <c r="H3" s="746"/>
      <c r="O3" s="1"/>
      <c r="P3" s="1"/>
      <c r="Q3" s="1"/>
    </row>
    <row r="4" spans="1:17" x14ac:dyDescent="0.25">
      <c r="A4" s="7">
        <v>2</v>
      </c>
      <c r="B4" s="749" t="s">
        <v>423</v>
      </c>
      <c r="C4" s="749"/>
      <c r="D4" s="749"/>
      <c r="E4" s="746" t="s">
        <v>424</v>
      </c>
      <c r="F4" s="746"/>
      <c r="G4" s="746"/>
      <c r="H4" s="746"/>
      <c r="J4" s="740" t="s">
        <v>459</v>
      </c>
      <c r="K4" s="740"/>
      <c r="L4" s="740"/>
      <c r="M4" s="740"/>
      <c r="N4" s="740"/>
      <c r="O4" s="81"/>
      <c r="P4" s="81"/>
      <c r="Q4" s="1"/>
    </row>
    <row r="5" spans="1:17" x14ac:dyDescent="0.25">
      <c r="A5" s="7">
        <v>3</v>
      </c>
      <c r="B5" s="749" t="s">
        <v>425</v>
      </c>
      <c r="C5" s="749"/>
      <c r="D5" s="749"/>
      <c r="E5" s="746"/>
      <c r="F5" s="746"/>
      <c r="G5" s="746"/>
      <c r="H5" s="746"/>
      <c r="J5" s="735" t="s">
        <v>460</v>
      </c>
      <c r="K5" s="735"/>
      <c r="L5" s="735" t="str">
        <f>IF(ProtocolName="ABQuantAssay","20091106_AbQuant_Assays","20091005_Reader_Assays")</f>
        <v>20091106_AbQuant_Assays</v>
      </c>
      <c r="M5" s="735"/>
      <c r="N5" s="735"/>
      <c r="O5" s="74"/>
      <c r="P5" s="74"/>
      <c r="Q5" s="1"/>
    </row>
    <row r="6" spans="1:17" x14ac:dyDescent="0.25">
      <c r="A6" s="7">
        <v>4</v>
      </c>
      <c r="B6" s="749"/>
      <c r="C6" s="749"/>
      <c r="D6" s="749"/>
      <c r="E6" s="746"/>
      <c r="F6" s="746"/>
      <c r="G6" s="746"/>
      <c r="H6" s="746"/>
      <c r="O6" s="1"/>
      <c r="P6" s="1"/>
      <c r="Q6" s="1"/>
    </row>
    <row r="7" spans="1:17" x14ac:dyDescent="0.25">
      <c r="A7"/>
      <c r="B7"/>
      <c r="C7"/>
      <c r="D7"/>
      <c r="E7"/>
      <c r="F7"/>
      <c r="G7"/>
      <c r="H7"/>
      <c r="J7" s="747" t="s">
        <v>438</v>
      </c>
      <c r="K7" s="747"/>
      <c r="L7" s="747"/>
      <c r="M7" s="747"/>
      <c r="N7" s="747"/>
      <c r="O7" s="1"/>
      <c r="P7" s="1"/>
      <c r="Q7" s="1"/>
    </row>
    <row r="8" spans="1:17" x14ac:dyDescent="0.25">
      <c r="A8"/>
      <c r="B8"/>
      <c r="C8"/>
      <c r="D8"/>
      <c r="E8"/>
      <c r="F8"/>
      <c r="G8"/>
      <c r="H8"/>
      <c r="J8" s="736" t="s">
        <v>432</v>
      </c>
      <c r="K8" s="736"/>
      <c r="L8" s="736"/>
      <c r="M8" s="736"/>
      <c r="N8" s="27">
        <f>ROUNDUP(COUNTA('Sample Setup'!B27:AK34)*IF(ProtocolName="ABQuantAssay",0.75,0.6)+5*0.3*8+IF(A15,0,3*0.3*8)+3*0.3*8,0)*1000</f>
        <v>236000</v>
      </c>
      <c r="O8" s="1"/>
      <c r="P8" s="26"/>
      <c r="Q8" s="1"/>
    </row>
    <row r="9" spans="1:17" x14ac:dyDescent="0.25">
      <c r="A9" s="737" t="s">
        <v>426</v>
      </c>
      <c r="B9" s="737"/>
      <c r="C9" s="737"/>
      <c r="D9" s="737"/>
      <c r="E9" s="737"/>
      <c r="F9" s="737"/>
      <c r="G9"/>
      <c r="H9"/>
      <c r="J9" s="736" t="s">
        <v>433</v>
      </c>
      <c r="K9" s="736"/>
      <c r="L9" s="736"/>
      <c r="M9" s="736"/>
      <c r="N9" s="27">
        <f>ROUNDUP(N8/90000,0)</f>
        <v>3</v>
      </c>
      <c r="O9" s="1"/>
      <c r="P9" s="78"/>
      <c r="Q9" s="1"/>
    </row>
    <row r="10" spans="1:17" x14ac:dyDescent="0.25">
      <c r="A10" s="746" t="s">
        <v>42</v>
      </c>
      <c r="B10" s="746"/>
      <c r="C10" s="7" t="s">
        <v>427</v>
      </c>
      <c r="D10" s="746" t="s">
        <v>41</v>
      </c>
      <c r="E10" s="746"/>
      <c r="F10" s="746"/>
      <c r="G10"/>
      <c r="H10"/>
      <c r="J10" s="736" t="s">
        <v>434</v>
      </c>
      <c r="K10" s="736"/>
      <c r="L10" s="736"/>
      <c r="M10" s="736"/>
      <c r="N10" s="27">
        <f>ROUNDUP(COUNTA('Sample Setup'!B27:AK34)*0.3+IF(A15,6*0.3*8,0),0)*1000</f>
        <v>101000</v>
      </c>
      <c r="P10" s="79"/>
    </row>
    <row r="11" spans="1:17" x14ac:dyDescent="0.25">
      <c r="A11" s="750" t="s">
        <v>428</v>
      </c>
      <c r="B11" s="751"/>
      <c r="C11" s="7">
        <v>2</v>
      </c>
      <c r="D11" s="750" t="str">
        <f>VLOOKUP(C11,BioScale_Internal!A3:G6,5)</f>
        <v>Costar 3959, 1ml Plate</v>
      </c>
      <c r="E11" s="752"/>
      <c r="F11" s="751"/>
      <c r="G11"/>
      <c r="H11"/>
      <c r="J11" s="736" t="s">
        <v>433</v>
      </c>
      <c r="K11" s="736"/>
      <c r="L11" s="736"/>
      <c r="M11" s="736"/>
      <c r="N11" s="27">
        <f>ROUNDUP(N10/90000,0)</f>
        <v>2</v>
      </c>
      <c r="P11" s="79"/>
    </row>
    <row r="12" spans="1:17" x14ac:dyDescent="0.25">
      <c r="A12" s="750" t="s">
        <v>429</v>
      </c>
      <c r="B12" s="751"/>
      <c r="C12" s="7">
        <v>2</v>
      </c>
      <c r="D12" s="750" t="str">
        <f>VLOOKUP(C12,BioScale_Internal!A3:G6,5)</f>
        <v>Costar 3959, 1ml Plate</v>
      </c>
      <c r="E12" s="752"/>
      <c r="F12" s="751"/>
      <c r="G12"/>
      <c r="H12"/>
      <c r="P12" s="79"/>
      <c r="Q12" s="1"/>
    </row>
    <row r="13" spans="1:17" x14ac:dyDescent="0.25">
      <c r="A13" s="75"/>
      <c r="B13" s="75"/>
      <c r="C13" s="5"/>
      <c r="D13" s="75"/>
      <c r="E13" s="75"/>
      <c r="F13" s="75"/>
      <c r="G13"/>
      <c r="H13"/>
      <c r="J13" s="747" t="s">
        <v>465</v>
      </c>
      <c r="K13" s="747"/>
      <c r="L13" s="747"/>
      <c r="M13" s="747"/>
      <c r="N13" s="747"/>
      <c r="P13" s="79"/>
    </row>
    <row r="14" spans="1:17" x14ac:dyDescent="0.25">
      <c r="A14" s="747" t="s">
        <v>430</v>
      </c>
      <c r="B14" s="747"/>
      <c r="C14" s="747"/>
      <c r="D14" s="747"/>
      <c r="E14" s="737" t="s">
        <v>431</v>
      </c>
      <c r="F14" s="737"/>
      <c r="G14" s="737"/>
      <c r="H14" s="737"/>
      <c r="J14" s="72" t="s">
        <v>439</v>
      </c>
      <c r="K14" s="76" t="s">
        <v>440</v>
      </c>
      <c r="L14" s="77"/>
      <c r="M14" s="77"/>
      <c r="N14" s="80">
        <f>IF(N8&gt;90000,90000,90000)</f>
        <v>90000</v>
      </c>
      <c r="P14" s="79"/>
    </row>
    <row r="15" spans="1:17" x14ac:dyDescent="0.25">
      <c r="A15" s="735" t="b">
        <v>1</v>
      </c>
      <c r="B15" s="735"/>
      <c r="C15" s="735"/>
      <c r="D15" s="735"/>
      <c r="E15" s="746" t="str">
        <f>IF(A15,"ConditionSensor", "ShortWetCartridge")</f>
        <v>ConditionSensor</v>
      </c>
      <c r="F15" s="746"/>
      <c r="G15" s="746"/>
      <c r="H15" s="746"/>
      <c r="J15" s="72" t="s">
        <v>441</v>
      </c>
      <c r="K15" s="76" t="str">
        <f>IF(COUNTIF($K$14:K14,"WashBuffer")&gt;=$N$9,IF(COUNTIF($K$14:K14,"RegenerationBuffer")&gt;=$N$11,"","RegenerationBuffer"),"WashBuffer")</f>
        <v>WashBuffer</v>
      </c>
      <c r="L15" s="77"/>
      <c r="M15" s="77"/>
      <c r="N15" s="80">
        <f t="array" ref="N15">IF(SUM(IF($K$14:K14="WashBuffer",$N$14:N14,0))&gt;=$N$8,IF(SUM(IF($K$14:K14="RegenerationBuffer",$N$14:N14,0))&gt;=$N$10,"",IF(($N$10-SUM(IF($K$14:K14="RegenerationBuffer",$N$14:N14,0)))&gt;90000,90000,($N$10-SUM(IF($K$14:K14="RegenerationBuffer",$N$14:N14,0))))),IF(($N$8-SUM(IF($K$14:K14="WashBuffer",$N$14:N14,0)))&gt;90000,90000,($N$8-SUM(IF($K$14:K14="WashBuffer",$N$14:N14,0)))))</f>
        <v>90000</v>
      </c>
      <c r="P15" s="79"/>
    </row>
    <row r="16" spans="1:17" x14ac:dyDescent="0.25">
      <c r="H16"/>
      <c r="J16" s="72" t="s">
        <v>442</v>
      </c>
      <c r="K16" s="76" t="str">
        <f>IF(COUNTIF($K$14:K15,"WashBuffer")&gt;=$N$9,IF(COUNTIF($K$14:K15,"RegenerationBuffer")&gt;=$N$11,"","RegenerationBuffer"),"WashBuffer")</f>
        <v>WashBuffer</v>
      </c>
      <c r="L16" s="77"/>
      <c r="M16" s="77"/>
      <c r="N16" s="120">
        <f t="array" ref="N16">IF(SUM(IF($K$14:K15="WashBuffer",$N$14:N15,0))&gt;=$N$8,IF(SUM(IF($K$14:K15="RegenerationBuffer",$N$14:N15,0))&gt;=$N$10,"",IF(($N$10-SUM(IF($K$14:K15="RegenerationBuffer",$N$14:N15,0)))&gt;90000,90000,($N$10-SUM(IF($K$14:K15="RegenerationBuffer",$N$14:N15,0))))),IF(($N$8-SUM(IF($K$14:K15="WashBuffer",$N$14:N15,0)))&gt;90000,90000,($N$8-SUM(IF($K$14:K15="WashBuffer",$N$14:N15,0)))))</f>
        <v>56000</v>
      </c>
      <c r="P16" s="25"/>
    </row>
    <row r="17" spans="1:16" x14ac:dyDescent="0.25">
      <c r="A17" s="71" t="s">
        <v>464</v>
      </c>
      <c r="B17" s="747" t="s">
        <v>463</v>
      </c>
      <c r="C17" s="747"/>
      <c r="D17" s="747"/>
      <c r="E17" s="747" t="s">
        <v>461</v>
      </c>
      <c r="F17" s="747"/>
      <c r="G17" s="747"/>
      <c r="H17" s="747"/>
      <c r="I17" s="73"/>
      <c r="J17" s="72" t="s">
        <v>443</v>
      </c>
      <c r="K17" s="76" t="str">
        <f>IF(COUNTIF($K$14:K16,"WashBuffer")&gt;=$N$9,IF(COUNTIF($K$14:K16,"RegenerationBuffer")&gt;=$N$11,"","RegenerationBuffer"),"WashBuffer")</f>
        <v>RegenerationBuffer</v>
      </c>
      <c r="L17" s="77"/>
      <c r="M17" s="77"/>
      <c r="N17" s="120">
        <f t="array" ref="N17">IF(SUM(IF($K$14:K16="WashBuffer",$N$14:N16,0))&gt;=$N$8,IF(SUM(IF($K$14:K16="RegenerationBuffer",$N$14:N16,0))&gt;=$N$10,"",IF(($N$10-SUM(IF($K$14:K16="RegenerationBuffer",$N$14:N16,0)))&gt;90000,90000,($N$10-SUM(IF($K$14:K16="RegenerationBuffer",$N$14:N16,0))))),IF(($N$8-SUM(IF($K$14:K16="WashBuffer",$N$14:N16,0)))&gt;90000,90000,($N$8-SUM(IF($K$14:K16="WashBuffer",$N$14:N16,0)))))</f>
        <v>90000</v>
      </c>
      <c r="P17" s="25"/>
    </row>
    <row r="18" spans="1:16" x14ac:dyDescent="0.25">
      <c r="A18" s="71">
        <v>1</v>
      </c>
      <c r="B18" s="735">
        <v>15</v>
      </c>
      <c r="C18" s="735"/>
      <c r="D18" s="735"/>
      <c r="E18" s="735" t="s">
        <v>451</v>
      </c>
      <c r="F18" s="735"/>
      <c r="G18" s="735" t="s">
        <v>462</v>
      </c>
      <c r="H18" s="735"/>
      <c r="I18" s="74"/>
      <c r="J18" s="72" t="s">
        <v>444</v>
      </c>
      <c r="K18" s="76" t="str">
        <f>IF(COUNTIF($K$14:K17,"WashBuffer")&gt;=$N$9,IF(COUNTIF($K$14:K17,"RegenerationBuffer")&gt;=$N$11,"","RegenerationBuffer"),"WashBuffer")</f>
        <v>RegenerationBuffer</v>
      </c>
      <c r="L18" s="77"/>
      <c r="M18" s="77"/>
      <c r="N18" s="120">
        <f t="array" ref="N18">IF(SUM(IF($K$14:K17="WashBuffer",$N$14:N17,0))&gt;=$N$8,IF(SUM(IF($K$14:K17="RegenerationBuffer",$N$14:N17,0))&gt;=$N$10,"",IF(($N$10-SUM(IF($K$14:K17="RegenerationBuffer",$N$14:N17,0)))&gt;90000,90000,($N$10-SUM(IF($K$14:K17="RegenerationBuffer",$N$14:N17,0))))),IF(($N$8-SUM(IF($K$14:K17="WashBuffer",$N$14:N17,0)))&gt;90000,90000,($N$8-SUM(IF($K$14:K17="WashBuffer",$N$14:N17,0)))))</f>
        <v>11000</v>
      </c>
    </row>
    <row r="19" spans="1:16" x14ac:dyDescent="0.25">
      <c r="A19" s="71">
        <v>2</v>
      </c>
      <c r="B19" s="735">
        <v>20</v>
      </c>
      <c r="C19" s="735"/>
      <c r="D19" s="735"/>
      <c r="E19" s="735">
        <v>2</v>
      </c>
      <c r="F19" s="735"/>
      <c r="G19" s="735">
        <f>HLOOKUP(B18:B26,B18:B26,E19)</f>
        <v>20</v>
      </c>
      <c r="H19" s="735"/>
      <c r="I19" s="74"/>
      <c r="J19" s="72" t="s">
        <v>445</v>
      </c>
      <c r="K19" s="76" t="str">
        <f>IF(OR(I33=2,I33=3),"DeconBuffer",(IF(COUNTIF($K$14:K18,"WashBuffer")&gt;=$N$9,IF(COUNTIF($K$14:K18,"RegenerationBuffer")&gt;=$N$11,"","RegenerationBuffer"),"WashBuffer")))</f>
        <v/>
      </c>
      <c r="L19" s="77"/>
      <c r="M19" s="77"/>
      <c r="N19" s="120" t="str">
        <f t="array" ref="N19">IF(Trough6Desc="DeconBuffer",90000,IF(SUM(IF($K$14:K18="WashBuffer",$N$14:N18,0))&gt;=$N$8,IF(SUM(IF($K$14:K18="RegenerationBuffer",$N$14:N18,0))&gt;=$N$10,"",IF(($N$10-SUM(IF($K$14:K18="RegenerationBuffer",$N$14:N18,0)))&gt;90000,90000,($N$10-SUM(IF($K$14:K18="RegenerationBuffer",$N$14:N18,0))))),IF(($N$8-SUM(IF($K$14:K18="WashBuffer",$N$14:N18,0)))&gt;90000,90000,($N$8-SUM(IF($K$14:K18="WashBuffer",$N$14:N18,0))))))</f>
        <v/>
      </c>
    </row>
    <row r="20" spans="1:16" x14ac:dyDescent="0.25">
      <c r="A20" s="71">
        <v>3</v>
      </c>
      <c r="B20" s="735">
        <v>25</v>
      </c>
      <c r="C20" s="735"/>
      <c r="D20" s="735"/>
      <c r="E20" s="74"/>
      <c r="F20" s="74"/>
      <c r="G20"/>
      <c r="H20"/>
      <c r="I20" s="1"/>
    </row>
    <row r="21" spans="1:16" x14ac:dyDescent="0.25">
      <c r="A21" s="71">
        <v>4</v>
      </c>
      <c r="B21" s="735">
        <v>30</v>
      </c>
      <c r="C21" s="735"/>
      <c r="D21" s="735"/>
      <c r="E21" s="74"/>
      <c r="F21" s="74"/>
      <c r="G21"/>
      <c r="H21"/>
      <c r="J21" s="740" t="s">
        <v>156</v>
      </c>
      <c r="K21" s="740"/>
      <c r="L21" s="740"/>
      <c r="M21" s="740"/>
      <c r="N21" s="740"/>
    </row>
    <row r="22" spans="1:16" x14ac:dyDescent="0.25">
      <c r="A22" s="71">
        <v>5</v>
      </c>
      <c r="B22" s="735">
        <v>35</v>
      </c>
      <c r="C22" s="735"/>
      <c r="D22" s="735"/>
      <c r="E22" s="74"/>
      <c r="F22" s="74"/>
      <c r="G22"/>
      <c r="H22"/>
      <c r="J22" s="748" t="str">
        <f>IF(ISBLANK('Sample Setup'!G5),"Protein",'Sample Setup'!G5)</f>
        <v>GDF-15</v>
      </c>
      <c r="K22" s="748"/>
      <c r="L22" s="748"/>
      <c r="M22" s="748"/>
      <c r="N22" s="748"/>
    </row>
    <row r="23" spans="1:16" x14ac:dyDescent="0.25">
      <c r="A23" s="71">
        <v>6</v>
      </c>
      <c r="B23" s="735">
        <v>40</v>
      </c>
      <c r="C23" s="735"/>
      <c r="D23" s="735"/>
      <c r="E23" s="74"/>
      <c r="F23" s="74"/>
      <c r="G23"/>
      <c r="H23"/>
    </row>
    <row r="24" spans="1:16" x14ac:dyDescent="0.25">
      <c r="A24" s="71">
        <v>7</v>
      </c>
      <c r="B24" s="735">
        <v>45</v>
      </c>
      <c r="C24" s="735"/>
      <c r="D24" s="735"/>
      <c r="E24" s="74"/>
      <c r="F24" s="74"/>
      <c r="G24"/>
      <c r="H24"/>
      <c r="J24" s="737" t="s">
        <v>222</v>
      </c>
      <c r="K24" s="737"/>
      <c r="L24" s="737"/>
      <c r="M24" s="737"/>
      <c r="N24" s="737"/>
    </row>
    <row r="25" spans="1:16" x14ac:dyDescent="0.25">
      <c r="A25" s="71">
        <v>8</v>
      </c>
      <c r="B25" s="735">
        <v>50</v>
      </c>
      <c r="C25" s="735"/>
      <c r="D25" s="735"/>
      <c r="E25" s="74"/>
      <c r="F25" s="74"/>
      <c r="G25"/>
      <c r="H25"/>
      <c r="J25" s="746" t="str">
        <f>BioScale_Internal!J22 &amp; " Calibration Curve"</f>
        <v>GDF-15 Calibration Curve</v>
      </c>
      <c r="K25" s="746"/>
      <c r="L25" s="746"/>
      <c r="M25" s="746"/>
      <c r="N25" s="746"/>
    </row>
    <row r="26" spans="1:16" x14ac:dyDescent="0.25">
      <c r="A26" s="71">
        <v>9</v>
      </c>
      <c r="B26" s="735">
        <v>55</v>
      </c>
      <c r="C26" s="735"/>
      <c r="D26" s="735"/>
      <c r="E26" s="74"/>
      <c r="F26" s="74"/>
      <c r="G26"/>
      <c r="H26"/>
      <c r="J26" s="746" t="str">
        <f>"["&amp;BioScale_Internal!J22&amp;"] ("&amp; 'Sample Setup'!G7&amp;")"</f>
        <v>[GDF-15] (pg/mL)</v>
      </c>
      <c r="K26" s="746"/>
      <c r="L26" s="746"/>
      <c r="M26" s="746"/>
      <c r="N26" s="746"/>
    </row>
    <row r="27" spans="1:16" x14ac:dyDescent="0.25">
      <c r="J27" s="735" t="str">
        <f>IF(ProtocolName="ABQuantAssay","Accumulation Rate (ppm/sec)","Signal (AMMP RU)")</f>
        <v>Accumulation Rate (ppm/sec)</v>
      </c>
      <c r="K27" s="735"/>
      <c r="L27" s="735"/>
      <c r="M27" s="735"/>
      <c r="N27" s="735"/>
    </row>
    <row r="28" spans="1:16" x14ac:dyDescent="0.25">
      <c r="A28" s="753" t="s">
        <v>437</v>
      </c>
      <c r="B28" s="754"/>
      <c r="C28" s="754"/>
      <c r="D28" s="754"/>
      <c r="E28" s="754"/>
      <c r="F28" s="755"/>
      <c r="J28" s="740" t="s">
        <v>411</v>
      </c>
      <c r="K28" s="740"/>
      <c r="L28" s="740"/>
      <c r="M28" s="740"/>
      <c r="N28" s="27" t="b">
        <v>1</v>
      </c>
    </row>
    <row r="29" spans="1:16" x14ac:dyDescent="0.25">
      <c r="A29" s="743" t="str">
        <f xml:space="preserve"> IF(A15, "",1)</f>
        <v/>
      </c>
      <c r="B29" s="744"/>
      <c r="C29" s="744"/>
      <c r="D29" s="744"/>
      <c r="E29" s="744"/>
      <c r="F29" s="745"/>
    </row>
    <row r="31" spans="1:16" x14ac:dyDescent="0.25">
      <c r="A31" s="739" t="s">
        <v>446</v>
      </c>
      <c r="B31" s="739"/>
      <c r="C31" s="739"/>
      <c r="D31" s="739"/>
      <c r="E31" s="739"/>
      <c r="F31" s="739" t="s">
        <v>447</v>
      </c>
      <c r="G31" s="739"/>
      <c r="H31" s="739"/>
      <c r="I31" s="739" t="s">
        <v>448</v>
      </c>
      <c r="J31" s="739"/>
      <c r="K31" s="739"/>
      <c r="L31" s="739"/>
    </row>
    <row r="32" spans="1:16" ht="18.75" x14ac:dyDescent="0.25">
      <c r="A32" s="742" t="s">
        <v>449</v>
      </c>
      <c r="B32" s="742"/>
      <c r="C32" s="742"/>
      <c r="D32" s="742"/>
      <c r="E32" s="742"/>
      <c r="F32" s="741" t="s">
        <v>450</v>
      </c>
      <c r="G32" s="741"/>
      <c r="H32" s="741"/>
      <c r="I32" s="741" t="s">
        <v>451</v>
      </c>
      <c r="J32" s="741"/>
      <c r="K32" s="741" t="s">
        <v>452</v>
      </c>
      <c r="L32" s="741"/>
    </row>
    <row r="33" spans="1:14" ht="18.75" x14ac:dyDescent="0.25">
      <c r="A33" s="742" t="s">
        <v>453</v>
      </c>
      <c r="B33" s="742"/>
      <c r="C33" s="742"/>
      <c r="D33" s="742"/>
      <c r="E33" s="742"/>
      <c r="F33" s="741" t="s">
        <v>454</v>
      </c>
      <c r="G33" s="741"/>
      <c r="H33" s="741"/>
      <c r="I33" s="741">
        <v>1</v>
      </c>
      <c r="J33" s="741"/>
      <c r="K33" s="741" t="str">
        <f>HLOOKUP(F31,F32:F35,I33)</f>
        <v>NoDecon</v>
      </c>
      <c r="L33" s="741"/>
    </row>
    <row r="34" spans="1:14" ht="18.75" x14ac:dyDescent="0.25">
      <c r="A34" s="742" t="s">
        <v>455</v>
      </c>
      <c r="B34" s="742"/>
      <c r="C34" s="742"/>
      <c r="D34" s="742"/>
      <c r="E34" s="742"/>
      <c r="F34" s="741" t="s">
        <v>456</v>
      </c>
      <c r="G34" s="741"/>
      <c r="H34" s="741"/>
      <c r="I34" s="83"/>
      <c r="J34" s="83"/>
      <c r="K34" s="83"/>
      <c r="L34" s="83"/>
    </row>
    <row r="35" spans="1:14" ht="18.75" x14ac:dyDescent="0.25">
      <c r="A35" s="742" t="s">
        <v>457</v>
      </c>
      <c r="B35" s="742"/>
      <c r="C35" s="742"/>
      <c r="D35" s="742"/>
      <c r="E35" s="742"/>
      <c r="F35" s="741" t="s">
        <v>458</v>
      </c>
      <c r="G35" s="741"/>
      <c r="H35" s="741"/>
      <c r="I35" s="83"/>
      <c r="J35" s="739" t="s">
        <v>504</v>
      </c>
      <c r="K35" s="739"/>
      <c r="L35" s="739"/>
      <c r="M35" s="739"/>
      <c r="N35" s="739"/>
    </row>
    <row r="36" spans="1:14" x14ac:dyDescent="0.25">
      <c r="J36" s="736" t="s">
        <v>436</v>
      </c>
      <c r="K36" s="736"/>
      <c r="L36" s="736"/>
      <c r="M36" s="736"/>
      <c r="N36" s="736"/>
    </row>
    <row r="37" spans="1:14" x14ac:dyDescent="0.25">
      <c r="J37" s="736" t="s">
        <v>506</v>
      </c>
      <c r="K37" s="736"/>
      <c r="L37" s="736"/>
      <c r="M37" s="736"/>
      <c r="N37" s="736"/>
    </row>
    <row r="38" spans="1:14" x14ac:dyDescent="0.25">
      <c r="A38" s="737" t="s">
        <v>153</v>
      </c>
      <c r="B38" s="737"/>
      <c r="C38" s="737"/>
      <c r="D38" s="28"/>
      <c r="J38" s="736" t="s">
        <v>505</v>
      </c>
      <c r="K38" s="736"/>
      <c r="L38" s="736"/>
      <c r="M38" s="736"/>
      <c r="N38" s="736"/>
    </row>
    <row r="39" spans="1:14" x14ac:dyDescent="0.25">
      <c r="A39" s="4" t="s">
        <v>109</v>
      </c>
      <c r="B39" s="4" t="s">
        <v>107</v>
      </c>
      <c r="C39" s="4" t="s">
        <v>108</v>
      </c>
      <c r="J39" s="736" t="s">
        <v>568</v>
      </c>
      <c r="K39" s="736"/>
      <c r="L39" s="736"/>
      <c r="M39" s="736"/>
      <c r="N39" s="736"/>
    </row>
    <row r="40" spans="1:14" x14ac:dyDescent="0.25">
      <c r="A40" s="7">
        <v>1</v>
      </c>
      <c r="B40" s="18" t="s">
        <v>111</v>
      </c>
      <c r="C40" s="738">
        <v>3</v>
      </c>
    </row>
    <row r="41" spans="1:14" x14ac:dyDescent="0.25">
      <c r="A41" s="7">
        <v>2</v>
      </c>
      <c r="B41" s="18" t="s">
        <v>112</v>
      </c>
      <c r="C41" s="738"/>
      <c r="J41" s="740" t="s">
        <v>603</v>
      </c>
      <c r="K41" s="740"/>
      <c r="L41" s="740"/>
      <c r="M41" s="740"/>
      <c r="N41" s="740"/>
    </row>
    <row r="42" spans="1:14" x14ac:dyDescent="0.25">
      <c r="A42" s="7">
        <v>3</v>
      </c>
      <c r="B42" s="18" t="s">
        <v>113</v>
      </c>
      <c r="C42" s="738"/>
      <c r="J42" s="735">
        <v>1</v>
      </c>
      <c r="K42" s="735"/>
      <c r="L42" s="735"/>
      <c r="M42" s="735"/>
      <c r="N42" s="735"/>
    </row>
    <row r="43" spans="1:14" x14ac:dyDescent="0.25">
      <c r="A43" s="7">
        <v>4</v>
      </c>
      <c r="B43" s="18" t="s">
        <v>114</v>
      </c>
      <c r="C43" s="738"/>
      <c r="J43" s="735">
        <v>2</v>
      </c>
      <c r="K43" s="735"/>
      <c r="L43" s="735"/>
      <c r="M43" s="735"/>
      <c r="N43" s="735"/>
    </row>
    <row r="44" spans="1:14" x14ac:dyDescent="0.25">
      <c r="A44" s="38">
        <v>5</v>
      </c>
      <c r="B44" s="39" t="s">
        <v>229</v>
      </c>
      <c r="C44" s="738"/>
      <c r="J44" s="735">
        <v>3</v>
      </c>
      <c r="K44" s="735"/>
      <c r="L44" s="735"/>
      <c r="M44" s="735"/>
      <c r="N44" s="735"/>
    </row>
    <row r="45" spans="1:14" x14ac:dyDescent="0.25">
      <c r="A45" s="38">
        <v>6</v>
      </c>
      <c r="B45" s="39" t="s">
        <v>230</v>
      </c>
      <c r="C45" s="738"/>
    </row>
    <row r="46" spans="1:14" x14ac:dyDescent="0.25">
      <c r="A46" s="38">
        <v>7</v>
      </c>
      <c r="B46" s="39" t="s">
        <v>231</v>
      </c>
      <c r="C46" s="738"/>
    </row>
  </sheetData>
  <mergeCells count="83">
    <mergeCell ref="J27:N27"/>
    <mergeCell ref="D12:F12"/>
    <mergeCell ref="A33:E33"/>
    <mergeCell ref="A32:E32"/>
    <mergeCell ref="A35:E35"/>
    <mergeCell ref="F35:H35"/>
    <mergeCell ref="F34:H34"/>
    <mergeCell ref="A28:F28"/>
    <mergeCell ref="E19:F19"/>
    <mergeCell ref="B26:D26"/>
    <mergeCell ref="B17:D17"/>
    <mergeCell ref="A14:D14"/>
    <mergeCell ref="E14:H14"/>
    <mergeCell ref="B18:D18"/>
    <mergeCell ref="B23:D23"/>
    <mergeCell ref="A15:D15"/>
    <mergeCell ref="B3:D3"/>
    <mergeCell ref="E3:H3"/>
    <mergeCell ref="L5:N5"/>
    <mergeCell ref="B6:D6"/>
    <mergeCell ref="E6:H6"/>
    <mergeCell ref="J5:K5"/>
    <mergeCell ref="J4:N4"/>
    <mergeCell ref="B5:D5"/>
    <mergeCell ref="E5:H5"/>
    <mergeCell ref="J1:N1"/>
    <mergeCell ref="J2:N2"/>
    <mergeCell ref="A1:H1"/>
    <mergeCell ref="B2:D2"/>
    <mergeCell ref="E2:H2"/>
    <mergeCell ref="J13:N13"/>
    <mergeCell ref="J24:N24"/>
    <mergeCell ref="B4:D4"/>
    <mergeCell ref="E4:H4"/>
    <mergeCell ref="D10:F10"/>
    <mergeCell ref="A9:F9"/>
    <mergeCell ref="J8:M8"/>
    <mergeCell ref="J9:M9"/>
    <mergeCell ref="A11:B11"/>
    <mergeCell ref="D11:F11"/>
    <mergeCell ref="J7:N7"/>
    <mergeCell ref="A10:B10"/>
    <mergeCell ref="E15:H15"/>
    <mergeCell ref="J10:M10"/>
    <mergeCell ref="J11:M11"/>
    <mergeCell ref="A12:B12"/>
    <mergeCell ref="J26:N26"/>
    <mergeCell ref="E17:H17"/>
    <mergeCell ref="B24:D24"/>
    <mergeCell ref="B25:D25"/>
    <mergeCell ref="J21:N21"/>
    <mergeCell ref="B19:D19"/>
    <mergeCell ref="B20:D20"/>
    <mergeCell ref="B21:D21"/>
    <mergeCell ref="B22:D22"/>
    <mergeCell ref="J22:N22"/>
    <mergeCell ref="G18:H18"/>
    <mergeCell ref="G19:H19"/>
    <mergeCell ref="E18:F18"/>
    <mergeCell ref="J25:N25"/>
    <mergeCell ref="A31:E31"/>
    <mergeCell ref="F31:H31"/>
    <mergeCell ref="J28:M28"/>
    <mergeCell ref="J41:N41"/>
    <mergeCell ref="I31:L31"/>
    <mergeCell ref="F32:H32"/>
    <mergeCell ref="I32:J32"/>
    <mergeCell ref="K32:L32"/>
    <mergeCell ref="J36:N36"/>
    <mergeCell ref="A34:E34"/>
    <mergeCell ref="J35:N35"/>
    <mergeCell ref="J37:N37"/>
    <mergeCell ref="F33:H33"/>
    <mergeCell ref="I33:J33"/>
    <mergeCell ref="K33:L33"/>
    <mergeCell ref="A29:F29"/>
    <mergeCell ref="J42:N42"/>
    <mergeCell ref="J43:N43"/>
    <mergeCell ref="J44:N44"/>
    <mergeCell ref="J39:N39"/>
    <mergeCell ref="A38:C38"/>
    <mergeCell ref="C40:C46"/>
    <mergeCell ref="J38:N38"/>
  </mergeCells>
  <phoneticPr fontId="5" type="noConversion"/>
  <pageMargins left="0.75" right="0.75" top="1" bottom="1" header="0.5" footer="0.5"/>
  <pageSetup orientation="portrait"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
  <sheetViews>
    <sheetView zoomScale="70" workbookViewId="0"/>
  </sheetViews>
  <sheetFormatPr defaultRowHeight="15" x14ac:dyDescent="0.25"/>
  <sheetData/>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BF351"/>
  <sheetViews>
    <sheetView zoomScale="80" zoomScaleNormal="80" workbookViewId="0">
      <selection sqref="A1:AK1"/>
    </sheetView>
  </sheetViews>
  <sheetFormatPr defaultColWidth="9.140625" defaultRowHeight="15" x14ac:dyDescent="0.25"/>
  <cols>
    <col min="1" max="1" width="11.7109375" style="2" customWidth="1"/>
    <col min="2" max="2" width="12.85546875" style="2" customWidth="1"/>
    <col min="3" max="6" width="9.7109375" style="2" customWidth="1"/>
    <col min="7" max="7" width="11.85546875" style="2" customWidth="1"/>
    <col min="8" max="12" width="9.7109375" style="2" customWidth="1"/>
    <col min="13" max="13" width="12" style="2" customWidth="1"/>
    <col min="14" max="24" width="9.7109375" style="2" customWidth="1"/>
    <col min="25" max="25" width="10.5703125" style="2" customWidth="1"/>
    <col min="26" max="29" width="9.7109375" style="2" customWidth="1"/>
    <col min="30" max="30" width="11.28515625" style="2" customWidth="1"/>
    <col min="31" max="32" width="9.7109375" style="2" customWidth="1"/>
    <col min="33" max="33" width="11" style="2" customWidth="1"/>
    <col min="34" max="37" width="9.7109375" style="2" customWidth="1"/>
    <col min="38" max="39" width="12.42578125" style="2" bestFit="1" customWidth="1"/>
    <col min="40" max="40" width="10.28515625" style="2" bestFit="1" customWidth="1"/>
    <col min="41" max="41" width="9.140625" style="2"/>
    <col min="42" max="42" width="10.140625" style="2" bestFit="1" customWidth="1"/>
    <col min="43" max="43" width="9.85546875" style="2" bestFit="1" customWidth="1"/>
    <col min="44" max="44" width="9.140625" style="2"/>
    <col min="45" max="46" width="9.85546875" style="2" bestFit="1" customWidth="1"/>
    <col min="47" max="47" width="9.140625" style="2"/>
    <col min="48" max="48" width="10.28515625" style="2" bestFit="1" customWidth="1"/>
    <col min="49" max="16384" width="9.140625" style="2"/>
  </cols>
  <sheetData>
    <row r="1" spans="1:49" x14ac:dyDescent="0.25">
      <c r="A1" s="737" t="s">
        <v>606</v>
      </c>
      <c r="B1" s="737"/>
      <c r="C1" s="737"/>
      <c r="D1" s="737"/>
      <c r="E1" s="737"/>
      <c r="F1" s="737"/>
      <c r="G1" s="737"/>
      <c r="H1" s="737"/>
      <c r="I1" s="737"/>
      <c r="J1" s="737"/>
      <c r="K1" s="737"/>
      <c r="L1" s="737"/>
      <c r="M1" s="737"/>
      <c r="N1" s="737"/>
      <c r="O1" s="737"/>
      <c r="P1" s="737"/>
      <c r="Q1" s="737"/>
      <c r="R1" s="737"/>
      <c r="S1" s="737"/>
      <c r="T1" s="737"/>
      <c r="U1" s="737"/>
      <c r="V1" s="737"/>
      <c r="W1" s="737"/>
      <c r="X1" s="737"/>
      <c r="Y1" s="737"/>
      <c r="Z1" s="737"/>
      <c r="AA1" s="737"/>
      <c r="AB1" s="737"/>
      <c r="AC1" s="737"/>
      <c r="AD1" s="737"/>
      <c r="AE1" s="737"/>
      <c r="AF1" s="737"/>
      <c r="AG1" s="737"/>
      <c r="AH1" s="737"/>
      <c r="AI1" s="737"/>
      <c r="AJ1" s="737"/>
      <c r="AK1" s="737"/>
    </row>
    <row r="2" spans="1:49" x14ac:dyDescent="0.25">
      <c r="A2" s="3"/>
      <c r="B2" s="188" t="s">
        <v>0</v>
      </c>
      <c r="C2" s="188" t="s">
        <v>1</v>
      </c>
      <c r="D2" s="188" t="s">
        <v>2</v>
      </c>
      <c r="E2" s="188" t="s">
        <v>3</v>
      </c>
      <c r="F2" s="188" t="s">
        <v>4</v>
      </c>
      <c r="G2" s="188" t="s">
        <v>5</v>
      </c>
      <c r="H2" s="188" t="s">
        <v>6</v>
      </c>
      <c r="I2" s="188" t="s">
        <v>7</v>
      </c>
      <c r="J2" s="188" t="s">
        <v>8</v>
      </c>
      <c r="K2" s="188" t="s">
        <v>9</v>
      </c>
      <c r="L2" s="188" t="s">
        <v>10</v>
      </c>
      <c r="M2" s="188" t="s">
        <v>11</v>
      </c>
      <c r="N2" s="3" t="s">
        <v>45</v>
      </c>
      <c r="O2" s="3" t="s">
        <v>46</v>
      </c>
      <c r="P2" s="3" t="s">
        <v>47</v>
      </c>
      <c r="Q2" s="3" t="s">
        <v>66</v>
      </c>
      <c r="R2" s="3" t="s">
        <v>67</v>
      </c>
      <c r="S2" s="3" t="s">
        <v>68</v>
      </c>
      <c r="T2" s="3" t="s">
        <v>69</v>
      </c>
      <c r="U2" s="4" t="s">
        <v>70</v>
      </c>
      <c r="V2" s="4" t="s">
        <v>117</v>
      </c>
      <c r="W2" s="4" t="s">
        <v>118</v>
      </c>
      <c r="X2" s="4" t="s">
        <v>119</v>
      </c>
      <c r="Y2" s="4" t="s">
        <v>120</v>
      </c>
      <c r="Z2" s="4" t="s">
        <v>158</v>
      </c>
      <c r="AA2" s="4" t="s">
        <v>159</v>
      </c>
      <c r="AB2" s="4" t="s">
        <v>160</v>
      </c>
      <c r="AC2" s="4" t="s">
        <v>161</v>
      </c>
      <c r="AD2" s="4" t="s">
        <v>162</v>
      </c>
      <c r="AE2" s="4" t="s">
        <v>163</v>
      </c>
      <c r="AF2" s="4" t="s">
        <v>164</v>
      </c>
      <c r="AG2" s="4" t="s">
        <v>165</v>
      </c>
      <c r="AH2" s="4" t="s">
        <v>166</v>
      </c>
      <c r="AI2" s="4" t="s">
        <v>167</v>
      </c>
      <c r="AJ2" s="4" t="s">
        <v>168</v>
      </c>
      <c r="AK2" s="4" t="s">
        <v>169</v>
      </c>
      <c r="AL2" s="4" t="s">
        <v>997</v>
      </c>
      <c r="AM2" s="4" t="s">
        <v>998</v>
      </c>
      <c r="AN2" s="4" t="s">
        <v>999</v>
      </c>
      <c r="AO2" s="4" t="s">
        <v>1000</v>
      </c>
      <c r="AP2" s="4" t="s">
        <v>1001</v>
      </c>
      <c r="AQ2" s="4" t="s">
        <v>1002</v>
      </c>
      <c r="AR2" s="4" t="s">
        <v>1003</v>
      </c>
      <c r="AS2" s="4" t="s">
        <v>1004</v>
      </c>
      <c r="AT2" s="4" t="s">
        <v>1005</v>
      </c>
      <c r="AU2" s="4" t="s">
        <v>1006</v>
      </c>
      <c r="AV2" s="4" t="s">
        <v>1007</v>
      </c>
      <c r="AW2" s="4" t="s">
        <v>1008</v>
      </c>
    </row>
    <row r="3" spans="1:49" x14ac:dyDescent="0.25">
      <c r="A3" s="187" t="s">
        <v>12</v>
      </c>
      <c r="B3" s="366">
        <v>2.6560000000000001</v>
      </c>
      <c r="C3" s="366">
        <v>0.39</v>
      </c>
      <c r="D3" s="366">
        <v>0.22800000000000004</v>
      </c>
      <c r="E3" s="366">
        <v>0.57499999999999996</v>
      </c>
      <c r="F3" s="366">
        <v>0.46600000000000003</v>
      </c>
      <c r="G3" s="366">
        <v>0.46100000000000002</v>
      </c>
      <c r="H3" s="366">
        <v>0.49900000000000005</v>
      </c>
      <c r="I3" s="366">
        <v>0.248</v>
      </c>
      <c r="J3" s="366">
        <v>0.24</v>
      </c>
      <c r="K3" s="366">
        <v>0.27700000000000002</v>
      </c>
      <c r="L3" s="366">
        <v>0.29700000000000004</v>
      </c>
      <c r="M3" s="366">
        <v>0.64499999999999991</v>
      </c>
      <c r="N3" s="364">
        <v>0.58699999999999997</v>
      </c>
      <c r="O3" s="364">
        <v>0.55999999999999994</v>
      </c>
      <c r="P3" s="364">
        <v>0.25800000000000001</v>
      </c>
      <c r="Q3" s="364">
        <v>0.25800000000000001</v>
      </c>
      <c r="R3" s="364">
        <v>0.22200000000000003</v>
      </c>
      <c r="S3" s="364">
        <v>0.22000000000000003</v>
      </c>
      <c r="T3" s="364">
        <v>0.45100000000000001</v>
      </c>
      <c r="U3" s="364">
        <v>0.433</v>
      </c>
      <c r="V3" s="364">
        <v>0.53099999999999992</v>
      </c>
      <c r="W3" s="364">
        <v>0.55000000000000004</v>
      </c>
      <c r="X3" s="364">
        <v>0.51400000000000001</v>
      </c>
      <c r="Y3" s="366">
        <v>1.2000000000000004E-2</v>
      </c>
      <c r="Z3" s="366">
        <v>2.613</v>
      </c>
      <c r="AA3" s="366">
        <v>0.40100000000000002</v>
      </c>
      <c r="AB3" s="366">
        <v>0.60899999999999999</v>
      </c>
      <c r="AC3" s="366">
        <v>0.45</v>
      </c>
      <c r="AD3" s="366">
        <v>0.54199999999999993</v>
      </c>
      <c r="AE3" s="366">
        <v>0.57499999999999996</v>
      </c>
      <c r="AF3" s="366">
        <v>9.0000000000000011E-3</v>
      </c>
      <c r="AG3" s="366">
        <v>1.0000000000000002E-2</v>
      </c>
      <c r="AH3" s="366">
        <v>9.999999999999995E-3</v>
      </c>
      <c r="AI3" s="366">
        <v>8.0000000000000002E-3</v>
      </c>
      <c r="AJ3" s="364">
        <v>8.0000000000000002E-3</v>
      </c>
      <c r="AK3" s="364">
        <v>6.9999999999999993E-3</v>
      </c>
      <c r="AL3" s="364">
        <v>8.0000000000000002E-3</v>
      </c>
      <c r="AM3" s="364">
        <v>9.0000000000000011E-3</v>
      </c>
      <c r="AN3" s="364">
        <v>1.0000000000000002E-2</v>
      </c>
      <c r="AO3" s="364">
        <v>8.0000000000000002E-3</v>
      </c>
      <c r="AP3" s="364">
        <v>8.0000000000000002E-3</v>
      </c>
      <c r="AQ3" s="364">
        <v>8.0000000000000002E-3</v>
      </c>
      <c r="AR3" s="364">
        <v>8.9999999999999941E-3</v>
      </c>
      <c r="AS3" s="364">
        <v>0.626</v>
      </c>
      <c r="AT3" s="364">
        <v>0.23400000000000004</v>
      </c>
      <c r="AU3" s="7">
        <v>0.54099999999999993</v>
      </c>
      <c r="AV3" s="7">
        <v>0.42299999999999999</v>
      </c>
      <c r="AW3" s="7">
        <v>1.2000000000000004E-2</v>
      </c>
    </row>
    <row r="4" spans="1:49" x14ac:dyDescent="0.25">
      <c r="A4" s="187" t="s">
        <v>13</v>
      </c>
      <c r="B4" s="367">
        <v>1.873</v>
      </c>
      <c r="C4" s="367">
        <v>0.34900000000000003</v>
      </c>
      <c r="D4" s="367">
        <v>0.54999999999999993</v>
      </c>
      <c r="E4" s="367">
        <v>0.53899999999999992</v>
      </c>
      <c r="F4" s="367">
        <v>0.39800000000000002</v>
      </c>
      <c r="G4" s="367">
        <v>0.438</v>
      </c>
      <c r="H4" s="367">
        <v>0.48200000000000004</v>
      </c>
      <c r="I4" s="367">
        <v>0.22400000000000003</v>
      </c>
      <c r="J4" s="367">
        <v>0.22700000000000004</v>
      </c>
      <c r="K4" s="367">
        <v>0.254</v>
      </c>
      <c r="L4" s="367">
        <v>0.28300000000000003</v>
      </c>
      <c r="M4" s="367">
        <v>0.60299999999999998</v>
      </c>
      <c r="N4" s="364">
        <v>0.60199999999999998</v>
      </c>
      <c r="O4" s="364">
        <v>0.53799999999999992</v>
      </c>
      <c r="P4" s="364">
        <v>0.245</v>
      </c>
      <c r="Q4" s="364">
        <v>0.20500000000000002</v>
      </c>
      <c r="R4" s="364">
        <v>0.22000000000000003</v>
      </c>
      <c r="S4" s="364">
        <v>0.21100000000000002</v>
      </c>
      <c r="T4" s="364">
        <v>0.438</v>
      </c>
      <c r="U4" s="364">
        <v>0.441</v>
      </c>
      <c r="V4" s="364">
        <v>0.54099999999999993</v>
      </c>
      <c r="W4" s="364">
        <v>0.52499999999999991</v>
      </c>
      <c r="X4" s="364">
        <v>0.53499999999999992</v>
      </c>
      <c r="Y4" s="367">
        <v>1.5000000000000006E-2</v>
      </c>
      <c r="Z4" s="367">
        <v>1.8780000000000001</v>
      </c>
      <c r="AA4" s="367">
        <v>0.373</v>
      </c>
      <c r="AB4" s="367">
        <v>0.59299999999999997</v>
      </c>
      <c r="AC4" s="367">
        <v>0.49700000000000005</v>
      </c>
      <c r="AD4" s="367">
        <v>0.22800000000000004</v>
      </c>
      <c r="AE4" s="367">
        <v>0.5</v>
      </c>
      <c r="AF4" s="367">
        <v>1.0000000000000002E-2</v>
      </c>
      <c r="AG4" s="367">
        <v>9.0000000000000011E-3</v>
      </c>
      <c r="AH4" s="367">
        <v>8.0000000000000002E-3</v>
      </c>
      <c r="AI4" s="367">
        <v>8.0000000000000002E-3</v>
      </c>
      <c r="AJ4" s="364">
        <v>9.0000000000000011E-3</v>
      </c>
      <c r="AK4" s="364">
        <v>6.9999999999999993E-3</v>
      </c>
      <c r="AL4" s="364">
        <v>1.0000000000000002E-2</v>
      </c>
      <c r="AM4" s="364">
        <v>1.1000000000000003E-2</v>
      </c>
      <c r="AN4" s="364">
        <v>7.0000000000000062E-3</v>
      </c>
      <c r="AO4" s="364">
        <v>1.2000000000000004E-2</v>
      </c>
      <c r="AP4" s="364">
        <v>1.7000000000000008E-2</v>
      </c>
      <c r="AQ4" s="364">
        <v>2.700000000000001E-2</v>
      </c>
      <c r="AR4" s="364">
        <v>8.0000000000000002E-3</v>
      </c>
      <c r="AS4" s="364">
        <v>0.59799999999999998</v>
      </c>
      <c r="AT4" s="364">
        <v>0.24299999999999999</v>
      </c>
      <c r="AU4" s="7">
        <v>0.49300000000000005</v>
      </c>
      <c r="AV4" s="7">
        <v>0.64599999999999991</v>
      </c>
      <c r="AW4" s="7">
        <v>1.6E-2</v>
      </c>
    </row>
    <row r="5" spans="1:49" x14ac:dyDescent="0.25">
      <c r="A5" s="187" t="s">
        <v>14</v>
      </c>
      <c r="B5" s="367">
        <v>0.72599999999999998</v>
      </c>
      <c r="C5" s="367">
        <v>1.8</v>
      </c>
      <c r="D5" s="367">
        <v>0.50600000000000001</v>
      </c>
      <c r="E5" s="367">
        <v>0.56499999999999995</v>
      </c>
      <c r="F5" s="367">
        <v>0.38400000000000001</v>
      </c>
      <c r="G5" s="367">
        <v>0.41899999999999998</v>
      </c>
      <c r="H5" s="367">
        <v>0.23099999999999998</v>
      </c>
      <c r="I5" s="367">
        <v>0.21899999999999997</v>
      </c>
      <c r="J5" s="367">
        <v>0.22600000000000003</v>
      </c>
      <c r="K5" s="367">
        <v>0.27200000000000002</v>
      </c>
      <c r="L5" s="367">
        <v>0.27</v>
      </c>
      <c r="M5" s="367">
        <v>0.59699999999999998</v>
      </c>
      <c r="N5" s="364">
        <v>0.57299999999999995</v>
      </c>
      <c r="O5" s="364">
        <v>0.26100000000000001</v>
      </c>
      <c r="P5" s="364">
        <v>0.26</v>
      </c>
      <c r="Q5" s="370">
        <v>0.26900000000000002</v>
      </c>
      <c r="R5" s="364">
        <v>0.20300000000000001</v>
      </c>
      <c r="S5" s="364">
        <v>0.20400000000000001</v>
      </c>
      <c r="T5" s="364">
        <v>0.44700000000000001</v>
      </c>
      <c r="U5" s="364">
        <v>0.41100000000000003</v>
      </c>
      <c r="V5" s="364">
        <v>0.52699999999999991</v>
      </c>
      <c r="W5" s="364">
        <v>0.53099999999999992</v>
      </c>
      <c r="X5" s="364">
        <v>9.6000000000000016E-2</v>
      </c>
      <c r="Y5" s="367">
        <v>3.7000000000000005E-2</v>
      </c>
      <c r="Z5" s="367">
        <v>0.76100000000000001</v>
      </c>
      <c r="AA5" s="367">
        <v>1.8080000000000001</v>
      </c>
      <c r="AB5" s="367">
        <v>0.63400000000000001</v>
      </c>
      <c r="AC5" s="367">
        <v>0.46200000000000002</v>
      </c>
      <c r="AD5" s="367">
        <v>0.248</v>
      </c>
      <c r="AE5" s="367">
        <v>0.187</v>
      </c>
      <c r="AF5" s="367">
        <v>1.4999999999999999E-2</v>
      </c>
      <c r="AG5" s="367">
        <v>1.1000000000000003E-2</v>
      </c>
      <c r="AH5" s="367">
        <v>1.6000000000000007E-2</v>
      </c>
      <c r="AI5" s="367">
        <v>9.0000000000000011E-3</v>
      </c>
      <c r="AJ5" s="364">
        <v>8.9999999999999941E-3</v>
      </c>
      <c r="AK5" s="364">
        <v>7.0000000000000062E-3</v>
      </c>
      <c r="AL5" s="364">
        <v>1.1000000000000003E-2</v>
      </c>
      <c r="AM5" s="364">
        <v>8.0000000000000002E-3</v>
      </c>
      <c r="AN5" s="364">
        <v>6.9999999999999993E-3</v>
      </c>
      <c r="AO5" s="364">
        <v>8.0000000000000002E-3</v>
      </c>
      <c r="AP5" s="364">
        <v>1.1000000000000003E-2</v>
      </c>
      <c r="AQ5" s="364">
        <v>9.0000000000000011E-3</v>
      </c>
      <c r="AR5" s="364">
        <v>8.0000000000000002E-3</v>
      </c>
      <c r="AS5" s="364">
        <v>0.252</v>
      </c>
      <c r="AT5" s="364">
        <v>0.44500000000000001</v>
      </c>
      <c r="AU5" s="7">
        <v>0.60299999999999998</v>
      </c>
      <c r="AV5" s="7">
        <v>8.900000000000001E-2</v>
      </c>
      <c r="AW5" s="7">
        <v>3.2000000000000001E-2</v>
      </c>
    </row>
    <row r="6" spans="1:49" x14ac:dyDescent="0.25">
      <c r="A6" s="187" t="s">
        <v>15</v>
      </c>
      <c r="B6" s="367">
        <v>0.25800000000000001</v>
      </c>
      <c r="C6" s="367">
        <v>1.704</v>
      </c>
      <c r="D6" s="367">
        <v>0.49700000000000005</v>
      </c>
      <c r="E6" s="367">
        <v>0.54599999999999993</v>
      </c>
      <c r="F6" s="367">
        <v>0.44400000000000001</v>
      </c>
      <c r="G6" s="367">
        <v>0.45600000000000002</v>
      </c>
      <c r="H6" s="367">
        <v>0.22500000000000003</v>
      </c>
      <c r="I6" s="367">
        <v>0.21300000000000002</v>
      </c>
      <c r="J6" s="367">
        <v>0.23100000000000004</v>
      </c>
      <c r="K6" s="367">
        <v>0.251</v>
      </c>
      <c r="L6" s="367">
        <v>0.27800000000000002</v>
      </c>
      <c r="M6" s="367">
        <v>0.55899999999999994</v>
      </c>
      <c r="N6" s="364">
        <v>0.57600000000000007</v>
      </c>
      <c r="O6" s="364">
        <v>0.26500000000000001</v>
      </c>
      <c r="P6" s="364">
        <v>0.26900000000000002</v>
      </c>
      <c r="Q6" s="364">
        <v>0.26200000000000001</v>
      </c>
      <c r="R6" s="364">
        <v>0.22500000000000003</v>
      </c>
      <c r="S6" s="364">
        <v>0.21600000000000003</v>
      </c>
      <c r="T6" s="364">
        <v>0.46</v>
      </c>
      <c r="U6" s="364">
        <v>0.45400000000000001</v>
      </c>
      <c r="V6" s="364">
        <v>0.54599999999999993</v>
      </c>
      <c r="W6" s="364">
        <v>0.51899999999999991</v>
      </c>
      <c r="X6" s="364">
        <v>9.3000000000000013E-2</v>
      </c>
      <c r="Y6" s="367">
        <v>9.1000000000000011E-2</v>
      </c>
      <c r="Z6" s="367">
        <v>0.27300000000000002</v>
      </c>
      <c r="AA6" s="367">
        <v>1.762</v>
      </c>
      <c r="AB6" s="367">
        <v>0.59399999999999997</v>
      </c>
      <c r="AC6" s="367">
        <v>0.46</v>
      </c>
      <c r="AD6" s="367">
        <v>0.28999999999999998</v>
      </c>
      <c r="AE6" s="367">
        <v>1.3999999999999999E-2</v>
      </c>
      <c r="AF6" s="367">
        <v>8.0000000000000002E-3</v>
      </c>
      <c r="AG6" s="367">
        <v>9.0000000000000011E-3</v>
      </c>
      <c r="AH6" s="367">
        <v>6.9999999999999993E-3</v>
      </c>
      <c r="AI6" s="367">
        <v>6.9999999999999993E-3</v>
      </c>
      <c r="AJ6" s="364">
        <v>8.0000000000000002E-3</v>
      </c>
      <c r="AK6" s="364">
        <v>2.9999999999999957E-3</v>
      </c>
      <c r="AL6" s="364">
        <v>1.0000000000000002E-2</v>
      </c>
      <c r="AM6" s="364">
        <v>5.9999999999999984E-3</v>
      </c>
      <c r="AN6" s="364">
        <v>8.0000000000000002E-3</v>
      </c>
      <c r="AO6" s="364">
        <v>5.9999999999999984E-3</v>
      </c>
      <c r="AP6" s="364">
        <v>9.000000000000008E-3</v>
      </c>
      <c r="AQ6" s="364">
        <v>8.0000000000000002E-3</v>
      </c>
      <c r="AR6" s="364">
        <v>8.0000000000000002E-3</v>
      </c>
      <c r="AS6" s="364">
        <v>0.20300000000000001</v>
      </c>
      <c r="AT6" s="364">
        <v>0.22200000000000003</v>
      </c>
      <c r="AU6" s="7">
        <v>0.59099999999999997</v>
      </c>
      <c r="AV6" s="7">
        <v>8.8999999999999996E-2</v>
      </c>
      <c r="AW6" s="7">
        <v>0.09</v>
      </c>
    </row>
    <row r="7" spans="1:49" x14ac:dyDescent="0.25">
      <c r="A7" s="187" t="s">
        <v>16</v>
      </c>
      <c r="B7" s="367">
        <v>0.11599999999999996</v>
      </c>
      <c r="C7" s="367">
        <v>9.1999999999999998E-2</v>
      </c>
      <c r="D7" s="367">
        <v>0.504</v>
      </c>
      <c r="E7" s="367">
        <v>0.53699999999999992</v>
      </c>
      <c r="F7" s="367">
        <v>0.47500000000000003</v>
      </c>
      <c r="G7" s="367">
        <v>0.47400000000000003</v>
      </c>
      <c r="H7" s="367">
        <v>0.22300000000000003</v>
      </c>
      <c r="I7" s="367">
        <v>0.22499999999999998</v>
      </c>
      <c r="J7" s="367">
        <v>0.26300000000000001</v>
      </c>
      <c r="K7" s="367">
        <v>0.26200000000000001</v>
      </c>
      <c r="L7" s="367">
        <v>0.372</v>
      </c>
      <c r="M7" s="367">
        <v>0.64999999999999991</v>
      </c>
      <c r="N7" s="364">
        <v>0.55699999999999994</v>
      </c>
      <c r="O7" s="364">
        <v>0.26200000000000001</v>
      </c>
      <c r="P7" s="364">
        <v>0.26100000000000001</v>
      </c>
      <c r="Q7" s="364">
        <v>0.23299999999999998</v>
      </c>
      <c r="R7" s="364">
        <v>0.21900000000000003</v>
      </c>
      <c r="S7" s="364">
        <v>0.22799999999999998</v>
      </c>
      <c r="T7" s="364">
        <v>0.47000000000000003</v>
      </c>
      <c r="U7" s="364">
        <v>0.47500000000000003</v>
      </c>
      <c r="V7" s="364">
        <v>0.53999999999999992</v>
      </c>
      <c r="W7" s="364">
        <v>0.49700000000000005</v>
      </c>
      <c r="X7" s="364">
        <v>1.81</v>
      </c>
      <c r="Y7" s="367">
        <v>0.27600000000000002</v>
      </c>
      <c r="Z7" s="367">
        <v>9.6000000000000002E-2</v>
      </c>
      <c r="AA7" s="367">
        <v>9.2000000000000012E-2</v>
      </c>
      <c r="AB7" s="367">
        <v>0.61199999999999999</v>
      </c>
      <c r="AC7" s="367">
        <v>0.248</v>
      </c>
      <c r="AD7" s="367">
        <v>0.21900000000000003</v>
      </c>
      <c r="AE7" s="367">
        <v>1.7000000000000008E-2</v>
      </c>
      <c r="AF7" s="367">
        <v>1.1000000000000003E-2</v>
      </c>
      <c r="AG7" s="367">
        <v>1.3999999999999999E-2</v>
      </c>
      <c r="AH7" s="367">
        <v>8.0000000000000002E-3</v>
      </c>
      <c r="AI7" s="367">
        <v>2.1999999999999992E-2</v>
      </c>
      <c r="AJ7" s="364">
        <v>1.0000000000000002E-2</v>
      </c>
      <c r="AK7" s="364">
        <v>1.4000000000000005E-2</v>
      </c>
      <c r="AL7" s="364">
        <v>1.1999999999999997E-2</v>
      </c>
      <c r="AM7" s="364">
        <v>5.9999999999999984E-3</v>
      </c>
      <c r="AN7" s="364">
        <v>6.0000000000000053E-3</v>
      </c>
      <c r="AO7" s="364">
        <v>6.9999999999999993E-3</v>
      </c>
      <c r="AP7" s="364">
        <v>1.0999999999999996E-2</v>
      </c>
      <c r="AQ7" s="364">
        <v>8.0000000000000071E-3</v>
      </c>
      <c r="AR7" s="364">
        <v>8.0000000000000002E-3</v>
      </c>
      <c r="AS7" s="364">
        <v>0.28100000000000003</v>
      </c>
      <c r="AT7" s="364">
        <v>0.44500000000000001</v>
      </c>
      <c r="AU7" s="7">
        <v>0.60199999999999998</v>
      </c>
      <c r="AV7" s="7">
        <v>1.78</v>
      </c>
      <c r="AW7" s="7">
        <v>0.27500000000000002</v>
      </c>
    </row>
    <row r="8" spans="1:49" x14ac:dyDescent="0.25">
      <c r="A8" s="187" t="s">
        <v>17</v>
      </c>
      <c r="B8" s="367">
        <v>3.6999999999999998E-2</v>
      </c>
      <c r="C8" s="367">
        <v>9.2999999999999985E-2</v>
      </c>
      <c r="D8" s="367">
        <v>0.5169999999999999</v>
      </c>
      <c r="E8" s="367">
        <v>0.52399999999999991</v>
      </c>
      <c r="F8" s="367">
        <v>0.40500000000000003</v>
      </c>
      <c r="G8" s="367">
        <v>0.44900000000000001</v>
      </c>
      <c r="H8" s="367">
        <v>0.21399999999999997</v>
      </c>
      <c r="I8" s="367">
        <v>0.19600000000000001</v>
      </c>
      <c r="J8" s="367">
        <v>0.26800000000000002</v>
      </c>
      <c r="K8" s="367">
        <v>0.248</v>
      </c>
      <c r="L8" s="367">
        <v>0.27100000000000002</v>
      </c>
      <c r="M8" s="367">
        <v>0.50800000000000001</v>
      </c>
      <c r="N8" s="364">
        <v>0.59600000000000009</v>
      </c>
      <c r="O8" s="364">
        <v>0.26500000000000001</v>
      </c>
      <c r="P8" s="364">
        <v>0.28200000000000003</v>
      </c>
      <c r="Q8" s="364">
        <v>0.22499999999999998</v>
      </c>
      <c r="R8" s="364">
        <v>0.23499999999999999</v>
      </c>
      <c r="S8" s="364">
        <v>0.21900000000000003</v>
      </c>
      <c r="T8" s="364">
        <v>0.40800000000000003</v>
      </c>
      <c r="U8" s="364">
        <v>0.40500000000000003</v>
      </c>
      <c r="V8" s="364">
        <v>0.56199999999999994</v>
      </c>
      <c r="W8" s="364">
        <v>0.49800000000000005</v>
      </c>
      <c r="X8" s="364">
        <v>1.8130000000000002</v>
      </c>
      <c r="Y8" s="367">
        <v>0.752</v>
      </c>
      <c r="Z8" s="367">
        <v>3.5000000000000003E-2</v>
      </c>
      <c r="AA8" s="367">
        <v>9.4999999999999987E-2</v>
      </c>
      <c r="AB8" s="367">
        <v>0.61099999999999999</v>
      </c>
      <c r="AC8" s="367">
        <v>0.48700000000000004</v>
      </c>
      <c r="AD8" s="367">
        <v>0.27100000000000002</v>
      </c>
      <c r="AE8" s="367">
        <v>1.7999999999999995E-2</v>
      </c>
      <c r="AF8" s="367">
        <v>1.3999999999999999E-2</v>
      </c>
      <c r="AG8" s="367">
        <v>1.1000000000000003E-2</v>
      </c>
      <c r="AH8" s="367">
        <v>9.0000000000000011E-3</v>
      </c>
      <c r="AI8" s="367">
        <v>8.0000000000000002E-3</v>
      </c>
      <c r="AJ8" s="364">
        <v>8.0000000000000002E-3</v>
      </c>
      <c r="AK8" s="364">
        <v>5.9999999999999984E-3</v>
      </c>
      <c r="AL8" s="364">
        <v>9.0000000000000011E-3</v>
      </c>
      <c r="AM8" s="364">
        <v>4.9999999999999975E-3</v>
      </c>
      <c r="AN8" s="364">
        <v>5.9999999999999984E-3</v>
      </c>
      <c r="AO8" s="364">
        <v>6.0000000000000053E-3</v>
      </c>
      <c r="AP8" s="364">
        <v>8.0000000000000002E-3</v>
      </c>
      <c r="AQ8" s="364">
        <v>6.0000000000000053E-3</v>
      </c>
      <c r="AR8" s="364">
        <v>0.16799999999999998</v>
      </c>
      <c r="AS8" s="364">
        <v>0.28200000000000003</v>
      </c>
      <c r="AT8" s="364">
        <v>0.44400000000000001</v>
      </c>
      <c r="AU8" s="7">
        <v>0.59899999999999998</v>
      </c>
      <c r="AV8" s="7">
        <v>1.7769999999999999</v>
      </c>
      <c r="AW8" s="7">
        <v>0.73299999999999998</v>
      </c>
    </row>
    <row r="9" spans="1:49" x14ac:dyDescent="0.25">
      <c r="A9" s="187" t="s">
        <v>18</v>
      </c>
      <c r="B9" s="367">
        <v>1.9000000000000003E-2</v>
      </c>
      <c r="C9" s="367">
        <v>0.55399999999999994</v>
      </c>
      <c r="D9" s="367">
        <v>0.52199999999999991</v>
      </c>
      <c r="E9" s="367">
        <v>0.54399999999999993</v>
      </c>
      <c r="F9" s="367">
        <v>0.43</v>
      </c>
      <c r="G9" s="367">
        <v>0.47000000000000003</v>
      </c>
      <c r="H9" s="367">
        <v>0.22400000000000003</v>
      </c>
      <c r="I9" s="367">
        <v>0.22100000000000003</v>
      </c>
      <c r="J9" s="367">
        <v>0.21500000000000002</v>
      </c>
      <c r="K9" s="367">
        <v>0.22899999999999998</v>
      </c>
      <c r="L9" s="367">
        <v>0.53599999999999992</v>
      </c>
      <c r="M9" s="367">
        <v>0.58199999999999996</v>
      </c>
      <c r="N9" s="364">
        <v>0.64499999999999991</v>
      </c>
      <c r="O9" s="364">
        <v>0.27700000000000002</v>
      </c>
      <c r="P9" s="364">
        <v>0.26200000000000001</v>
      </c>
      <c r="Q9" s="364">
        <v>0.22500000000000003</v>
      </c>
      <c r="R9" s="364">
        <v>0.22200000000000003</v>
      </c>
      <c r="S9" s="364">
        <v>0.46500000000000002</v>
      </c>
      <c r="T9" s="364">
        <v>0.47400000000000003</v>
      </c>
      <c r="U9" s="364">
        <v>0.45400000000000001</v>
      </c>
      <c r="V9" s="364">
        <v>0.52899999999999991</v>
      </c>
      <c r="W9" s="364">
        <v>0.52899999999999991</v>
      </c>
      <c r="X9" s="364">
        <v>0.36899999999999999</v>
      </c>
      <c r="Y9" s="367">
        <v>1.8340000000000001</v>
      </c>
      <c r="Z9" s="367">
        <v>2.1000000000000005E-2</v>
      </c>
      <c r="AA9" s="367">
        <v>0.62</v>
      </c>
      <c r="AB9" s="367">
        <v>0.51700000000000002</v>
      </c>
      <c r="AC9" s="367">
        <v>0.23600000000000004</v>
      </c>
      <c r="AD9" s="367">
        <v>0.65199999999999991</v>
      </c>
      <c r="AE9" s="367">
        <v>1.6999999999999994E-2</v>
      </c>
      <c r="AF9" s="367">
        <v>1.5999999999999993E-2</v>
      </c>
      <c r="AG9" s="367">
        <v>1.0000000000000009E-2</v>
      </c>
      <c r="AH9" s="367">
        <v>1.0000000000000002E-2</v>
      </c>
      <c r="AI9" s="367">
        <v>1.1999999999999997E-2</v>
      </c>
      <c r="AJ9" s="364">
        <v>1.0000000000000002E-2</v>
      </c>
      <c r="AK9" s="364">
        <v>9.0000000000000011E-3</v>
      </c>
      <c r="AL9" s="364">
        <v>1.3999999999999999E-2</v>
      </c>
      <c r="AM9" s="364">
        <v>6.9999999999999993E-3</v>
      </c>
      <c r="AN9" s="364">
        <v>6.9999999999999993E-3</v>
      </c>
      <c r="AO9" s="364">
        <v>5.9999999999999984E-3</v>
      </c>
      <c r="AP9" s="364">
        <v>8.0000000000000002E-3</v>
      </c>
      <c r="AQ9" s="364">
        <v>8.0000000000000002E-3</v>
      </c>
      <c r="AR9" s="364">
        <v>0.48600000000000004</v>
      </c>
      <c r="AS9" s="364">
        <v>0.21900000000000003</v>
      </c>
      <c r="AT9" s="364">
        <v>0.49100000000000005</v>
      </c>
      <c r="AU9" s="7">
        <v>0.61899999999999999</v>
      </c>
      <c r="AV9" s="7">
        <v>0.371</v>
      </c>
      <c r="AW9" s="7">
        <v>1.804</v>
      </c>
    </row>
    <row r="10" spans="1:49" x14ac:dyDescent="0.25">
      <c r="A10" s="187" t="s">
        <v>19</v>
      </c>
      <c r="B10" s="367">
        <v>1.2000000000000004E-2</v>
      </c>
      <c r="C10" s="367">
        <v>0.502</v>
      </c>
      <c r="D10" s="367">
        <v>0.52699999999999991</v>
      </c>
      <c r="E10" s="367">
        <v>0.52899999999999991</v>
      </c>
      <c r="F10" s="367">
        <v>0.41500000000000004</v>
      </c>
      <c r="G10" s="367">
        <v>0.44400000000000001</v>
      </c>
      <c r="H10" s="367">
        <v>0.21500000000000002</v>
      </c>
      <c r="I10" s="367">
        <v>0.21400000000000002</v>
      </c>
      <c r="J10" s="367">
        <v>0.26200000000000001</v>
      </c>
      <c r="K10" s="367">
        <v>0.249</v>
      </c>
      <c r="L10" s="367">
        <v>0.57499999999999996</v>
      </c>
      <c r="M10" s="367">
        <v>0.54999999999999993</v>
      </c>
      <c r="N10" s="364">
        <v>0.69300000000000006</v>
      </c>
      <c r="O10" s="364">
        <v>0.29499999999999998</v>
      </c>
      <c r="P10" s="364">
        <v>0.3</v>
      </c>
      <c r="Q10" s="364">
        <v>0.23799999999999999</v>
      </c>
      <c r="R10" s="364">
        <v>0.23299999999999998</v>
      </c>
      <c r="S10" s="364">
        <v>0.45200000000000001</v>
      </c>
      <c r="T10" s="364">
        <v>0.50099999999999989</v>
      </c>
      <c r="U10" s="364">
        <v>0.434</v>
      </c>
      <c r="V10" s="364">
        <v>0.55400000000000005</v>
      </c>
      <c r="W10" s="364">
        <v>0.24000000000000005</v>
      </c>
      <c r="X10" s="364">
        <v>0.38900000000000001</v>
      </c>
      <c r="Y10" s="367">
        <v>2.68</v>
      </c>
      <c r="Z10" s="367">
        <v>1.3999999999999999E-2</v>
      </c>
      <c r="AA10" s="367">
        <v>0.41599999999999998</v>
      </c>
      <c r="AB10" s="367">
        <v>0.51600000000000001</v>
      </c>
      <c r="AC10" s="367">
        <v>0.22700000000000004</v>
      </c>
      <c r="AD10" s="367">
        <v>0.67300000000000004</v>
      </c>
      <c r="AE10" s="367">
        <v>6.9999999999999993E-3</v>
      </c>
      <c r="AF10" s="367">
        <v>9.0000000000000011E-3</v>
      </c>
      <c r="AG10" s="367">
        <v>1.1999999999999997E-2</v>
      </c>
      <c r="AH10" s="367">
        <v>9.999999999999995E-3</v>
      </c>
      <c r="AI10" s="367">
        <v>1.0000000000000002E-2</v>
      </c>
      <c r="AJ10" s="364">
        <v>1.5000000000000006E-2</v>
      </c>
      <c r="AK10" s="364">
        <v>1.1999999999999997E-2</v>
      </c>
      <c r="AL10" s="364">
        <v>1.0000000000000002E-2</v>
      </c>
      <c r="AM10" s="364">
        <v>6.9999999999999993E-3</v>
      </c>
      <c r="AN10" s="364">
        <v>1.0000000000000002E-2</v>
      </c>
      <c r="AO10" s="364">
        <v>8.0000000000000002E-3</v>
      </c>
      <c r="AP10" s="364">
        <v>8.0000000000000002E-3</v>
      </c>
      <c r="AQ10" s="364">
        <v>7.0000000000000062E-3</v>
      </c>
      <c r="AR10" s="364">
        <v>0.55999999999999994</v>
      </c>
      <c r="AS10" s="364">
        <v>0.51500000000000001</v>
      </c>
      <c r="AT10" s="364">
        <v>0.41700000000000004</v>
      </c>
      <c r="AU10" s="7">
        <v>0.57899999999999996</v>
      </c>
      <c r="AV10" s="7">
        <v>0.38900000000000001</v>
      </c>
      <c r="AW10" s="7">
        <v>2.6720000000000002</v>
      </c>
    </row>
    <row r="11" spans="1:49" ht="15" customHeight="1" x14ac:dyDescent="0.25">
      <c r="A11" s="5"/>
      <c r="B11" s="5"/>
      <c r="C11" s="5"/>
      <c r="D11" s="5"/>
      <c r="E11" s="5"/>
      <c r="F11" s="5"/>
      <c r="G11" s="5"/>
      <c r="H11" s="5"/>
      <c r="I11" s="5"/>
      <c r="J11" s="5"/>
      <c r="K11" s="5"/>
      <c r="L11" s="5"/>
      <c r="M11" s="5"/>
      <c r="N11" s="5"/>
    </row>
    <row r="12" spans="1:49" hidden="1" x14ac:dyDescent="0.25">
      <c r="A12" s="737" t="s">
        <v>71</v>
      </c>
      <c r="B12" s="737"/>
      <c r="C12" s="737"/>
      <c r="D12" s="737"/>
      <c r="E12" s="737"/>
      <c r="F12" s="737"/>
      <c r="G12" s="737"/>
      <c r="H12" s="737"/>
      <c r="I12" s="737"/>
      <c r="J12" s="737"/>
      <c r="K12" s="737"/>
      <c r="L12" s="737"/>
      <c r="M12" s="737"/>
      <c r="N12" s="737"/>
      <c r="O12" s="737"/>
      <c r="P12" s="737"/>
      <c r="Q12" s="737"/>
      <c r="R12" s="737"/>
      <c r="S12" s="737"/>
      <c r="T12" s="737"/>
      <c r="U12" s="737"/>
      <c r="V12" s="737"/>
      <c r="W12" s="737"/>
      <c r="X12" s="737"/>
      <c r="Y12" s="737"/>
      <c r="Z12" s="737"/>
      <c r="AA12" s="737"/>
      <c r="AB12" s="737"/>
      <c r="AC12" s="737"/>
      <c r="AD12" s="737"/>
      <c r="AE12" s="737"/>
      <c r="AF12" s="737"/>
      <c r="AG12" s="737"/>
      <c r="AH12" s="737"/>
      <c r="AI12" s="737"/>
      <c r="AJ12" s="737"/>
      <c r="AK12" s="737"/>
    </row>
    <row r="13" spans="1:49" hidden="1" x14ac:dyDescent="0.25">
      <c r="A13" s="4"/>
      <c r="B13" s="22" t="s">
        <v>0</v>
      </c>
      <c r="C13" s="4" t="s">
        <v>1</v>
      </c>
      <c r="D13" s="4" t="s">
        <v>2</v>
      </c>
      <c r="E13" s="4" t="s">
        <v>3</v>
      </c>
      <c r="F13" s="4" t="s">
        <v>4</v>
      </c>
      <c r="G13" s="4" t="s">
        <v>5</v>
      </c>
      <c r="H13" s="4" t="s">
        <v>6</v>
      </c>
      <c r="I13" s="4" t="s">
        <v>7</v>
      </c>
      <c r="J13" s="4" t="s">
        <v>8</v>
      </c>
      <c r="K13" s="4" t="s">
        <v>9</v>
      </c>
      <c r="L13" s="4" t="s">
        <v>10</v>
      </c>
      <c r="M13" s="4" t="s">
        <v>11</v>
      </c>
      <c r="N13" s="4" t="s">
        <v>45</v>
      </c>
      <c r="O13" s="4" t="s">
        <v>46</v>
      </c>
      <c r="P13" s="4" t="s">
        <v>47</v>
      </c>
      <c r="Q13" s="4" t="s">
        <v>66</v>
      </c>
      <c r="R13" s="4" t="s">
        <v>67</v>
      </c>
      <c r="S13" s="4" t="s">
        <v>68</v>
      </c>
      <c r="T13" s="4" t="s">
        <v>69</v>
      </c>
      <c r="U13" s="4" t="s">
        <v>70</v>
      </c>
      <c r="V13" s="4" t="s">
        <v>117</v>
      </c>
      <c r="W13" s="4" t="s">
        <v>118</v>
      </c>
      <c r="X13" s="4" t="s">
        <v>119</v>
      </c>
      <c r="Y13" s="4" t="s">
        <v>120</v>
      </c>
      <c r="Z13" s="4" t="s">
        <v>158</v>
      </c>
      <c r="AA13" s="4" t="s">
        <v>159</v>
      </c>
      <c r="AB13" s="4" t="s">
        <v>160</v>
      </c>
      <c r="AC13" s="4" t="s">
        <v>161</v>
      </c>
      <c r="AD13" s="4" t="s">
        <v>162</v>
      </c>
      <c r="AE13" s="4" t="s">
        <v>163</v>
      </c>
      <c r="AF13" s="4" t="s">
        <v>164</v>
      </c>
      <c r="AG13" s="4" t="s">
        <v>165</v>
      </c>
      <c r="AH13" s="4" t="s">
        <v>166</v>
      </c>
      <c r="AI13" s="4" t="s">
        <v>167</v>
      </c>
      <c r="AJ13" s="4" t="s">
        <v>168</v>
      </c>
      <c r="AK13" s="4" t="s">
        <v>169</v>
      </c>
    </row>
    <row r="14" spans="1:49" hidden="1" x14ac:dyDescent="0.25">
      <c r="A14" s="4" t="s">
        <v>12</v>
      </c>
      <c r="B14" s="122"/>
      <c r="C14" s="122"/>
      <c r="D14" s="122"/>
      <c r="E14" s="122"/>
      <c r="F14" s="122"/>
      <c r="G14" s="122"/>
      <c r="H14" s="122"/>
      <c r="I14" s="122"/>
      <c r="J14" s="122"/>
      <c r="K14" s="122"/>
      <c r="L14" s="122"/>
      <c r="M14" s="122"/>
      <c r="N14" s="122"/>
      <c r="O14" s="122"/>
      <c r="P14" s="122"/>
      <c r="Q14" s="122"/>
      <c r="R14" s="122"/>
      <c r="S14" s="122"/>
      <c r="T14" s="122"/>
      <c r="U14" s="122"/>
      <c r="V14" s="122"/>
      <c r="W14" s="122"/>
      <c r="X14" s="122"/>
      <c r="Y14" s="122"/>
      <c r="Z14"/>
      <c r="AA14"/>
      <c r="AB14"/>
      <c r="AC14"/>
      <c r="AD14"/>
      <c r="AE14"/>
      <c r="AF14"/>
      <c r="AG14"/>
      <c r="AH14"/>
      <c r="AI14"/>
      <c r="AJ14"/>
      <c r="AK14"/>
    </row>
    <row r="15" spans="1:49" hidden="1" x14ac:dyDescent="0.25">
      <c r="A15" s="4" t="s">
        <v>13</v>
      </c>
      <c r="B15" s="122"/>
      <c r="C15" s="122"/>
      <c r="D15" s="122"/>
      <c r="E15" s="122"/>
      <c r="F15" s="122"/>
      <c r="G15" s="122"/>
      <c r="H15" s="122"/>
      <c r="I15" s="122"/>
      <c r="J15" s="122"/>
      <c r="K15" s="122"/>
      <c r="L15" s="122"/>
      <c r="M15" s="122"/>
      <c r="N15" s="122"/>
      <c r="O15" s="122"/>
      <c r="P15" s="122"/>
      <c r="Q15" s="122"/>
      <c r="R15" s="122"/>
      <c r="S15" s="122"/>
      <c r="T15" s="122"/>
      <c r="U15" s="122"/>
      <c r="V15" s="122"/>
      <c r="W15" s="122"/>
      <c r="X15" s="122"/>
      <c r="Y15" s="122"/>
      <c r="Z15"/>
      <c r="AA15"/>
      <c r="AB15"/>
      <c r="AC15"/>
      <c r="AD15"/>
      <c r="AE15"/>
      <c r="AF15"/>
      <c r="AG15"/>
      <c r="AH15"/>
      <c r="AI15"/>
      <c r="AJ15"/>
      <c r="AK15"/>
    </row>
    <row r="16" spans="1:49" hidden="1" x14ac:dyDescent="0.25">
      <c r="A16" s="4" t="s">
        <v>14</v>
      </c>
      <c r="B16" s="122"/>
      <c r="C16" s="122"/>
      <c r="D16" s="122"/>
      <c r="E16" s="122"/>
      <c r="F16" s="122"/>
      <c r="G16" s="122"/>
      <c r="H16" s="122"/>
      <c r="I16" s="122"/>
      <c r="J16" s="122"/>
      <c r="K16" s="122"/>
      <c r="L16" s="122"/>
      <c r="M16" s="122"/>
      <c r="N16" s="122"/>
      <c r="O16" s="122"/>
      <c r="P16" s="122"/>
      <c r="Q16" s="122"/>
      <c r="R16" s="122"/>
      <c r="S16" s="122"/>
      <c r="T16" s="122"/>
      <c r="U16" s="122"/>
      <c r="V16" s="122"/>
      <c r="W16" s="122"/>
      <c r="X16" s="122"/>
      <c r="Y16" s="122"/>
      <c r="Z16"/>
      <c r="AA16"/>
      <c r="AB16"/>
      <c r="AC16"/>
      <c r="AD16"/>
      <c r="AE16"/>
      <c r="AF16"/>
      <c r="AG16"/>
      <c r="AH16"/>
      <c r="AI16"/>
      <c r="AJ16"/>
      <c r="AK16"/>
    </row>
    <row r="17" spans="1:37" hidden="1" x14ac:dyDescent="0.25">
      <c r="A17" s="4" t="s">
        <v>15</v>
      </c>
      <c r="B17" s="122"/>
      <c r="C17" s="122"/>
      <c r="D17" s="122"/>
      <c r="E17" s="122"/>
      <c r="F17" s="122"/>
      <c r="G17" s="122"/>
      <c r="H17" s="122"/>
      <c r="I17" s="122"/>
      <c r="J17" s="122"/>
      <c r="K17" s="122"/>
      <c r="L17" s="122"/>
      <c r="M17" s="122"/>
      <c r="N17" s="122"/>
      <c r="O17" s="122"/>
      <c r="P17" s="122"/>
      <c r="Q17" s="122"/>
      <c r="R17" s="122"/>
      <c r="S17" s="122"/>
      <c r="T17" s="122"/>
      <c r="U17" s="122"/>
      <c r="V17" s="122"/>
      <c r="W17" s="122"/>
      <c r="X17" s="122"/>
      <c r="Y17" s="122"/>
      <c r="Z17"/>
      <c r="AA17"/>
      <c r="AB17"/>
      <c r="AC17"/>
      <c r="AD17"/>
      <c r="AE17"/>
      <c r="AF17"/>
      <c r="AG17"/>
      <c r="AH17"/>
      <c r="AI17"/>
      <c r="AJ17"/>
      <c r="AK17"/>
    </row>
    <row r="18" spans="1:37" hidden="1" x14ac:dyDescent="0.25">
      <c r="A18" s="4" t="s">
        <v>16</v>
      </c>
      <c r="B18" s="122"/>
      <c r="C18" s="122"/>
      <c r="D18" s="122"/>
      <c r="E18" s="122"/>
      <c r="F18" s="122"/>
      <c r="G18" s="122"/>
      <c r="H18" s="122"/>
      <c r="I18" s="122"/>
      <c r="J18" s="122"/>
      <c r="K18" s="122"/>
      <c r="L18" s="122"/>
      <c r="M18" s="122"/>
      <c r="N18" s="122"/>
      <c r="O18" s="122"/>
      <c r="P18" s="122"/>
      <c r="Q18" s="122"/>
      <c r="R18" s="122"/>
      <c r="S18" s="122"/>
      <c r="T18" s="122"/>
      <c r="U18" s="122"/>
      <c r="V18" s="122"/>
      <c r="W18" s="122"/>
      <c r="X18" s="122"/>
      <c r="Y18" s="122"/>
      <c r="Z18"/>
      <c r="AA18"/>
      <c r="AB18"/>
      <c r="AC18"/>
      <c r="AD18"/>
      <c r="AE18"/>
      <c r="AF18"/>
      <c r="AG18"/>
      <c r="AH18"/>
      <c r="AI18"/>
      <c r="AJ18"/>
      <c r="AK18"/>
    </row>
    <row r="19" spans="1:37" hidden="1" x14ac:dyDescent="0.25">
      <c r="A19" s="4" t="s">
        <v>17</v>
      </c>
      <c r="B19" s="122"/>
      <c r="C19" s="122"/>
      <c r="D19" s="122"/>
      <c r="E19" s="122"/>
      <c r="F19" s="122"/>
      <c r="G19" s="122"/>
      <c r="H19" s="122"/>
      <c r="I19" s="122"/>
      <c r="J19" s="122"/>
      <c r="K19" s="122"/>
      <c r="L19" s="122"/>
      <c r="M19" s="122"/>
      <c r="N19" s="122"/>
      <c r="O19" s="122"/>
      <c r="P19" s="122"/>
      <c r="Q19" s="122"/>
      <c r="R19" s="122"/>
      <c r="S19" s="122"/>
      <c r="T19" s="122"/>
      <c r="U19" s="122"/>
      <c r="V19" s="122"/>
      <c r="W19" s="122"/>
      <c r="X19" s="122"/>
      <c r="Y19" s="122"/>
      <c r="Z19"/>
      <c r="AA19"/>
      <c r="AB19"/>
      <c r="AC19"/>
      <c r="AD19"/>
      <c r="AE19"/>
      <c r="AF19"/>
      <c r="AG19"/>
      <c r="AH19"/>
      <c r="AI19"/>
      <c r="AJ19"/>
      <c r="AK19"/>
    </row>
    <row r="20" spans="1:37" hidden="1" x14ac:dyDescent="0.25">
      <c r="A20" s="4" t="s">
        <v>18</v>
      </c>
      <c r="B20" s="122"/>
      <c r="C20" s="122"/>
      <c r="D20" s="122"/>
      <c r="E20" s="122"/>
      <c r="F20" s="122"/>
      <c r="G20" s="122"/>
      <c r="H20" s="122"/>
      <c r="I20" s="122"/>
      <c r="J20" s="122"/>
      <c r="K20" s="122"/>
      <c r="L20" s="122"/>
      <c r="M20" s="122"/>
      <c r="N20" s="122"/>
      <c r="O20" s="122"/>
      <c r="P20" s="122"/>
      <c r="Q20" s="122"/>
      <c r="R20" s="122"/>
      <c r="S20" s="122"/>
      <c r="T20" s="122"/>
      <c r="U20" s="122"/>
      <c r="V20" s="122"/>
      <c r="W20" s="122"/>
      <c r="X20" s="122"/>
      <c r="Y20" s="122"/>
      <c r="Z20"/>
      <c r="AA20"/>
      <c r="AB20"/>
      <c r="AC20"/>
      <c r="AD20"/>
      <c r="AE20"/>
      <c r="AF20"/>
      <c r="AG20"/>
      <c r="AH20"/>
      <c r="AI20"/>
      <c r="AJ20"/>
      <c r="AK20"/>
    </row>
    <row r="21" spans="1:37" hidden="1" x14ac:dyDescent="0.25">
      <c r="A21" s="23" t="s">
        <v>19</v>
      </c>
      <c r="B21" s="122"/>
      <c r="C21" s="122"/>
      <c r="D21" s="122"/>
      <c r="E21" s="122"/>
      <c r="F21" s="122"/>
      <c r="G21" s="122"/>
      <c r="H21" s="122"/>
      <c r="I21" s="122"/>
      <c r="J21" s="122"/>
      <c r="K21" s="122"/>
      <c r="L21" s="122"/>
      <c r="M21" s="122"/>
      <c r="N21" s="122"/>
      <c r="O21" s="122"/>
      <c r="P21" s="122"/>
      <c r="Q21" s="122"/>
      <c r="R21" s="122"/>
      <c r="S21" s="122"/>
      <c r="T21" s="122"/>
      <c r="U21" s="122"/>
      <c r="V21" s="122"/>
      <c r="W21" s="122"/>
      <c r="X21" s="122"/>
      <c r="Y21" s="122"/>
      <c r="Z21"/>
      <c r="AA21"/>
      <c r="AB21"/>
      <c r="AC21"/>
      <c r="AD21"/>
      <c r="AE21"/>
      <c r="AF21"/>
      <c r="AG21"/>
      <c r="AH21"/>
      <c r="AI21"/>
      <c r="AJ21"/>
      <c r="AK21"/>
    </row>
    <row r="22" spans="1:37" hidden="1" x14ac:dyDescent="0.25">
      <c r="A22" s="6" t="s">
        <v>38</v>
      </c>
      <c r="B22" s="15" t="str">
        <f>IF(ISERR(AVERAGE(B14:B21)),"",AVERAGE(B14:B21))</f>
        <v/>
      </c>
      <c r="C22" s="15" t="str">
        <f t="shared" ref="C22:P22" si="0">IF(ISERR(AVERAGE(C14:C21)),"",AVERAGE(C14:C21))</f>
        <v/>
      </c>
      <c r="D22" s="15" t="str">
        <f t="shared" si="0"/>
        <v/>
      </c>
      <c r="E22" s="15" t="str">
        <f t="shared" si="0"/>
        <v/>
      </c>
      <c r="F22" s="15" t="str">
        <f t="shared" si="0"/>
        <v/>
      </c>
      <c r="G22" s="15" t="str">
        <f t="shared" si="0"/>
        <v/>
      </c>
      <c r="H22" s="15" t="str">
        <f t="shared" si="0"/>
        <v/>
      </c>
      <c r="I22" s="15" t="str">
        <f t="shared" si="0"/>
        <v/>
      </c>
      <c r="J22" s="15" t="str">
        <f t="shared" si="0"/>
        <v/>
      </c>
      <c r="K22" s="15" t="str">
        <f t="shared" si="0"/>
        <v/>
      </c>
      <c r="L22" s="15" t="str">
        <f t="shared" si="0"/>
        <v/>
      </c>
      <c r="M22" s="15" t="str">
        <f t="shared" si="0"/>
        <v/>
      </c>
      <c r="N22" s="15" t="str">
        <f t="shared" si="0"/>
        <v/>
      </c>
      <c r="O22" s="15" t="str">
        <f t="shared" si="0"/>
        <v/>
      </c>
      <c r="P22" s="15" t="str">
        <f t="shared" si="0"/>
        <v/>
      </c>
      <c r="Q22" s="15" t="str">
        <f t="shared" ref="Q22:AK22" si="1">IF(ISERR(AVERAGE(Q14:Q21)),"",AVERAGE(Q14:Q21))</f>
        <v/>
      </c>
      <c r="R22" s="15" t="str">
        <f t="shared" si="1"/>
        <v/>
      </c>
      <c r="S22" s="15" t="str">
        <f t="shared" si="1"/>
        <v/>
      </c>
      <c r="T22" s="15" t="str">
        <f t="shared" si="1"/>
        <v/>
      </c>
      <c r="U22" s="15" t="str">
        <f t="shared" si="1"/>
        <v/>
      </c>
      <c r="V22" s="15" t="str">
        <f t="shared" si="1"/>
        <v/>
      </c>
      <c r="W22" s="15" t="str">
        <f t="shared" si="1"/>
        <v/>
      </c>
      <c r="X22" s="15" t="str">
        <f t="shared" si="1"/>
        <v/>
      </c>
      <c r="Y22" s="15" t="str">
        <f t="shared" si="1"/>
        <v/>
      </c>
      <c r="Z22" s="15" t="str">
        <f t="shared" si="1"/>
        <v/>
      </c>
      <c r="AA22" s="15" t="str">
        <f t="shared" si="1"/>
        <v/>
      </c>
      <c r="AB22" s="15" t="str">
        <f t="shared" si="1"/>
        <v/>
      </c>
      <c r="AC22" s="15" t="str">
        <f t="shared" si="1"/>
        <v/>
      </c>
      <c r="AD22" s="15" t="str">
        <f t="shared" si="1"/>
        <v/>
      </c>
      <c r="AE22" s="15" t="str">
        <f t="shared" si="1"/>
        <v/>
      </c>
      <c r="AF22" s="15" t="str">
        <f t="shared" si="1"/>
        <v/>
      </c>
      <c r="AG22" s="15" t="str">
        <f t="shared" si="1"/>
        <v/>
      </c>
      <c r="AH22" s="15" t="str">
        <f t="shared" si="1"/>
        <v/>
      </c>
      <c r="AI22" s="15" t="str">
        <f t="shared" si="1"/>
        <v/>
      </c>
      <c r="AJ22" s="15" t="str">
        <f t="shared" si="1"/>
        <v/>
      </c>
      <c r="AK22" s="15" t="str">
        <f t="shared" si="1"/>
        <v/>
      </c>
    </row>
    <row r="23" spans="1:37" hidden="1" x14ac:dyDescent="0.25">
      <c r="A23" s="6" t="s">
        <v>20</v>
      </c>
      <c r="B23" s="15" t="str">
        <f>IF(ISERR(STDEV(B14:B21)),"",STDEV(B14:B21))</f>
        <v/>
      </c>
      <c r="C23" s="15" t="str">
        <f t="shared" ref="C23:P23" si="2">IF(ISERR(STDEV(C14:C21)),"",STDEV(C14:C21))</f>
        <v/>
      </c>
      <c r="D23" s="15" t="str">
        <f t="shared" si="2"/>
        <v/>
      </c>
      <c r="E23" s="15" t="str">
        <f t="shared" si="2"/>
        <v/>
      </c>
      <c r="F23" s="15" t="str">
        <f t="shared" si="2"/>
        <v/>
      </c>
      <c r="G23" s="15" t="str">
        <f t="shared" si="2"/>
        <v/>
      </c>
      <c r="H23" s="15" t="str">
        <f t="shared" si="2"/>
        <v/>
      </c>
      <c r="I23" s="15" t="str">
        <f t="shared" si="2"/>
        <v/>
      </c>
      <c r="J23" s="15" t="str">
        <f t="shared" si="2"/>
        <v/>
      </c>
      <c r="K23" s="15" t="str">
        <f t="shared" si="2"/>
        <v/>
      </c>
      <c r="L23" s="15" t="str">
        <f t="shared" si="2"/>
        <v/>
      </c>
      <c r="M23" s="15" t="str">
        <f t="shared" si="2"/>
        <v/>
      </c>
      <c r="N23" s="15" t="str">
        <f t="shared" si="2"/>
        <v/>
      </c>
      <c r="O23" s="15" t="str">
        <f t="shared" si="2"/>
        <v/>
      </c>
      <c r="P23" s="15" t="str">
        <f t="shared" si="2"/>
        <v/>
      </c>
      <c r="Q23" s="15" t="str">
        <f t="shared" ref="Q23:AK23" si="3">IF(ISERR(STDEV(Q14:Q21)),"",STDEV(Q14:Q21))</f>
        <v/>
      </c>
      <c r="R23" s="15" t="str">
        <f t="shared" si="3"/>
        <v/>
      </c>
      <c r="S23" s="15" t="str">
        <f t="shared" si="3"/>
        <v/>
      </c>
      <c r="T23" s="15" t="str">
        <f t="shared" si="3"/>
        <v/>
      </c>
      <c r="U23" s="15" t="str">
        <f t="shared" si="3"/>
        <v/>
      </c>
      <c r="V23" s="15" t="str">
        <f t="shared" si="3"/>
        <v/>
      </c>
      <c r="W23" s="15" t="str">
        <f t="shared" si="3"/>
        <v/>
      </c>
      <c r="X23" s="15" t="str">
        <f t="shared" si="3"/>
        <v/>
      </c>
      <c r="Y23" s="15" t="str">
        <f t="shared" si="3"/>
        <v/>
      </c>
      <c r="Z23" s="15" t="str">
        <f t="shared" si="3"/>
        <v/>
      </c>
      <c r="AA23" s="15" t="str">
        <f t="shared" si="3"/>
        <v/>
      </c>
      <c r="AB23" s="15" t="str">
        <f t="shared" si="3"/>
        <v/>
      </c>
      <c r="AC23" s="15" t="str">
        <f t="shared" si="3"/>
        <v/>
      </c>
      <c r="AD23" s="15" t="str">
        <f t="shared" si="3"/>
        <v/>
      </c>
      <c r="AE23" s="15" t="str">
        <f t="shared" si="3"/>
        <v/>
      </c>
      <c r="AF23" s="15" t="str">
        <f t="shared" si="3"/>
        <v/>
      </c>
      <c r="AG23" s="15" t="str">
        <f t="shared" si="3"/>
        <v/>
      </c>
      <c r="AH23" s="15" t="str">
        <f t="shared" si="3"/>
        <v/>
      </c>
      <c r="AI23" s="15" t="str">
        <f t="shared" si="3"/>
        <v/>
      </c>
      <c r="AJ23" s="15" t="str">
        <f t="shared" si="3"/>
        <v/>
      </c>
      <c r="AK23" s="15" t="str">
        <f t="shared" si="3"/>
        <v/>
      </c>
    </row>
    <row r="24" spans="1:37" hidden="1" x14ac:dyDescent="0.25"/>
    <row r="25" spans="1:37" hidden="1" x14ac:dyDescent="0.25"/>
    <row r="26" spans="1:37" hidden="1" x14ac:dyDescent="0.25"/>
    <row r="27" spans="1:37" hidden="1" x14ac:dyDescent="0.25"/>
    <row r="28" spans="1:37" hidden="1" x14ac:dyDescent="0.25"/>
    <row r="29" spans="1:37" hidden="1" x14ac:dyDescent="0.25"/>
    <row r="30" spans="1:37" hidden="1" x14ac:dyDescent="0.25"/>
    <row r="31" spans="1:37" hidden="1" x14ac:dyDescent="0.25"/>
    <row r="32" spans="1:37" hidden="1" x14ac:dyDescent="0.25"/>
    <row r="33" spans="1:58" hidden="1" x14ac:dyDescent="0.25"/>
    <row r="34" spans="1:58" hidden="1" x14ac:dyDescent="0.25"/>
    <row r="35" spans="1:58" hidden="1" x14ac:dyDescent="0.25"/>
    <row r="36" spans="1:58" hidden="1" x14ac:dyDescent="0.25"/>
    <row r="37" spans="1:58" hidden="1" x14ac:dyDescent="0.25"/>
    <row r="38" spans="1:58" hidden="1" x14ac:dyDescent="0.25"/>
    <row r="39" spans="1:58" hidden="1" x14ac:dyDescent="0.25"/>
    <row r="40" spans="1:58" hidden="1" x14ac:dyDescent="0.25"/>
    <row r="41" spans="1:58" x14ac:dyDescent="0.25">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row>
    <row r="42" spans="1:58" ht="15.75" x14ac:dyDescent="0.25">
      <c r="A42" s="760" t="s">
        <v>412</v>
      </c>
      <c r="B42" s="760"/>
      <c r="C42" s="760"/>
      <c r="D42" s="760"/>
      <c r="E42" s="760"/>
      <c r="F42" s="760"/>
      <c r="G42" s="760"/>
      <c r="H42" s="760"/>
      <c r="I42" s="760"/>
      <c r="J42" s="760"/>
      <c r="K42" s="760"/>
      <c r="L42" s="760"/>
      <c r="M42" s="760"/>
      <c r="O42" s="760" t="s">
        <v>413</v>
      </c>
      <c r="P42" s="760"/>
      <c r="Q42" s="760"/>
      <c r="R42" s="760"/>
      <c r="S42" s="760"/>
      <c r="T42" s="760"/>
      <c r="U42" s="760"/>
      <c r="V42" s="760"/>
      <c r="W42" s="760"/>
      <c r="X42" s="760"/>
      <c r="Y42" s="760"/>
      <c r="Z42" s="760"/>
      <c r="AA42" s="760"/>
      <c r="AC42" s="760" t="s">
        <v>414</v>
      </c>
      <c r="AD42" s="760"/>
      <c r="AE42" s="760"/>
      <c r="AF42" s="760"/>
      <c r="AG42" s="760"/>
      <c r="AH42" s="760"/>
      <c r="AI42" s="760"/>
      <c r="AJ42" s="760"/>
      <c r="AK42" s="760"/>
      <c r="AL42" s="760"/>
      <c r="AM42" s="760"/>
      <c r="AN42" s="760"/>
      <c r="AO42" s="760"/>
      <c r="AP42" s="49"/>
      <c r="AQ42" s="48"/>
      <c r="BF42" s="36"/>
    </row>
    <row r="43" spans="1:58" ht="15" customHeight="1" x14ac:dyDescent="0.25">
      <c r="A43" s="47" t="s">
        <v>42</v>
      </c>
      <c r="B43" s="186" t="s">
        <v>171</v>
      </c>
      <c r="C43" s="186" t="s">
        <v>172</v>
      </c>
      <c r="D43" s="186" t="s">
        <v>173</v>
      </c>
      <c r="E43" s="186" t="s">
        <v>174</v>
      </c>
      <c r="F43" s="186" t="s">
        <v>175</v>
      </c>
      <c r="G43" s="186" t="s">
        <v>176</v>
      </c>
      <c r="H43" s="186" t="s">
        <v>177</v>
      </c>
      <c r="I43" s="186" t="s">
        <v>178</v>
      </c>
      <c r="J43" s="186" t="s">
        <v>179</v>
      </c>
      <c r="K43" s="186" t="s">
        <v>180</v>
      </c>
      <c r="L43" s="186" t="s">
        <v>38</v>
      </c>
      <c r="M43" s="186" t="s">
        <v>374</v>
      </c>
      <c r="O43" s="47" t="s">
        <v>42</v>
      </c>
      <c r="P43" s="13" t="s">
        <v>171</v>
      </c>
      <c r="Q43" s="13" t="s">
        <v>172</v>
      </c>
      <c r="R43" s="13" t="s">
        <v>173</v>
      </c>
      <c r="S43" s="13" t="s">
        <v>174</v>
      </c>
      <c r="T43" s="13" t="s">
        <v>175</v>
      </c>
      <c r="U43" s="13" t="s">
        <v>176</v>
      </c>
      <c r="V43" s="13" t="s">
        <v>177</v>
      </c>
      <c r="W43" s="13" t="s">
        <v>178</v>
      </c>
      <c r="X43" s="13" t="s">
        <v>179</v>
      </c>
      <c r="Y43" s="13" t="s">
        <v>180</v>
      </c>
      <c r="Z43" s="13" t="s">
        <v>38</v>
      </c>
      <c r="AA43" s="13" t="s">
        <v>374</v>
      </c>
      <c r="AC43" s="47" t="s">
        <v>42</v>
      </c>
      <c r="AD43" s="13" t="s">
        <v>171</v>
      </c>
      <c r="AE43" s="13" t="s">
        <v>172</v>
      </c>
      <c r="AF43" s="13" t="s">
        <v>173</v>
      </c>
      <c r="AG43" s="13" t="s">
        <v>174</v>
      </c>
      <c r="AH43" s="13" t="s">
        <v>175</v>
      </c>
      <c r="AI43" s="13" t="s">
        <v>176</v>
      </c>
      <c r="AJ43" s="13" t="s">
        <v>177</v>
      </c>
      <c r="AK43" s="13" t="s">
        <v>178</v>
      </c>
      <c r="AL43" s="13" t="s">
        <v>179</v>
      </c>
      <c r="AM43" s="13" t="s">
        <v>180</v>
      </c>
      <c r="AN43" s="13" t="s">
        <v>38</v>
      </c>
      <c r="AO43" s="13" t="s">
        <v>374</v>
      </c>
      <c r="AP43" s="50"/>
      <c r="AQ43" s="48"/>
      <c r="BF43" s="37"/>
    </row>
    <row r="44" spans="1:58" x14ac:dyDescent="0.25">
      <c r="A44" s="6" t="s">
        <v>29</v>
      </c>
      <c r="B44" s="242">
        <v>2.6560000000000001</v>
      </c>
      <c r="C44" s="242">
        <v>2.68</v>
      </c>
      <c r="D44" s="577">
        <v>2.613</v>
      </c>
      <c r="E44" s="242">
        <v>2.6720000000000002</v>
      </c>
      <c r="F44" s="242"/>
      <c r="G44" s="242"/>
      <c r="H44" s="242"/>
      <c r="I44" s="242"/>
      <c r="J44" s="242"/>
      <c r="K44" s="242"/>
      <c r="L44" s="11">
        <f>IF(ISERROR(AVERAGE(B44:K44)),NA(),AVERAGE(B44:K44))</f>
        <v>2.6552500000000001</v>
      </c>
      <c r="M44" s="11">
        <f>IF(ISERROR(STDEV(B44:K44)),NA(),STDEV(B44:K44))</f>
        <v>2.9881711240601187E-2</v>
      </c>
      <c r="O44" s="6" t="s">
        <v>29</v>
      </c>
      <c r="P44" s="242"/>
      <c r="Q44" s="242"/>
      <c r="R44" s="242"/>
      <c r="S44" s="242"/>
      <c r="T44" s="242"/>
      <c r="U44" s="242"/>
      <c r="V44" s="242"/>
      <c r="W44" s="242"/>
      <c r="X44" s="242"/>
      <c r="Y44" s="242"/>
      <c r="Z44" s="11" t="e">
        <f>IF(ISERROR(AVERAGE(P44:Y44)),NA(),AVERAGE(P44:Y44))</f>
        <v>#N/A</v>
      </c>
      <c r="AA44" s="11" t="e">
        <f>IF(ISERROR(STDEV(P44:Y44)),NA(),STDEV(P44:Y44))</f>
        <v>#N/A</v>
      </c>
      <c r="AC44" s="6" t="s">
        <v>29</v>
      </c>
      <c r="AD44" s="242"/>
      <c r="AE44" s="242"/>
      <c r="AF44" s="242"/>
      <c r="AG44" s="242"/>
      <c r="AH44" s="242"/>
      <c r="AI44" s="242"/>
      <c r="AJ44" s="242"/>
      <c r="AK44" s="242"/>
      <c r="AL44" s="242"/>
      <c r="AM44" s="242"/>
      <c r="AN44" s="11" t="e">
        <f>IF(ISERROR(AVERAGE(AD44:AM44)),NA(),AVERAGE(AD44:AM44))</f>
        <v>#N/A</v>
      </c>
      <c r="AO44" s="11" t="e">
        <f>IF(ISERROR(STDEV(AD44:AM44)),NA(),STDEV(AD44:AM44))</f>
        <v>#N/A</v>
      </c>
      <c r="AP44" s="26"/>
      <c r="AQ44" s="48"/>
      <c r="BF44" s="37"/>
    </row>
    <row r="45" spans="1:58" x14ac:dyDescent="0.25">
      <c r="A45" s="6" t="s">
        <v>30</v>
      </c>
      <c r="B45" s="242">
        <v>1.873</v>
      </c>
      <c r="C45" s="242">
        <v>1.8340000000000001</v>
      </c>
      <c r="D45" s="242">
        <v>1.8779999999999999</v>
      </c>
      <c r="E45" s="242">
        <v>1.804</v>
      </c>
      <c r="F45" s="242"/>
      <c r="G45" s="242"/>
      <c r="H45" s="242"/>
      <c r="I45" s="242"/>
      <c r="J45" s="242"/>
      <c r="K45" s="242"/>
      <c r="L45" s="11">
        <f t="shared" ref="L45:L59" si="4">IF(ISERROR(AVERAGE(B45:K45)),NA(),AVERAGE(B45:K45))</f>
        <v>1.8472500000000001</v>
      </c>
      <c r="M45" s="11">
        <f t="shared" ref="M45:M59" si="5">IF(ISERROR(STDEV(B45:K45)),NA(),STDEV(B45:K45))</f>
        <v>3.4903438226054399E-2</v>
      </c>
      <c r="O45" s="6" t="s">
        <v>30</v>
      </c>
      <c r="P45" s="242"/>
      <c r="Q45" s="242"/>
      <c r="R45" s="242"/>
      <c r="S45" s="242"/>
      <c r="T45" s="242"/>
      <c r="U45" s="242"/>
      <c r="V45" s="242"/>
      <c r="W45" s="242"/>
      <c r="X45" s="242"/>
      <c r="Y45" s="242"/>
      <c r="Z45" s="11" t="e">
        <f t="shared" ref="Z45:Z59" si="6">IF(ISERROR(AVERAGE(P45:Y45)),NA(),AVERAGE(P45:Y45))</f>
        <v>#N/A</v>
      </c>
      <c r="AA45" s="11" t="e">
        <f t="shared" ref="AA45:AA59" si="7">IF(ISERROR(STDEV(P45:Y45)),NA(),STDEV(P45:Y45))</f>
        <v>#N/A</v>
      </c>
      <c r="AC45" s="6" t="s">
        <v>30</v>
      </c>
      <c r="AD45" s="242"/>
      <c r="AE45" s="242"/>
      <c r="AF45" s="242"/>
      <c r="AG45" s="242"/>
      <c r="AH45" s="242"/>
      <c r="AI45" s="242"/>
      <c r="AJ45" s="242"/>
      <c r="AK45" s="242"/>
      <c r="AL45" s="242"/>
      <c r="AM45" s="242"/>
      <c r="AN45" s="11" t="e">
        <f t="shared" ref="AN45:AN59" si="8">IF(ISERROR(AVERAGE(AD45:AM45)),NA(),AVERAGE(AD45:AM45))</f>
        <v>#N/A</v>
      </c>
      <c r="AO45" s="11" t="e">
        <f t="shared" ref="AO45:AO59" si="9">IF(ISERROR(STDEV(AD45:AM45)),NA(),STDEV(AD45:AM45))</f>
        <v>#N/A</v>
      </c>
      <c r="AP45" s="26"/>
      <c r="AQ45" s="48"/>
      <c r="BF45" s="37"/>
    </row>
    <row r="46" spans="1:58" x14ac:dyDescent="0.25">
      <c r="A46" s="6" t="s">
        <v>31</v>
      </c>
      <c r="B46" s="242">
        <v>0.72599999999999998</v>
      </c>
      <c r="C46" s="242">
        <v>0.752</v>
      </c>
      <c r="D46" s="242">
        <v>0.76100000000000001</v>
      </c>
      <c r="E46" s="242">
        <v>0.73299999999999998</v>
      </c>
      <c r="F46" s="242"/>
      <c r="G46" s="242"/>
      <c r="H46" s="242"/>
      <c r="I46" s="242"/>
      <c r="J46" s="242"/>
      <c r="K46" s="242"/>
      <c r="L46" s="11">
        <f t="shared" si="4"/>
        <v>0.74299999999999999</v>
      </c>
      <c r="M46" s="11">
        <f t="shared" si="5"/>
        <v>1.626857912254992E-2</v>
      </c>
      <c r="O46" s="6" t="s">
        <v>31</v>
      </c>
      <c r="P46" s="242"/>
      <c r="Q46" s="242"/>
      <c r="R46" s="242"/>
      <c r="S46" s="242"/>
      <c r="T46" s="242"/>
      <c r="U46" s="242"/>
      <c r="V46" s="242"/>
      <c r="W46" s="242"/>
      <c r="X46" s="242"/>
      <c r="Y46" s="242"/>
      <c r="Z46" s="11" t="e">
        <f t="shared" si="6"/>
        <v>#N/A</v>
      </c>
      <c r="AA46" s="11" t="e">
        <f t="shared" si="7"/>
        <v>#N/A</v>
      </c>
      <c r="AC46" s="6" t="s">
        <v>31</v>
      </c>
      <c r="AD46" s="242"/>
      <c r="AE46" s="242"/>
      <c r="AF46" s="242"/>
      <c r="AG46" s="242"/>
      <c r="AH46" s="242"/>
      <c r="AI46" s="242"/>
      <c r="AJ46" s="242"/>
      <c r="AK46" s="242"/>
      <c r="AL46" s="242"/>
      <c r="AM46" s="242"/>
      <c r="AN46" s="11" t="e">
        <f t="shared" si="8"/>
        <v>#N/A</v>
      </c>
      <c r="AO46" s="11" t="e">
        <f t="shared" si="9"/>
        <v>#N/A</v>
      </c>
      <c r="AP46" s="26"/>
      <c r="AQ46" s="48"/>
      <c r="BF46" s="37"/>
    </row>
    <row r="47" spans="1:58" x14ac:dyDescent="0.25">
      <c r="A47" s="6" t="s">
        <v>32</v>
      </c>
      <c r="B47" s="242">
        <v>0.25800000000000001</v>
      </c>
      <c r="C47" s="242">
        <v>0.27600000000000002</v>
      </c>
      <c r="D47" s="577">
        <v>0.27300000000000002</v>
      </c>
      <c r="E47" s="242">
        <v>0.27500000000000002</v>
      </c>
      <c r="F47" s="242"/>
      <c r="G47" s="242"/>
      <c r="H47" s="242"/>
      <c r="I47" s="242"/>
      <c r="J47" s="242"/>
      <c r="K47" s="242"/>
      <c r="L47" s="11">
        <f t="shared" si="4"/>
        <v>0.27050000000000002</v>
      </c>
      <c r="M47" s="11">
        <f t="shared" si="5"/>
        <v>8.4261497731763658E-3</v>
      </c>
      <c r="O47" s="6" t="s">
        <v>32</v>
      </c>
      <c r="P47" s="242"/>
      <c r="Q47" s="242"/>
      <c r="R47" s="242"/>
      <c r="S47" s="242"/>
      <c r="T47" s="242"/>
      <c r="U47" s="242"/>
      <c r="V47" s="242"/>
      <c r="W47" s="242"/>
      <c r="X47" s="242"/>
      <c r="Y47" s="242"/>
      <c r="Z47" s="11" t="e">
        <f t="shared" si="6"/>
        <v>#N/A</v>
      </c>
      <c r="AA47" s="11" t="e">
        <f t="shared" si="7"/>
        <v>#N/A</v>
      </c>
      <c r="AC47" s="6" t="s">
        <v>32</v>
      </c>
      <c r="AD47" s="242"/>
      <c r="AE47" s="242"/>
      <c r="AF47" s="242"/>
      <c r="AG47" s="242"/>
      <c r="AH47" s="242"/>
      <c r="AI47" s="242"/>
      <c r="AJ47" s="242"/>
      <c r="AK47" s="242"/>
      <c r="AL47" s="242"/>
      <c r="AM47" s="242"/>
      <c r="AN47" s="11" t="e">
        <f t="shared" si="8"/>
        <v>#N/A</v>
      </c>
      <c r="AO47" s="11" t="e">
        <f t="shared" si="9"/>
        <v>#N/A</v>
      </c>
      <c r="AP47" s="26"/>
      <c r="AQ47" s="48"/>
    </row>
    <row r="48" spans="1:58" x14ac:dyDescent="0.25">
      <c r="A48" s="6" t="s">
        <v>33</v>
      </c>
      <c r="B48" s="242">
        <v>0.11600000000000001</v>
      </c>
      <c r="C48" s="242">
        <v>9.0999999999999998E-2</v>
      </c>
      <c r="D48" s="577">
        <v>9.6000000000000002E-2</v>
      </c>
      <c r="E48" s="577">
        <v>0.09</v>
      </c>
      <c r="F48" s="242"/>
      <c r="G48" s="242"/>
      <c r="H48" s="242"/>
      <c r="I48" s="242"/>
      <c r="J48" s="242"/>
      <c r="K48" s="242"/>
      <c r="L48" s="11">
        <f t="shared" si="4"/>
        <v>9.8250000000000004E-2</v>
      </c>
      <c r="M48" s="11">
        <f t="shared" si="5"/>
        <v>1.212091855705119E-2</v>
      </c>
      <c r="O48" s="6" t="s">
        <v>33</v>
      </c>
      <c r="P48" s="242"/>
      <c r="Q48" s="242"/>
      <c r="R48" s="242"/>
      <c r="S48" s="242"/>
      <c r="T48" s="242"/>
      <c r="U48" s="242"/>
      <c r="V48" s="242"/>
      <c r="W48" s="242"/>
      <c r="X48" s="242"/>
      <c r="Y48" s="242"/>
      <c r="Z48" s="11" t="e">
        <f t="shared" si="6"/>
        <v>#N/A</v>
      </c>
      <c r="AA48" s="11" t="e">
        <f t="shared" si="7"/>
        <v>#N/A</v>
      </c>
      <c r="AC48" s="6" t="s">
        <v>33</v>
      </c>
      <c r="AD48" s="242"/>
      <c r="AE48" s="242"/>
      <c r="AF48" s="242"/>
      <c r="AG48" s="242"/>
      <c r="AH48" s="242"/>
      <c r="AI48" s="242"/>
      <c r="AJ48" s="242"/>
      <c r="AK48" s="242"/>
      <c r="AL48" s="242"/>
      <c r="AM48" s="242"/>
      <c r="AN48" s="11" t="e">
        <f t="shared" si="8"/>
        <v>#N/A</v>
      </c>
      <c r="AO48" s="11" t="e">
        <f t="shared" si="9"/>
        <v>#N/A</v>
      </c>
      <c r="AP48" s="26"/>
      <c r="AQ48" s="48"/>
      <c r="AW48" s="28"/>
      <c r="AX48" s="28"/>
      <c r="AY48" s="28"/>
    </row>
    <row r="49" spans="1:51" x14ac:dyDescent="0.25">
      <c r="A49" s="6" t="s">
        <v>34</v>
      </c>
      <c r="B49" s="242">
        <v>3.6999999999999998E-2</v>
      </c>
      <c r="C49" s="242">
        <v>3.6999999999999998E-2</v>
      </c>
      <c r="D49" s="242">
        <v>3.5000000000000003E-2</v>
      </c>
      <c r="E49" s="242">
        <v>3.2000000000000001E-2</v>
      </c>
      <c r="F49" s="242"/>
      <c r="G49" s="242"/>
      <c r="H49" s="242"/>
      <c r="I49" s="242"/>
      <c r="J49" s="242"/>
      <c r="K49" s="242"/>
      <c r="L49" s="11">
        <f t="shared" si="4"/>
        <v>3.5250000000000004E-2</v>
      </c>
      <c r="M49" s="11">
        <f t="shared" si="5"/>
        <v>2.3629078131263029E-3</v>
      </c>
      <c r="O49" s="6" t="s">
        <v>34</v>
      </c>
      <c r="P49" s="242"/>
      <c r="Q49" s="242"/>
      <c r="R49" s="242"/>
      <c r="S49" s="242"/>
      <c r="T49" s="242"/>
      <c r="U49" s="242"/>
      <c r="V49" s="242"/>
      <c r="W49" s="242"/>
      <c r="X49" s="242"/>
      <c r="Y49" s="242"/>
      <c r="Z49" s="11" t="e">
        <f t="shared" si="6"/>
        <v>#N/A</v>
      </c>
      <c r="AA49" s="11" t="e">
        <f t="shared" si="7"/>
        <v>#N/A</v>
      </c>
      <c r="AC49" s="6" t="s">
        <v>34</v>
      </c>
      <c r="AD49" s="242"/>
      <c r="AE49" s="242"/>
      <c r="AF49" s="242"/>
      <c r="AG49" s="242"/>
      <c r="AH49" s="242"/>
      <c r="AI49" s="242"/>
      <c r="AJ49" s="242"/>
      <c r="AK49" s="242"/>
      <c r="AL49" s="242"/>
      <c r="AM49" s="242"/>
      <c r="AN49" s="11" t="e">
        <f t="shared" si="8"/>
        <v>#N/A</v>
      </c>
      <c r="AO49" s="11" t="e">
        <f t="shared" si="9"/>
        <v>#N/A</v>
      </c>
      <c r="AP49" s="26"/>
      <c r="AQ49" s="48"/>
      <c r="AW49" s="28"/>
      <c r="AX49" s="28"/>
      <c r="AY49" s="28"/>
    </row>
    <row r="50" spans="1:51" x14ac:dyDescent="0.25">
      <c r="A50" s="6" t="s">
        <v>35</v>
      </c>
      <c r="B50" s="242">
        <v>1.9E-2</v>
      </c>
      <c r="C50" s="242">
        <v>1.4999999999999999E-2</v>
      </c>
      <c r="D50" s="242">
        <v>2.1000000000000001E-2</v>
      </c>
      <c r="E50" s="242">
        <v>1.6E-2</v>
      </c>
      <c r="F50" s="242"/>
      <c r="G50" s="242"/>
      <c r="H50" s="242"/>
      <c r="I50" s="242"/>
      <c r="J50" s="242"/>
      <c r="K50" s="242"/>
      <c r="L50" s="11">
        <f t="shared" si="4"/>
        <v>1.7750000000000002E-2</v>
      </c>
      <c r="M50" s="11">
        <f t="shared" si="5"/>
        <v>2.7537852736430517E-3</v>
      </c>
      <c r="O50" s="6" t="s">
        <v>35</v>
      </c>
      <c r="P50" s="242"/>
      <c r="Q50" s="242"/>
      <c r="R50" s="242"/>
      <c r="S50" s="242"/>
      <c r="T50" s="242"/>
      <c r="U50" s="242"/>
      <c r="V50" s="242"/>
      <c r="W50" s="242"/>
      <c r="X50" s="242"/>
      <c r="Y50" s="242"/>
      <c r="Z50" s="11" t="e">
        <f t="shared" si="6"/>
        <v>#N/A</v>
      </c>
      <c r="AA50" s="11" t="e">
        <f t="shared" si="7"/>
        <v>#N/A</v>
      </c>
      <c r="AC50" s="6" t="s">
        <v>35</v>
      </c>
      <c r="AD50" s="242"/>
      <c r="AE50" s="242"/>
      <c r="AF50" s="242"/>
      <c r="AG50" s="242"/>
      <c r="AH50" s="242"/>
      <c r="AI50" s="242"/>
      <c r="AJ50" s="242"/>
      <c r="AK50" s="242"/>
      <c r="AL50" s="242"/>
      <c r="AM50" s="242"/>
      <c r="AN50" s="11" t="e">
        <f t="shared" si="8"/>
        <v>#N/A</v>
      </c>
      <c r="AO50" s="11" t="e">
        <f t="shared" si="9"/>
        <v>#N/A</v>
      </c>
      <c r="AP50" s="26"/>
      <c r="AQ50" s="48"/>
      <c r="AW50" s="28"/>
      <c r="AX50" s="28"/>
      <c r="AY50" s="28"/>
    </row>
    <row r="51" spans="1:51" x14ac:dyDescent="0.25">
      <c r="A51" s="6" t="s">
        <v>36</v>
      </c>
      <c r="B51" s="242"/>
      <c r="C51" s="242"/>
      <c r="D51" s="242"/>
      <c r="E51" s="242"/>
      <c r="F51" s="242"/>
      <c r="G51" s="242"/>
      <c r="H51" s="242"/>
      <c r="I51" s="242"/>
      <c r="J51" s="242"/>
      <c r="K51" s="242"/>
      <c r="L51" s="11" t="e">
        <f t="shared" si="4"/>
        <v>#N/A</v>
      </c>
      <c r="M51" s="11" t="e">
        <f t="shared" si="5"/>
        <v>#N/A</v>
      </c>
      <c r="O51" s="6" t="s">
        <v>36</v>
      </c>
      <c r="P51" s="242"/>
      <c r="Q51" s="242"/>
      <c r="R51" s="242"/>
      <c r="S51" s="242"/>
      <c r="T51" s="242"/>
      <c r="U51" s="242"/>
      <c r="V51" s="242"/>
      <c r="W51" s="242"/>
      <c r="X51" s="242"/>
      <c r="Y51" s="242"/>
      <c r="Z51" s="11" t="e">
        <f t="shared" si="6"/>
        <v>#N/A</v>
      </c>
      <c r="AA51" s="11" t="e">
        <f t="shared" si="7"/>
        <v>#N/A</v>
      </c>
      <c r="AC51" s="6" t="s">
        <v>36</v>
      </c>
      <c r="AD51" s="242"/>
      <c r="AE51" s="242"/>
      <c r="AF51" s="242"/>
      <c r="AG51" s="242"/>
      <c r="AH51" s="242"/>
      <c r="AI51" s="242"/>
      <c r="AJ51" s="242"/>
      <c r="AK51" s="242"/>
      <c r="AL51" s="242"/>
      <c r="AM51" s="242"/>
      <c r="AN51" s="11" t="e">
        <f t="shared" si="8"/>
        <v>#N/A</v>
      </c>
      <c r="AO51" s="11" t="e">
        <f t="shared" si="9"/>
        <v>#N/A</v>
      </c>
      <c r="AP51" s="26"/>
      <c r="AQ51" s="48"/>
    </row>
    <row r="52" spans="1:51" x14ac:dyDescent="0.25">
      <c r="A52" s="6" t="s">
        <v>48</v>
      </c>
      <c r="B52" s="242"/>
      <c r="C52" s="242"/>
      <c r="D52" s="242"/>
      <c r="E52" s="242"/>
      <c r="F52" s="242"/>
      <c r="G52" s="242"/>
      <c r="H52" s="242"/>
      <c r="I52" s="242"/>
      <c r="J52" s="242"/>
      <c r="K52" s="242"/>
      <c r="L52" s="11" t="e">
        <f t="shared" si="4"/>
        <v>#N/A</v>
      </c>
      <c r="M52" s="11" t="e">
        <f t="shared" si="5"/>
        <v>#N/A</v>
      </c>
      <c r="O52" s="6" t="s">
        <v>48</v>
      </c>
      <c r="P52" s="242"/>
      <c r="Q52" s="242"/>
      <c r="R52" s="242"/>
      <c r="S52" s="242"/>
      <c r="T52" s="242"/>
      <c r="U52" s="242"/>
      <c r="V52" s="242"/>
      <c r="W52" s="242"/>
      <c r="X52" s="242"/>
      <c r="Y52" s="242"/>
      <c r="Z52" s="11" t="e">
        <f t="shared" si="6"/>
        <v>#N/A</v>
      </c>
      <c r="AA52" s="11" t="e">
        <f t="shared" si="7"/>
        <v>#N/A</v>
      </c>
      <c r="AC52" s="6" t="s">
        <v>48</v>
      </c>
      <c r="AD52" s="242"/>
      <c r="AE52" s="242"/>
      <c r="AF52" s="242"/>
      <c r="AG52" s="242"/>
      <c r="AH52" s="242"/>
      <c r="AI52" s="242"/>
      <c r="AJ52" s="242"/>
      <c r="AK52" s="242"/>
      <c r="AL52" s="242"/>
      <c r="AM52" s="242"/>
      <c r="AN52" s="11" t="e">
        <f t="shared" si="8"/>
        <v>#N/A</v>
      </c>
      <c r="AO52" s="11" t="e">
        <f t="shared" si="9"/>
        <v>#N/A</v>
      </c>
      <c r="AP52" s="26"/>
      <c r="AQ52" s="48"/>
    </row>
    <row r="53" spans="1:51" x14ac:dyDescent="0.25">
      <c r="A53" s="6" t="s">
        <v>49</v>
      </c>
      <c r="B53" s="242"/>
      <c r="C53" s="242"/>
      <c r="D53" s="242"/>
      <c r="E53" s="242"/>
      <c r="F53" s="242"/>
      <c r="G53" s="242"/>
      <c r="H53" s="242"/>
      <c r="I53" s="242"/>
      <c r="J53" s="242"/>
      <c r="K53" s="242"/>
      <c r="L53" s="11" t="e">
        <f t="shared" si="4"/>
        <v>#N/A</v>
      </c>
      <c r="M53" s="11" t="e">
        <f t="shared" si="5"/>
        <v>#N/A</v>
      </c>
      <c r="O53" s="6" t="s">
        <v>49</v>
      </c>
      <c r="P53" s="242"/>
      <c r="Q53" s="242"/>
      <c r="R53" s="242"/>
      <c r="S53" s="242"/>
      <c r="T53" s="242"/>
      <c r="U53" s="242"/>
      <c r="V53" s="242"/>
      <c r="W53" s="242"/>
      <c r="X53" s="242"/>
      <c r="Y53" s="242"/>
      <c r="Z53" s="11" t="e">
        <f t="shared" si="6"/>
        <v>#N/A</v>
      </c>
      <c r="AA53" s="11" t="e">
        <f t="shared" si="7"/>
        <v>#N/A</v>
      </c>
      <c r="AC53" s="6" t="s">
        <v>49</v>
      </c>
      <c r="AD53" s="242"/>
      <c r="AE53" s="242"/>
      <c r="AF53" s="242"/>
      <c r="AG53" s="242"/>
      <c r="AH53" s="242"/>
      <c r="AI53" s="242"/>
      <c r="AJ53" s="242"/>
      <c r="AK53" s="242"/>
      <c r="AL53" s="242"/>
      <c r="AM53" s="242"/>
      <c r="AN53" s="11" t="e">
        <f t="shared" si="8"/>
        <v>#N/A</v>
      </c>
      <c r="AO53" s="11" t="e">
        <f t="shared" si="9"/>
        <v>#N/A</v>
      </c>
      <c r="AP53" s="26"/>
      <c r="AQ53" s="48"/>
    </row>
    <row r="54" spans="1:51" x14ac:dyDescent="0.25">
      <c r="A54" s="6" t="s">
        <v>50</v>
      </c>
      <c r="B54" s="242"/>
      <c r="C54" s="242"/>
      <c r="D54" s="242"/>
      <c r="E54" s="242"/>
      <c r="F54" s="242"/>
      <c r="G54" s="242"/>
      <c r="H54" s="242"/>
      <c r="I54" s="242"/>
      <c r="J54" s="242"/>
      <c r="K54" s="242"/>
      <c r="L54" s="11" t="e">
        <f t="shared" si="4"/>
        <v>#N/A</v>
      </c>
      <c r="M54" s="11" t="e">
        <f t="shared" si="5"/>
        <v>#N/A</v>
      </c>
      <c r="O54" s="6" t="s">
        <v>50</v>
      </c>
      <c r="P54" s="242"/>
      <c r="Q54" s="242"/>
      <c r="R54" s="242"/>
      <c r="S54" s="242"/>
      <c r="T54" s="242"/>
      <c r="U54" s="242"/>
      <c r="V54" s="242"/>
      <c r="W54" s="242"/>
      <c r="X54" s="242"/>
      <c r="Y54" s="242"/>
      <c r="Z54" s="11" t="e">
        <f t="shared" si="6"/>
        <v>#N/A</v>
      </c>
      <c r="AA54" s="11" t="e">
        <f t="shared" si="7"/>
        <v>#N/A</v>
      </c>
      <c r="AC54" s="6" t="s">
        <v>50</v>
      </c>
      <c r="AD54" s="242"/>
      <c r="AE54" s="242"/>
      <c r="AF54" s="242"/>
      <c r="AG54" s="242"/>
      <c r="AH54" s="242"/>
      <c r="AI54" s="242"/>
      <c r="AJ54" s="242"/>
      <c r="AK54" s="242"/>
      <c r="AL54" s="242"/>
      <c r="AM54" s="242"/>
      <c r="AN54" s="11" t="e">
        <f t="shared" si="8"/>
        <v>#N/A</v>
      </c>
      <c r="AO54" s="11" t="e">
        <f t="shared" si="9"/>
        <v>#N/A</v>
      </c>
      <c r="AP54" s="26"/>
      <c r="AQ54" s="48"/>
    </row>
    <row r="55" spans="1:51" x14ac:dyDescent="0.25">
      <c r="A55" s="6" t="s">
        <v>51</v>
      </c>
      <c r="B55" s="242"/>
      <c r="C55" s="242"/>
      <c r="D55" s="242"/>
      <c r="E55" s="242"/>
      <c r="F55" s="242"/>
      <c r="G55" s="242"/>
      <c r="H55" s="242"/>
      <c r="I55" s="242"/>
      <c r="J55" s="242"/>
      <c r="K55" s="242"/>
      <c r="L55" s="11" t="e">
        <f t="shared" si="4"/>
        <v>#N/A</v>
      </c>
      <c r="M55" s="11" t="e">
        <f t="shared" si="5"/>
        <v>#N/A</v>
      </c>
      <c r="O55" s="6" t="s">
        <v>51</v>
      </c>
      <c r="P55" s="242"/>
      <c r="Q55" s="242"/>
      <c r="R55" s="242"/>
      <c r="S55" s="242"/>
      <c r="T55" s="242"/>
      <c r="U55" s="242"/>
      <c r="V55" s="242"/>
      <c r="W55" s="242"/>
      <c r="X55" s="242"/>
      <c r="Y55" s="242"/>
      <c r="Z55" s="11" t="e">
        <f t="shared" si="6"/>
        <v>#N/A</v>
      </c>
      <c r="AA55" s="11" t="e">
        <f t="shared" si="7"/>
        <v>#N/A</v>
      </c>
      <c r="AC55" s="6" t="s">
        <v>51</v>
      </c>
      <c r="AD55" s="242"/>
      <c r="AE55" s="242"/>
      <c r="AF55" s="242"/>
      <c r="AG55" s="242"/>
      <c r="AH55" s="242"/>
      <c r="AI55" s="242"/>
      <c r="AJ55" s="242"/>
      <c r="AK55" s="242"/>
      <c r="AL55" s="242"/>
      <c r="AM55" s="242"/>
      <c r="AN55" s="11" t="e">
        <f t="shared" si="8"/>
        <v>#N/A</v>
      </c>
      <c r="AO55" s="11" t="e">
        <f t="shared" si="9"/>
        <v>#N/A</v>
      </c>
      <c r="AP55" s="26"/>
      <c r="AQ55" s="48"/>
    </row>
    <row r="56" spans="1:51" x14ac:dyDescent="0.25">
      <c r="A56" s="6" t="s">
        <v>98</v>
      </c>
      <c r="B56" s="242"/>
      <c r="C56" s="242"/>
      <c r="D56" s="242"/>
      <c r="E56" s="242"/>
      <c r="F56" s="242"/>
      <c r="G56" s="242"/>
      <c r="H56" s="242"/>
      <c r="I56" s="242"/>
      <c r="J56" s="242"/>
      <c r="K56" s="242"/>
      <c r="L56" s="11" t="e">
        <f t="shared" si="4"/>
        <v>#N/A</v>
      </c>
      <c r="M56" s="11" t="e">
        <f t="shared" si="5"/>
        <v>#N/A</v>
      </c>
      <c r="O56" s="6" t="s">
        <v>98</v>
      </c>
      <c r="P56" s="242"/>
      <c r="Q56" s="242"/>
      <c r="R56" s="242"/>
      <c r="S56" s="242"/>
      <c r="T56" s="242"/>
      <c r="U56" s="242"/>
      <c r="V56" s="242"/>
      <c r="W56" s="242"/>
      <c r="X56" s="242"/>
      <c r="Y56" s="242"/>
      <c r="Z56" s="11" t="e">
        <f t="shared" si="6"/>
        <v>#N/A</v>
      </c>
      <c r="AA56" s="11" t="e">
        <f t="shared" si="7"/>
        <v>#N/A</v>
      </c>
      <c r="AC56" s="6" t="s">
        <v>98</v>
      </c>
      <c r="AD56" s="242"/>
      <c r="AE56" s="242"/>
      <c r="AF56" s="242"/>
      <c r="AG56" s="242"/>
      <c r="AH56" s="242"/>
      <c r="AI56" s="242"/>
      <c r="AJ56" s="242"/>
      <c r="AK56" s="242"/>
      <c r="AL56" s="242"/>
      <c r="AM56" s="242"/>
      <c r="AN56" s="11" t="e">
        <f t="shared" si="8"/>
        <v>#N/A</v>
      </c>
      <c r="AO56" s="11" t="e">
        <f t="shared" si="9"/>
        <v>#N/A</v>
      </c>
      <c r="AP56" s="26"/>
      <c r="AQ56" s="48"/>
    </row>
    <row r="57" spans="1:51" x14ac:dyDescent="0.25">
      <c r="A57" s="6" t="s">
        <v>99</v>
      </c>
      <c r="B57" s="242"/>
      <c r="C57" s="242"/>
      <c r="D57" s="242"/>
      <c r="E57" s="242"/>
      <c r="F57" s="242"/>
      <c r="G57" s="242"/>
      <c r="H57" s="242"/>
      <c r="I57" s="242"/>
      <c r="J57" s="242"/>
      <c r="K57" s="242"/>
      <c r="L57" s="11" t="e">
        <f t="shared" si="4"/>
        <v>#N/A</v>
      </c>
      <c r="M57" s="11" t="e">
        <f t="shared" si="5"/>
        <v>#N/A</v>
      </c>
      <c r="O57" s="6" t="s">
        <v>99</v>
      </c>
      <c r="P57" s="242"/>
      <c r="Q57" s="242"/>
      <c r="R57" s="242"/>
      <c r="S57" s="242"/>
      <c r="T57" s="242"/>
      <c r="U57" s="242"/>
      <c r="V57" s="242"/>
      <c r="W57" s="242"/>
      <c r="X57" s="242"/>
      <c r="Y57" s="242"/>
      <c r="Z57" s="11" t="e">
        <f t="shared" si="6"/>
        <v>#N/A</v>
      </c>
      <c r="AA57" s="11" t="e">
        <f t="shared" si="7"/>
        <v>#N/A</v>
      </c>
      <c r="AC57" s="6" t="s">
        <v>99</v>
      </c>
      <c r="AD57" s="242"/>
      <c r="AE57" s="242"/>
      <c r="AF57" s="242"/>
      <c r="AG57" s="242"/>
      <c r="AH57" s="242"/>
      <c r="AI57" s="242"/>
      <c r="AJ57" s="242"/>
      <c r="AK57" s="242"/>
      <c r="AL57" s="242"/>
      <c r="AM57" s="242"/>
      <c r="AN57" s="11" t="e">
        <f t="shared" si="8"/>
        <v>#N/A</v>
      </c>
      <c r="AO57" s="11" t="e">
        <f t="shared" si="9"/>
        <v>#N/A</v>
      </c>
      <c r="AP57" s="26"/>
      <c r="AQ57" s="48"/>
    </row>
    <row r="58" spans="1:51" x14ac:dyDescent="0.25">
      <c r="A58" s="6" t="s">
        <v>100</v>
      </c>
      <c r="B58" s="242"/>
      <c r="C58" s="242"/>
      <c r="D58" s="242"/>
      <c r="E58" s="242"/>
      <c r="F58" s="242"/>
      <c r="G58" s="242"/>
      <c r="H58" s="242"/>
      <c r="I58" s="242"/>
      <c r="J58" s="242"/>
      <c r="K58" s="242"/>
      <c r="L58" s="11" t="e">
        <f t="shared" si="4"/>
        <v>#N/A</v>
      </c>
      <c r="M58" s="11" t="e">
        <f t="shared" si="5"/>
        <v>#N/A</v>
      </c>
      <c r="O58" s="6" t="s">
        <v>100</v>
      </c>
      <c r="P58" s="242"/>
      <c r="Q58" s="242"/>
      <c r="R58" s="242"/>
      <c r="S58" s="242"/>
      <c r="T58" s="242"/>
      <c r="U58" s="242"/>
      <c r="V58" s="242"/>
      <c r="W58" s="242"/>
      <c r="X58" s="242"/>
      <c r="Y58" s="242"/>
      <c r="Z58" s="11" t="e">
        <f t="shared" si="6"/>
        <v>#N/A</v>
      </c>
      <c r="AA58" s="11" t="e">
        <f t="shared" si="7"/>
        <v>#N/A</v>
      </c>
      <c r="AC58" s="6" t="s">
        <v>100</v>
      </c>
      <c r="AD58" s="242"/>
      <c r="AE58" s="242"/>
      <c r="AF58" s="242"/>
      <c r="AG58" s="242"/>
      <c r="AH58" s="242"/>
      <c r="AI58" s="242"/>
      <c r="AJ58" s="242"/>
      <c r="AK58" s="242"/>
      <c r="AL58" s="242"/>
      <c r="AM58" s="242"/>
      <c r="AN58" s="11" t="e">
        <f t="shared" si="8"/>
        <v>#N/A</v>
      </c>
      <c r="AO58" s="11" t="e">
        <f t="shared" si="9"/>
        <v>#N/A</v>
      </c>
      <c r="AP58" s="26"/>
      <c r="AQ58" s="48"/>
    </row>
    <row r="59" spans="1:51" x14ac:dyDescent="0.25">
      <c r="A59" s="6" t="s">
        <v>101</v>
      </c>
      <c r="B59" s="242"/>
      <c r="C59" s="242"/>
      <c r="D59" s="242"/>
      <c r="E59" s="242"/>
      <c r="F59" s="242"/>
      <c r="G59" s="242"/>
      <c r="H59" s="242"/>
      <c r="I59" s="242"/>
      <c r="J59" s="242"/>
      <c r="K59" s="242"/>
      <c r="L59" s="11" t="e">
        <f t="shared" si="4"/>
        <v>#N/A</v>
      </c>
      <c r="M59" s="11" t="e">
        <f t="shared" si="5"/>
        <v>#N/A</v>
      </c>
      <c r="O59" s="6" t="s">
        <v>101</v>
      </c>
      <c r="P59" s="242"/>
      <c r="Q59" s="242"/>
      <c r="R59" s="242"/>
      <c r="S59" s="242"/>
      <c r="T59" s="242"/>
      <c r="U59" s="242"/>
      <c r="V59" s="242"/>
      <c r="W59" s="242"/>
      <c r="X59" s="242"/>
      <c r="Y59" s="242"/>
      <c r="Z59" s="11" t="e">
        <f t="shared" si="6"/>
        <v>#N/A</v>
      </c>
      <c r="AA59" s="11" t="e">
        <f t="shared" si="7"/>
        <v>#N/A</v>
      </c>
      <c r="AC59" s="6" t="s">
        <v>101</v>
      </c>
      <c r="AD59" s="242"/>
      <c r="AE59" s="242"/>
      <c r="AF59" s="242"/>
      <c r="AG59" s="242"/>
      <c r="AH59" s="242"/>
      <c r="AI59" s="242"/>
      <c r="AJ59" s="242"/>
      <c r="AK59" s="242"/>
      <c r="AL59" s="242"/>
      <c r="AM59" s="242"/>
      <c r="AN59" s="11" t="e">
        <f t="shared" si="8"/>
        <v>#N/A</v>
      </c>
      <c r="AO59" s="11" t="e">
        <f t="shared" si="9"/>
        <v>#N/A</v>
      </c>
      <c r="AP59" s="26"/>
      <c r="AQ59" s="48"/>
    </row>
    <row r="61" spans="1:51" x14ac:dyDescent="0.25">
      <c r="P61" s="766" t="s">
        <v>221</v>
      </c>
      <c r="Q61" s="766"/>
      <c r="R61" s="766"/>
      <c r="S61" s="766"/>
      <c r="T61" s="766"/>
      <c r="U61" s="766"/>
      <c r="V61" s="766"/>
      <c r="W61" s="766"/>
      <c r="X61" s="766"/>
      <c r="Y61" s="766"/>
      <c r="AA61" s="737" t="s">
        <v>415</v>
      </c>
      <c r="AB61" s="737"/>
      <c r="AC61" s="737"/>
      <c r="AD61" s="737"/>
      <c r="AE61" s="737"/>
      <c r="AF61" s="737"/>
      <c r="AG61" s="737"/>
      <c r="AI61" s="759" t="s">
        <v>416</v>
      </c>
      <c r="AJ61" s="759"/>
      <c r="AK61" s="759"/>
      <c r="AL61" s="759"/>
      <c r="AM61" s="759"/>
      <c r="AN61" s="759"/>
    </row>
    <row r="62" spans="1:51" x14ac:dyDescent="0.25">
      <c r="P62" s="6" t="s">
        <v>37</v>
      </c>
      <c r="Q62" s="6" t="s">
        <v>387</v>
      </c>
      <c r="R62" s="29" t="s">
        <v>171</v>
      </c>
      <c r="S62" s="6" t="s">
        <v>368</v>
      </c>
      <c r="T62" s="6" t="s">
        <v>388</v>
      </c>
      <c r="U62" s="46" t="s">
        <v>172</v>
      </c>
      <c r="V62" s="4" t="s">
        <v>369</v>
      </c>
      <c r="W62" s="6" t="s">
        <v>389</v>
      </c>
      <c r="X62" s="4" t="s">
        <v>173</v>
      </c>
      <c r="Y62" s="4" t="s">
        <v>370</v>
      </c>
      <c r="AA62" s="6" t="s">
        <v>54</v>
      </c>
      <c r="AB62" s="4" t="s">
        <v>387</v>
      </c>
      <c r="AC62" s="4" t="s">
        <v>171</v>
      </c>
      <c r="AD62" s="4" t="s">
        <v>388</v>
      </c>
      <c r="AE62" s="4" t="s">
        <v>172</v>
      </c>
      <c r="AF62" s="4" t="s">
        <v>389</v>
      </c>
      <c r="AG62" s="4" t="s">
        <v>173</v>
      </c>
      <c r="AI62" s="764" t="s">
        <v>384</v>
      </c>
      <c r="AJ62" s="764"/>
      <c r="AK62" s="764"/>
      <c r="AL62" s="764"/>
      <c r="AM62" s="59">
        <f>MIN(AB63:AB88)</f>
        <v>1.3717421124828533</v>
      </c>
      <c r="AN62" s="59">
        <f>MAX(AB63:AB88)</f>
        <v>1000</v>
      </c>
    </row>
    <row r="63" spans="1:51" x14ac:dyDescent="0.25">
      <c r="P63" s="4" t="s">
        <v>29</v>
      </c>
      <c r="Q63" s="44">
        <f>IF('Sample Setup'!B4="",NA(),IF(ISERROR(L44),NA(),IF('Sample Setup'!D4=0,NA(),'Sample Setup'!B4)))</f>
        <v>1000</v>
      </c>
      <c r="R63" s="59">
        <f>IF(ISERR(L44),NA(),IF(ISBLANK(Q63),NA(),L44))</f>
        <v>2.6552500000000001</v>
      </c>
      <c r="S63" s="59">
        <f t="shared" ref="S63:S78" si="10">IF(ISERR(M44),NA(),IF(ISBLANK(R63),NA(),M44))</f>
        <v>2.9881711240601187E-2</v>
      </c>
      <c r="T63" s="56" t="e">
        <f>IF('Sample Setup'!B4="",NA(),IF(ISERROR(Z44),NA(),IF('Sample Setup'!D4=0,NA(),'Sample Setup'!B4)))</f>
        <v>#N/A</v>
      </c>
      <c r="U63" s="59" t="e">
        <f t="shared" ref="U63:U78" si="11">IF(ISERR(Z44),NA(),IF(ISBLANK(Q63),NA(),Z44))</f>
        <v>#N/A</v>
      </c>
      <c r="V63" s="59" t="e">
        <f t="shared" ref="V63:V78" si="12">IF(ISERR(AA44),NA(),IF(ISBLANK(U63),NA(),AA44))</f>
        <v>#N/A</v>
      </c>
      <c r="W63" s="56" t="e">
        <f>IF('Sample Setup'!B4="",NA(),IF(ISERROR(AN44),NA(),IF('Sample Setup'!D4=0,NA(),'Sample Setup'!B4)))</f>
        <v>#N/A</v>
      </c>
      <c r="X63" s="59" t="e">
        <f t="shared" ref="X63:X78" si="13">IF(ISERR(AN44),NA(),IF(ISBLANK(Q63),NA(),AN44))</f>
        <v>#N/A</v>
      </c>
      <c r="Y63" s="59" t="e">
        <f t="shared" ref="Y63:Y78" si="14">IF(ISERR(AO44),NA(),IF(ISBLANK(X63),NA(),AO44))</f>
        <v>#N/A</v>
      </c>
      <c r="AA63" s="44">
        <v>0</v>
      </c>
      <c r="AB63" s="59">
        <f>IF(ISERROR(10^(AA63*$C$124+$C$121)),NA(),10^(AA63*$C$124+$C$121))</f>
        <v>1.3717421124828533</v>
      </c>
      <c r="AC63" s="57">
        <f>Calculations!$AL$77+(Calculations!$AL$78-Calculations!$AL$77)/((1+((AB63/Calculations!$AL$79)^Calculations!$AL$80))^Calculations!$AL$81)</f>
        <v>1.8742513597752104E-2</v>
      </c>
      <c r="AD63" s="59" t="e">
        <f>IF(ISERROR(10^(AA63*$Q$124+$Q$121)),NA(),10^(AA63*$Q$124+$Q$121))</f>
        <v>#N/A</v>
      </c>
      <c r="AE63" s="57" t="e">
        <f>Calculations!$AM$77+(Calculations!$AM$78-Calculations!$AM$77)/((1+((AD63/Calculations!$AM$79)^Calculations!$AM$80))^Calculations!$AM$81)</f>
        <v>#N/A</v>
      </c>
      <c r="AF63" s="59" t="e">
        <f>IF(ISERROR(10^(AA63*$AE$124+$AE$121)),NA(),10^(AA63*$AE$124+$AE$121))</f>
        <v>#N/A</v>
      </c>
      <c r="AG63" s="57" t="e">
        <f>Calculations!$AN$77+(Calculations!$AN$78-Calculations!$AN$77)/((1+((AF63/Calculations!$AN$79)^Calculations!$AN$80))^Calculations!$AN$81)</f>
        <v>#N/A</v>
      </c>
      <c r="AI63" s="764" t="s">
        <v>375</v>
      </c>
      <c r="AJ63" s="764"/>
      <c r="AK63" s="765"/>
      <c r="AL63" s="765"/>
      <c r="AM63" s="57">
        <f>IF(ISERROR(V343),NA(),IF(V343&lt;0,NA(),V343))</f>
        <v>1.2500000000000001E-2</v>
      </c>
      <c r="AN63" s="57">
        <f>AM63</f>
        <v>1.2500000000000001E-2</v>
      </c>
    </row>
    <row r="64" spans="1:51" x14ac:dyDescent="0.25">
      <c r="P64" s="4" t="s">
        <v>30</v>
      </c>
      <c r="Q64" s="44">
        <f>IF('Sample Setup'!B5="",NA(),IF(ISERROR(L45),NA(),IF('Sample Setup'!D5=0,NA(),'Sample Setup'!B5)))</f>
        <v>333.33333333333331</v>
      </c>
      <c r="R64" s="59">
        <f t="shared" ref="R64:R78" si="15">IF(ISERR(L45),NA(),IF(ISBLANK(Q64),NA(),L45))</f>
        <v>1.8472500000000001</v>
      </c>
      <c r="S64" s="59">
        <f t="shared" si="10"/>
        <v>3.4903438226054399E-2</v>
      </c>
      <c r="T64" s="56" t="e">
        <f>IF('Sample Setup'!B5="",NA(),IF(ISERROR(Z45),NA(),IF('Sample Setup'!D5=0,NA(),'Sample Setup'!B5)))</f>
        <v>#N/A</v>
      </c>
      <c r="U64" s="59" t="e">
        <f t="shared" si="11"/>
        <v>#N/A</v>
      </c>
      <c r="V64" s="59" t="e">
        <f t="shared" si="12"/>
        <v>#N/A</v>
      </c>
      <c r="W64" s="56" t="e">
        <f>IF('Sample Setup'!B5="",NA(),IF(ISERROR(AN45),NA(),IF('Sample Setup'!D5=0,NA(),'Sample Setup'!B5)))</f>
        <v>#N/A</v>
      </c>
      <c r="X64" s="59" t="e">
        <f t="shared" si="13"/>
        <v>#N/A</v>
      </c>
      <c r="Y64" s="59" t="e">
        <f t="shared" si="14"/>
        <v>#N/A</v>
      </c>
      <c r="AA64" s="44">
        <v>1</v>
      </c>
      <c r="AB64" s="59">
        <f t="shared" ref="AB64:AB88" si="16">IF(ISERROR(10^(AA64*$C$124+$C$121)),NA(),10^(AA64*$C$124+$C$121))</f>
        <v>1.7855892918763501</v>
      </c>
      <c r="AC64" s="57">
        <f>Calculations!$AL$77+(Calculations!$AL$78-Calculations!$AL$77)/((1+((AB64/Calculations!$AL$79)^Calculations!$AL$80))^Calculations!$AL$81)</f>
        <v>2.1469199736427635E-2</v>
      </c>
      <c r="AD64" s="59" t="e">
        <f t="shared" ref="AD64:AD88" si="17">IF(ISERROR(10^(AA64*$Q$124+$Q$121)),NA(),10^(AA64*$Q$124+$Q$121))</f>
        <v>#N/A</v>
      </c>
      <c r="AE64" s="57" t="e">
        <f>Calculations!$AM$77+(Calculations!$AM$78-Calculations!$AM$77)/((1+((AD64/Calculations!$AM$79)^Calculations!$AM$80))^Calculations!$AM$81)</f>
        <v>#N/A</v>
      </c>
      <c r="AF64" s="59" t="e">
        <f t="shared" ref="AF64:AF88" si="18">IF(ISERROR(10^(AA64*$AE$124+$AE$121)),NA(),10^(AA64*$AE$124+$AE$121))</f>
        <v>#N/A</v>
      </c>
      <c r="AG64" s="57" t="e">
        <f>Calculations!$AN$77+(Calculations!$AN$78-Calculations!$AN$77)/((1+((AF64/Calculations!$AN$79)^Calculations!$AN$80))^Calculations!$AN$81)</f>
        <v>#N/A</v>
      </c>
      <c r="AI64" s="764" t="s">
        <v>377</v>
      </c>
      <c r="AJ64" s="764"/>
      <c r="AK64" s="765"/>
      <c r="AL64" s="765"/>
      <c r="AM64" s="57">
        <f>IF(ISERROR(V343-2*W343),NA(),IF((V343-2*W343)&lt;0,NA(),V343-2*W343))</f>
        <v>1.0500000000000001E-2</v>
      </c>
      <c r="AN64" s="57">
        <f>AM64</f>
        <v>1.0500000000000001E-2</v>
      </c>
    </row>
    <row r="65" spans="16:40" x14ac:dyDescent="0.25">
      <c r="P65" s="4" t="s">
        <v>31</v>
      </c>
      <c r="Q65" s="44">
        <f>IF('Sample Setup'!B6="",NA(),IF(ISERROR(L46),NA(),IF('Sample Setup'!D6=0,NA(),'Sample Setup'!B6)))</f>
        <v>111.11111111111111</v>
      </c>
      <c r="R65" s="59">
        <f t="shared" si="15"/>
        <v>0.74299999999999999</v>
      </c>
      <c r="S65" s="59">
        <f t="shared" si="10"/>
        <v>1.626857912254992E-2</v>
      </c>
      <c r="T65" s="56" t="e">
        <f>IF('Sample Setup'!B6="",NA(),IF(ISERROR(Z46),NA(),IF('Sample Setup'!D6=0,NA(),'Sample Setup'!B6)))</f>
        <v>#N/A</v>
      </c>
      <c r="U65" s="59" t="e">
        <f t="shared" si="11"/>
        <v>#N/A</v>
      </c>
      <c r="V65" s="59" t="e">
        <f t="shared" si="12"/>
        <v>#N/A</v>
      </c>
      <c r="W65" s="56" t="e">
        <f>IF('Sample Setup'!B6="",NA(),IF(ISERROR(AN46),NA(),IF('Sample Setup'!D6=0,NA(),'Sample Setup'!B6)))</f>
        <v>#N/A</v>
      </c>
      <c r="X65" s="59" t="e">
        <f t="shared" si="13"/>
        <v>#N/A</v>
      </c>
      <c r="Y65" s="59" t="e">
        <f t="shared" si="14"/>
        <v>#N/A</v>
      </c>
      <c r="AA65" s="44">
        <v>2</v>
      </c>
      <c r="AB65" s="59">
        <f t="shared" si="16"/>
        <v>2.3242919279430807</v>
      </c>
      <c r="AC65" s="57">
        <f>Calculations!$AL$77+(Calculations!$AL$78-Calculations!$AL$77)/((1+((AB65/Calculations!$AL$79)^Calculations!$AL$80))^Calculations!$AL$81)</f>
        <v>2.5036851759591291E-2</v>
      </c>
      <c r="AD65" s="59" t="e">
        <f t="shared" si="17"/>
        <v>#N/A</v>
      </c>
      <c r="AE65" s="57" t="e">
        <f>Calculations!$AM$77+(Calculations!$AM$78-Calculations!$AM$77)/((1+((AD65/Calculations!$AM$79)^Calculations!$AM$80))^Calculations!$AM$81)</f>
        <v>#N/A</v>
      </c>
      <c r="AF65" s="59" t="e">
        <f t="shared" si="18"/>
        <v>#N/A</v>
      </c>
      <c r="AG65" s="57" t="e">
        <f>Calculations!$AN$77+(Calculations!$AN$78-Calculations!$AN$77)/((1+((AF65/Calculations!$AN$79)^Calculations!$AN$80))^Calculations!$AN$81)</f>
        <v>#N/A</v>
      </c>
      <c r="AI65" s="764" t="s">
        <v>378</v>
      </c>
      <c r="AJ65" s="764"/>
      <c r="AK65" s="765"/>
      <c r="AL65" s="765"/>
      <c r="AM65" s="57">
        <f>IF(ISERROR(V343+2*W343),NA(),IF((V343+2*W343)&lt;0,NA(),V343+2*W343))</f>
        <v>1.4500000000000001E-2</v>
      </c>
      <c r="AN65" s="57">
        <f>AM65</f>
        <v>1.4500000000000001E-2</v>
      </c>
    </row>
    <row r="66" spans="16:40" x14ac:dyDescent="0.25">
      <c r="P66" s="4" t="s">
        <v>32</v>
      </c>
      <c r="Q66" s="44">
        <f>IF('Sample Setup'!B7="",NA(),IF(ISERROR(L47),NA(),IF('Sample Setup'!D7=0,NA(),'Sample Setup'!B7)))</f>
        <v>37.037037037037038</v>
      </c>
      <c r="R66" s="59">
        <f t="shared" si="15"/>
        <v>0.27050000000000002</v>
      </c>
      <c r="S66" s="59">
        <f t="shared" si="10"/>
        <v>8.4261497731763658E-3</v>
      </c>
      <c r="T66" s="56" t="e">
        <f>IF('Sample Setup'!B7="",NA(),IF(ISERROR(Z47),NA(),IF('Sample Setup'!D7=0,NA(),'Sample Setup'!B7)))</f>
        <v>#N/A</v>
      </c>
      <c r="U66" s="59" t="e">
        <f t="shared" si="11"/>
        <v>#N/A</v>
      </c>
      <c r="V66" s="59" t="e">
        <f t="shared" si="12"/>
        <v>#N/A</v>
      </c>
      <c r="W66" s="56" t="e">
        <f>IF('Sample Setup'!B7="",NA(),IF(ISERROR(AN47),NA(),IF('Sample Setup'!D7=0,NA(),'Sample Setup'!B7)))</f>
        <v>#N/A</v>
      </c>
      <c r="X66" s="59" t="e">
        <f t="shared" si="13"/>
        <v>#N/A</v>
      </c>
      <c r="Y66" s="59" t="e">
        <f t="shared" si="14"/>
        <v>#N/A</v>
      </c>
      <c r="AA66" s="44">
        <v>3</v>
      </c>
      <c r="AB66" s="59">
        <f t="shared" si="16"/>
        <v>3.0255182369650249</v>
      </c>
      <c r="AC66" s="57">
        <f>Calculations!$AL$77+(Calculations!$AL$78-Calculations!$AL$77)/((1+((AB66/Calculations!$AL$79)^Calculations!$AL$80))^Calculations!$AL$81)</f>
        <v>2.9704786352249601E-2</v>
      </c>
      <c r="AD66" s="59" t="e">
        <f t="shared" si="17"/>
        <v>#N/A</v>
      </c>
      <c r="AE66" s="57" t="e">
        <f>Calculations!$AM$77+(Calculations!$AM$78-Calculations!$AM$77)/((1+((AD66/Calculations!$AM$79)^Calculations!$AM$80))^Calculations!$AM$81)</f>
        <v>#N/A</v>
      </c>
      <c r="AF66" s="59" t="e">
        <f t="shared" si="18"/>
        <v>#N/A</v>
      </c>
      <c r="AG66" s="57" t="e">
        <f>Calculations!$AN$77+(Calculations!$AN$78-Calculations!$AN$77)/((1+((AF66/Calculations!$AN$79)^Calculations!$AN$80))^Calculations!$AN$81)</f>
        <v>#N/A</v>
      </c>
      <c r="AI66" s="764" t="s">
        <v>385</v>
      </c>
      <c r="AJ66" s="764"/>
      <c r="AK66" s="764"/>
      <c r="AL66" s="765"/>
      <c r="AM66" s="59" t="e">
        <f>MIN(AD63:AD88)</f>
        <v>#N/A</v>
      </c>
      <c r="AN66" s="59" t="e">
        <f>MAX(AD63:AD88)</f>
        <v>#N/A</v>
      </c>
    </row>
    <row r="67" spans="16:40" x14ac:dyDescent="0.25">
      <c r="P67" s="4" t="s">
        <v>33</v>
      </c>
      <c r="Q67" s="44">
        <f>IF('Sample Setup'!B8="",NA(),IF(ISERROR(L48),NA(),IF('Sample Setup'!D8=0,NA(),'Sample Setup'!B8)))</f>
        <v>12.345679012345679</v>
      </c>
      <c r="R67" s="59">
        <f t="shared" si="15"/>
        <v>9.8250000000000004E-2</v>
      </c>
      <c r="S67" s="59">
        <f t="shared" si="10"/>
        <v>1.212091855705119E-2</v>
      </c>
      <c r="T67" s="56" t="e">
        <f>IF('Sample Setup'!B8="",NA(),IF(ISERROR(Z48),NA(),IF('Sample Setup'!D8=0,NA(),'Sample Setup'!B8)))</f>
        <v>#N/A</v>
      </c>
      <c r="U67" s="59" t="e">
        <f t="shared" si="11"/>
        <v>#N/A</v>
      </c>
      <c r="V67" s="59" t="e">
        <f t="shared" si="12"/>
        <v>#N/A</v>
      </c>
      <c r="W67" s="56" t="e">
        <f>IF('Sample Setup'!B8="",NA(),IF(ISERROR(AN48),NA(),IF('Sample Setup'!D8=0,NA(),'Sample Setup'!B8)))</f>
        <v>#N/A</v>
      </c>
      <c r="X67" s="59" t="e">
        <f t="shared" si="13"/>
        <v>#N/A</v>
      </c>
      <c r="Y67" s="59" t="e">
        <f t="shared" si="14"/>
        <v>#N/A</v>
      </c>
      <c r="AA67" s="44">
        <v>4</v>
      </c>
      <c r="AB67" s="59">
        <f t="shared" si="16"/>
        <v>3.9383007324336918</v>
      </c>
      <c r="AC67" s="57">
        <f>Calculations!$AL$77+(Calculations!$AL$78-Calculations!$AL$77)/((1+((AB67/Calculations!$AL$79)^Calculations!$AL$80))^Calculations!$AL$81)</f>
        <v>3.5812215855402035E-2</v>
      </c>
      <c r="AD67" s="59" t="e">
        <f t="shared" si="17"/>
        <v>#N/A</v>
      </c>
      <c r="AE67" s="57" t="e">
        <f>Calculations!$AM$77+(Calculations!$AM$78-Calculations!$AM$77)/((1+((AD67/Calculations!$AM$79)^Calculations!$AM$80))^Calculations!$AM$81)</f>
        <v>#N/A</v>
      </c>
      <c r="AF67" s="59" t="e">
        <f t="shared" si="18"/>
        <v>#N/A</v>
      </c>
      <c r="AG67" s="57" t="e">
        <f>Calculations!$AN$77+(Calculations!$AN$78-Calculations!$AN$77)/((1+((AF67/Calculations!$AN$79)^Calculations!$AN$80))^Calculations!$AN$81)</f>
        <v>#N/A</v>
      </c>
      <c r="AI67" s="764" t="s">
        <v>379</v>
      </c>
      <c r="AJ67" s="764"/>
      <c r="AK67" s="765"/>
      <c r="AL67" s="765"/>
      <c r="AM67" s="59" t="e">
        <f>IF(ISERROR(V344),NA(),IF((V344)&lt;0,NA(),V344))</f>
        <v>#N/A</v>
      </c>
      <c r="AN67" s="57" t="e">
        <f>AM67</f>
        <v>#N/A</v>
      </c>
    </row>
    <row r="68" spans="16:40" x14ac:dyDescent="0.25">
      <c r="P68" s="4" t="s">
        <v>34</v>
      </c>
      <c r="Q68" s="44">
        <f>IF('Sample Setup'!B9="",NA(),IF(ISERROR(L49),NA(),IF('Sample Setup'!D9=0,NA(),'Sample Setup'!B9)))</f>
        <v>4.1152263374485596</v>
      </c>
      <c r="R68" s="59">
        <f t="shared" si="15"/>
        <v>3.5250000000000004E-2</v>
      </c>
      <c r="S68" s="59">
        <f t="shared" si="10"/>
        <v>2.3629078131263029E-3</v>
      </c>
      <c r="T68" s="56" t="e">
        <f>IF('Sample Setup'!B9="",NA(),IF(ISERROR(Z49),NA(),IF('Sample Setup'!D9=0,NA(),'Sample Setup'!B9)))</f>
        <v>#N/A</v>
      </c>
      <c r="U68" s="59" t="e">
        <f t="shared" si="11"/>
        <v>#N/A</v>
      </c>
      <c r="V68" s="59" t="e">
        <f t="shared" si="12"/>
        <v>#N/A</v>
      </c>
      <c r="W68" s="56" t="e">
        <f>IF('Sample Setup'!B9="",NA(),IF(ISERROR(AN49),NA(),IF('Sample Setup'!D9=0,NA(),'Sample Setup'!B9)))</f>
        <v>#N/A</v>
      </c>
      <c r="X68" s="59" t="e">
        <f t="shared" si="13"/>
        <v>#N/A</v>
      </c>
      <c r="Y68" s="59" t="e">
        <f t="shared" si="14"/>
        <v>#N/A</v>
      </c>
      <c r="AA68" s="44">
        <v>5</v>
      </c>
      <c r="AB68" s="59">
        <f t="shared" si="16"/>
        <v>5.12646477208032</v>
      </c>
      <c r="AC68" s="57">
        <f>Calculations!$AL$77+(Calculations!$AL$78-Calculations!$AL$77)/((1+((AB68/Calculations!$AL$79)^Calculations!$AL$80))^Calculations!$AL$81)</f>
        <v>4.3802783803172332E-2</v>
      </c>
      <c r="AD68" s="59" t="e">
        <f t="shared" si="17"/>
        <v>#N/A</v>
      </c>
      <c r="AE68" s="57" t="e">
        <f>Calculations!$AM$77+(Calculations!$AM$78-Calculations!$AM$77)/((1+((AD68/Calculations!$AM$79)^Calculations!$AM$80))^Calculations!$AM$81)</f>
        <v>#N/A</v>
      </c>
      <c r="AF68" s="59" t="e">
        <f t="shared" si="18"/>
        <v>#N/A</v>
      </c>
      <c r="AG68" s="57" t="e">
        <f>Calculations!$AN$77+(Calculations!$AN$78-Calculations!$AN$77)/((1+((AF68/Calculations!$AN$79)^Calculations!$AN$80))^Calculations!$AN$81)</f>
        <v>#N/A</v>
      </c>
      <c r="AI68" s="764" t="s">
        <v>376</v>
      </c>
      <c r="AJ68" s="764"/>
      <c r="AK68" s="765"/>
      <c r="AL68" s="765"/>
      <c r="AM68" s="57" t="e">
        <f>IF(ISERROR(V344-2*W344),NA(),IF((V344-2*W344)&lt;0,NA(),V344-2*W344))</f>
        <v>#N/A</v>
      </c>
      <c r="AN68" s="57" t="e">
        <f>AM68</f>
        <v>#N/A</v>
      </c>
    </row>
    <row r="69" spans="16:40" x14ac:dyDescent="0.25">
      <c r="P69" s="4" t="s">
        <v>35</v>
      </c>
      <c r="Q69" s="44">
        <f>IF('Sample Setup'!B10="",NA(),IF(ISERROR(L50),NA(),IF('Sample Setup'!D10=0,NA(),'Sample Setup'!B10)))</f>
        <v>1.3717421124828533</v>
      </c>
      <c r="R69" s="59">
        <f t="shared" si="15"/>
        <v>1.7750000000000002E-2</v>
      </c>
      <c r="S69" s="59">
        <f t="shared" si="10"/>
        <v>2.7537852736430517E-3</v>
      </c>
      <c r="T69" s="56" t="e">
        <f>IF('Sample Setup'!B10="",NA(),IF(ISERROR(Z50),NA(),IF('Sample Setup'!D10=0,NA(),'Sample Setup'!B10)))</f>
        <v>#N/A</v>
      </c>
      <c r="U69" s="59" t="e">
        <f t="shared" si="11"/>
        <v>#N/A</v>
      </c>
      <c r="V69" s="59" t="e">
        <f t="shared" si="12"/>
        <v>#N/A</v>
      </c>
      <c r="W69" s="56" t="e">
        <f>IF('Sample Setup'!B10="",NA(),IF(ISERROR(AN50),NA(),IF('Sample Setup'!D10=0,NA(),'Sample Setup'!B10)))</f>
        <v>#N/A</v>
      </c>
      <c r="X69" s="59" t="e">
        <f t="shared" si="13"/>
        <v>#N/A</v>
      </c>
      <c r="Y69" s="59" t="e">
        <f t="shared" si="14"/>
        <v>#N/A</v>
      </c>
      <c r="AA69" s="44">
        <v>6</v>
      </c>
      <c r="AB69" s="59">
        <f t="shared" si="16"/>
        <v>6.6730914790095959</v>
      </c>
      <c r="AC69" s="57">
        <f>Calculations!$AL$77+(Calculations!$AL$78-Calculations!$AL$77)/((1+((AB69/Calculations!$AL$79)^Calculations!$AL$80))^Calculations!$AL$81)</f>
        <v>5.4256537502371457E-2</v>
      </c>
      <c r="AD69" s="59" t="e">
        <f t="shared" si="17"/>
        <v>#N/A</v>
      </c>
      <c r="AE69" s="57" t="e">
        <f>Calculations!$AM$77+(Calculations!$AM$78-Calculations!$AM$77)/((1+((AD69/Calculations!$AM$79)^Calculations!$AM$80))^Calculations!$AM$81)</f>
        <v>#N/A</v>
      </c>
      <c r="AF69" s="59" t="e">
        <f t="shared" si="18"/>
        <v>#N/A</v>
      </c>
      <c r="AG69" s="57" t="e">
        <f>Calculations!$AN$77+(Calculations!$AN$78-Calculations!$AN$77)/((1+((AF69/Calculations!$AN$79)^Calculations!$AN$80))^Calculations!$AN$81)</f>
        <v>#N/A</v>
      </c>
      <c r="AI69" s="764" t="s">
        <v>380</v>
      </c>
      <c r="AJ69" s="764"/>
      <c r="AK69" s="765"/>
      <c r="AL69" s="765"/>
      <c r="AM69" s="57" t="e">
        <f>IF(ISERROR(V344+2*W344),NA(),IF((V344+2*W344)&lt;0,NA(),V344+2*W344))</f>
        <v>#N/A</v>
      </c>
      <c r="AN69" s="57" t="e">
        <f>AM69</f>
        <v>#N/A</v>
      </c>
    </row>
    <row r="70" spans="16:40" x14ac:dyDescent="0.25">
      <c r="P70" s="4" t="s">
        <v>36</v>
      </c>
      <c r="Q70" s="44" t="e">
        <f>IF('Sample Setup'!B11="",NA(),IF(ISERROR(L51),NA(),IF('Sample Setup'!D11=0,NA(),'Sample Setup'!B11)))</f>
        <v>#N/A</v>
      </c>
      <c r="R70" s="59" t="e">
        <f t="shared" si="15"/>
        <v>#N/A</v>
      </c>
      <c r="S70" s="59" t="e">
        <f t="shared" si="10"/>
        <v>#N/A</v>
      </c>
      <c r="T70" s="56" t="e">
        <f>IF('Sample Setup'!B11="",NA(),IF(ISERROR(Z51),NA(),IF('Sample Setup'!D11=0,NA(),'Sample Setup'!B11)))</f>
        <v>#N/A</v>
      </c>
      <c r="U70" s="59" t="e">
        <f t="shared" si="11"/>
        <v>#N/A</v>
      </c>
      <c r="V70" s="59" t="e">
        <f t="shared" si="12"/>
        <v>#N/A</v>
      </c>
      <c r="W70" s="56" t="e">
        <f>IF('Sample Setup'!B11="",NA(),IF(ISERROR(AN51),NA(),IF('Sample Setup'!D11=0,NA(),'Sample Setup'!B11)))</f>
        <v>#N/A</v>
      </c>
      <c r="X70" s="59" t="e">
        <f t="shared" si="13"/>
        <v>#N/A</v>
      </c>
      <c r="Y70" s="59" t="e">
        <f t="shared" si="14"/>
        <v>#N/A</v>
      </c>
      <c r="AA70" s="44">
        <v>7</v>
      </c>
      <c r="AB70" s="59">
        <f t="shared" si="16"/>
        <v>8.6863271020118908</v>
      </c>
      <c r="AC70" s="57">
        <f>Calculations!$AL$77+(Calculations!$AL$78-Calculations!$AL$77)/((1+((AB70/Calculations!$AL$79)^Calculations!$AL$80))^Calculations!$AL$81)</f>
        <v>6.7931472929456269E-2</v>
      </c>
      <c r="AD70" s="59" t="e">
        <f t="shared" si="17"/>
        <v>#N/A</v>
      </c>
      <c r="AE70" s="57" t="e">
        <f>Calculations!$AM$77+(Calculations!$AM$78-Calculations!$AM$77)/((1+((AD70/Calculations!$AM$79)^Calculations!$AM$80))^Calculations!$AM$81)</f>
        <v>#N/A</v>
      </c>
      <c r="AF70" s="59" t="e">
        <f t="shared" si="18"/>
        <v>#N/A</v>
      </c>
      <c r="AG70" s="57" t="e">
        <f>Calculations!$AN$77+(Calculations!$AN$78-Calculations!$AN$77)/((1+((AF70/Calculations!$AN$79)^Calculations!$AN$80))^Calculations!$AN$81)</f>
        <v>#N/A</v>
      </c>
      <c r="AI70" s="764" t="s">
        <v>386</v>
      </c>
      <c r="AJ70" s="764"/>
      <c r="AK70" s="764"/>
      <c r="AL70" s="765"/>
      <c r="AM70" s="59" t="e">
        <f>MIN(AF63:AF88)</f>
        <v>#N/A</v>
      </c>
      <c r="AN70" s="59" t="e">
        <f>MAX(AF63:AF88)</f>
        <v>#N/A</v>
      </c>
    </row>
    <row r="71" spans="16:40" x14ac:dyDescent="0.25">
      <c r="P71" s="4" t="s">
        <v>48</v>
      </c>
      <c r="Q71" s="44" t="e">
        <f>IF('Sample Setup'!B12="",NA(),IF(ISERROR(L52),NA(),IF('Sample Setup'!D12=0,NA(),'Sample Setup'!B12)))</f>
        <v>#N/A</v>
      </c>
      <c r="R71" s="59" t="e">
        <f t="shared" si="15"/>
        <v>#N/A</v>
      </c>
      <c r="S71" s="59" t="e">
        <f t="shared" si="10"/>
        <v>#N/A</v>
      </c>
      <c r="T71" s="56" t="e">
        <f>IF('Sample Setup'!B12="",NA(),IF(ISERROR(Z52),NA(),IF('Sample Setup'!D12=0,NA(),'Sample Setup'!B12)))</f>
        <v>#N/A</v>
      </c>
      <c r="U71" s="59" t="e">
        <f t="shared" si="11"/>
        <v>#N/A</v>
      </c>
      <c r="V71" s="59" t="e">
        <f t="shared" si="12"/>
        <v>#N/A</v>
      </c>
      <c r="W71" s="56" t="e">
        <f>IF('Sample Setup'!B12="",NA(),IF(ISERROR(AN52),NA(),IF('Sample Setup'!D12=0,NA(),'Sample Setup'!B12)))</f>
        <v>#N/A</v>
      </c>
      <c r="X71" s="59" t="e">
        <f t="shared" si="13"/>
        <v>#N/A</v>
      </c>
      <c r="Y71" s="59" t="e">
        <f t="shared" si="14"/>
        <v>#N/A</v>
      </c>
      <c r="AA71" s="44">
        <v>8</v>
      </c>
      <c r="AB71" s="59">
        <f t="shared" si="16"/>
        <v>11.306945028474971</v>
      </c>
      <c r="AC71" s="57">
        <f>Calculations!$AL$77+(Calculations!$AL$78-Calculations!$AL$77)/((1+((AB71/Calculations!$AL$79)^Calculations!$AL$80))^Calculations!$AL$81)</f>
        <v>8.5817253850335631E-2</v>
      </c>
      <c r="AD71" s="59" t="e">
        <f t="shared" si="17"/>
        <v>#N/A</v>
      </c>
      <c r="AE71" s="57" t="e">
        <f>Calculations!$AM$77+(Calculations!$AM$78-Calculations!$AM$77)/((1+((AD71/Calculations!$AM$79)^Calculations!$AM$80))^Calculations!$AM$81)</f>
        <v>#N/A</v>
      </c>
      <c r="AF71" s="59" t="e">
        <f t="shared" si="18"/>
        <v>#N/A</v>
      </c>
      <c r="AG71" s="57" t="e">
        <f>Calculations!$AN$77+(Calculations!$AN$78-Calculations!$AN$77)/((1+((AF71/Calculations!$AN$79)^Calculations!$AN$80))^Calculations!$AN$81)</f>
        <v>#N/A</v>
      </c>
      <c r="AI71" s="764" t="s">
        <v>381</v>
      </c>
      <c r="AJ71" s="764"/>
      <c r="AK71" s="765"/>
      <c r="AL71" s="765"/>
      <c r="AM71" s="57" t="e">
        <f>IF(ISERROR(V345),NA(),IF(V345&lt;0,NA(),V345))</f>
        <v>#N/A</v>
      </c>
      <c r="AN71" s="57" t="e">
        <f>AM71</f>
        <v>#N/A</v>
      </c>
    </row>
    <row r="72" spans="16:40" x14ac:dyDescent="0.25">
      <c r="P72" s="4" t="s">
        <v>49</v>
      </c>
      <c r="Q72" s="44" t="e">
        <f>IF('Sample Setup'!B13="",NA(),IF(ISERROR(L53),NA(),IF('Sample Setup'!D13=0,NA(),'Sample Setup'!B13)))</f>
        <v>#N/A</v>
      </c>
      <c r="R72" s="59" t="e">
        <f t="shared" si="15"/>
        <v>#N/A</v>
      </c>
      <c r="S72" s="59" t="e">
        <f t="shared" si="10"/>
        <v>#N/A</v>
      </c>
      <c r="T72" s="56" t="e">
        <f>IF('Sample Setup'!B13="",NA(),IF(ISERROR(Z53),NA(),IF('Sample Setup'!D13=0,NA(),'Sample Setup'!B13)))</f>
        <v>#N/A</v>
      </c>
      <c r="U72" s="59" t="e">
        <f t="shared" si="11"/>
        <v>#N/A</v>
      </c>
      <c r="V72" s="59" t="e">
        <f t="shared" si="12"/>
        <v>#N/A</v>
      </c>
      <c r="W72" s="56" t="e">
        <f>IF('Sample Setup'!B13="",NA(),IF(ISERROR(AN53),NA(),IF('Sample Setup'!D13=0,NA(),'Sample Setup'!B13)))</f>
        <v>#N/A</v>
      </c>
      <c r="X72" s="59" t="e">
        <f t="shared" si="13"/>
        <v>#N/A</v>
      </c>
      <c r="Y72" s="59" t="e">
        <f t="shared" si="14"/>
        <v>#N/A</v>
      </c>
      <c r="AA72" s="44">
        <v>9</v>
      </c>
      <c r="AB72" s="59">
        <f t="shared" si="16"/>
        <v>14.718189215709312</v>
      </c>
      <c r="AC72" s="57">
        <f>Calculations!$AL$77+(Calculations!$AL$78-Calculations!$AL$77)/((1+((AB72/Calculations!$AL$79)^Calculations!$AL$80))^Calculations!$AL$81)</f>
        <v>0.10920408651335736</v>
      </c>
      <c r="AD72" s="59" t="e">
        <f t="shared" si="17"/>
        <v>#N/A</v>
      </c>
      <c r="AE72" s="57" t="e">
        <f>Calculations!$AM$77+(Calculations!$AM$78-Calculations!$AM$77)/((1+((AD72/Calculations!$AM$79)^Calculations!$AM$80))^Calculations!$AM$81)</f>
        <v>#N/A</v>
      </c>
      <c r="AF72" s="59" t="e">
        <f t="shared" si="18"/>
        <v>#N/A</v>
      </c>
      <c r="AG72" s="57" t="e">
        <f>Calculations!$AN$77+(Calculations!$AN$78-Calculations!$AN$77)/((1+((AF72/Calculations!$AN$79)^Calculations!$AN$80))^Calculations!$AN$81)</f>
        <v>#N/A</v>
      </c>
      <c r="AI72" s="764" t="s">
        <v>382</v>
      </c>
      <c r="AJ72" s="764"/>
      <c r="AK72" s="765"/>
      <c r="AL72" s="765"/>
      <c r="AM72" s="57" t="e">
        <f>IF(ISERROR(V345-2*W345),NA(),IF((V345-2*W345)&lt;0,NA(),V345-2*W345))</f>
        <v>#N/A</v>
      </c>
      <c r="AN72" s="57" t="e">
        <f>AM72</f>
        <v>#N/A</v>
      </c>
    </row>
    <row r="73" spans="16:40" x14ac:dyDescent="0.25">
      <c r="P73" s="4" t="s">
        <v>50</v>
      </c>
      <c r="Q73" s="44" t="e">
        <f>IF('Sample Setup'!B14="",NA(),IF(ISERROR(L54),NA(),IF('Sample Setup'!D14=0,NA(),'Sample Setup'!B14)))</f>
        <v>#N/A</v>
      </c>
      <c r="R73" s="59" t="e">
        <f t="shared" si="15"/>
        <v>#N/A</v>
      </c>
      <c r="S73" s="59" t="e">
        <f t="shared" si="10"/>
        <v>#N/A</v>
      </c>
      <c r="T73" s="56" t="e">
        <f>IF('Sample Setup'!B14="",NA(),IF(ISERROR(Z54),NA(),IF('Sample Setup'!D14=0,NA(),'Sample Setup'!B14)))</f>
        <v>#N/A</v>
      </c>
      <c r="U73" s="59" t="e">
        <f t="shared" si="11"/>
        <v>#N/A</v>
      </c>
      <c r="V73" s="59" t="e">
        <f t="shared" si="12"/>
        <v>#N/A</v>
      </c>
      <c r="W73" s="56" t="e">
        <f>IF('Sample Setup'!B14="",NA(),IF(ISERROR(AN54),NA(),IF('Sample Setup'!D14=0,NA(),'Sample Setup'!B14)))</f>
        <v>#N/A</v>
      </c>
      <c r="X73" s="59" t="e">
        <f t="shared" si="13"/>
        <v>#N/A</v>
      </c>
      <c r="Y73" s="59" t="e">
        <f t="shared" si="14"/>
        <v>#N/A</v>
      </c>
      <c r="AA73" s="44">
        <v>10</v>
      </c>
      <c r="AB73" s="59">
        <f t="shared" si="16"/>
        <v>19.158587332288402</v>
      </c>
      <c r="AC73" s="57">
        <f>Calculations!$AL$77+(Calculations!$AL$78-Calculations!$AL$77)/((1+((AB73/Calculations!$AL$79)^Calculations!$AL$80))^Calculations!$AL$81)</f>
        <v>0.13976972178353569</v>
      </c>
      <c r="AD73" s="59" t="e">
        <f t="shared" si="17"/>
        <v>#N/A</v>
      </c>
      <c r="AE73" s="57" t="e">
        <f>Calculations!$AM$77+(Calculations!$AM$78-Calculations!$AM$77)/((1+((AD73/Calculations!$AM$79)^Calculations!$AM$80))^Calculations!$AM$81)</f>
        <v>#N/A</v>
      </c>
      <c r="AF73" s="59" t="e">
        <f t="shared" si="18"/>
        <v>#N/A</v>
      </c>
      <c r="AG73" s="57" t="e">
        <f>Calculations!$AN$77+(Calculations!$AN$78-Calculations!$AN$77)/((1+((AF73/Calculations!$AN$79)^Calculations!$AN$80))^Calculations!$AN$81)</f>
        <v>#N/A</v>
      </c>
      <c r="AI73" s="764" t="s">
        <v>383</v>
      </c>
      <c r="AJ73" s="764"/>
      <c r="AK73" s="765"/>
      <c r="AL73" s="765"/>
      <c r="AM73" s="57" t="e">
        <f>IF(ISERROR(V345+2*W345),NA(),IF((V345+2*W345)&lt;0,NA(),V345+2*W345))</f>
        <v>#N/A</v>
      </c>
      <c r="AN73" s="57" t="e">
        <f>AM73</f>
        <v>#N/A</v>
      </c>
    </row>
    <row r="74" spans="16:40" x14ac:dyDescent="0.25">
      <c r="P74" s="4" t="s">
        <v>51</v>
      </c>
      <c r="Q74" s="44" t="e">
        <f>IF('Sample Setup'!B15="",NA(),IF(ISERROR(L55),NA(),IF('Sample Setup'!D15=0,NA(),'Sample Setup'!B15)))</f>
        <v>#N/A</v>
      </c>
      <c r="R74" s="59" t="e">
        <f t="shared" si="15"/>
        <v>#N/A</v>
      </c>
      <c r="S74" s="59" t="e">
        <f t="shared" si="10"/>
        <v>#N/A</v>
      </c>
      <c r="T74" s="56" t="e">
        <f>IF('Sample Setup'!B15="",NA(),IF(ISERROR(Z55),NA(),IF('Sample Setup'!D15=0,NA(),'Sample Setup'!B15)))</f>
        <v>#N/A</v>
      </c>
      <c r="U74" s="59" t="e">
        <f t="shared" si="11"/>
        <v>#N/A</v>
      </c>
      <c r="V74" s="59" t="e">
        <f t="shared" si="12"/>
        <v>#N/A</v>
      </c>
      <c r="W74" s="56" t="e">
        <f>IF('Sample Setup'!B15="",NA(),IF(ISERROR(AN55),NA(),IF('Sample Setup'!D15=0,NA(),'Sample Setup'!B15)))</f>
        <v>#N/A</v>
      </c>
      <c r="X74" s="59" t="e">
        <f t="shared" si="13"/>
        <v>#N/A</v>
      </c>
      <c r="Y74" s="59" t="e">
        <f t="shared" si="14"/>
        <v>#N/A</v>
      </c>
      <c r="AA74" s="44">
        <v>11</v>
      </c>
      <c r="AB74" s="59">
        <f t="shared" si="16"/>
        <v>24.938629554860793</v>
      </c>
      <c r="AC74" s="57">
        <f>Calculations!$AL$77+(Calculations!$AL$78-Calculations!$AL$77)/((1+((AB74/Calculations!$AL$79)^Calculations!$AL$80))^Calculations!$AL$81)</f>
        <v>0.17968644574307185</v>
      </c>
      <c r="AD74" s="59" t="e">
        <f t="shared" si="17"/>
        <v>#N/A</v>
      </c>
      <c r="AE74" s="57" t="e">
        <f>Calculations!$AM$77+(Calculations!$AM$78-Calculations!$AM$77)/((1+((AD74/Calculations!$AM$79)^Calculations!$AM$80))^Calculations!$AM$81)</f>
        <v>#N/A</v>
      </c>
      <c r="AF74" s="59" t="e">
        <f t="shared" si="18"/>
        <v>#N/A</v>
      </c>
      <c r="AG74" s="57" t="e">
        <f>Calculations!$AN$77+(Calculations!$AN$78-Calculations!$AN$77)/((1+((AF74/Calculations!$AN$79)^Calculations!$AN$80))^Calculations!$AN$81)</f>
        <v>#N/A</v>
      </c>
    </row>
    <row r="75" spans="16:40" x14ac:dyDescent="0.25">
      <c r="P75" s="4" t="s">
        <v>98</v>
      </c>
      <c r="Q75" s="44" t="e">
        <f>IF('Sample Setup'!B16="",NA(),IF(ISERROR(L56),NA(),IF('Sample Setup'!D16=0,NA(),'Sample Setup'!B16)))</f>
        <v>#N/A</v>
      </c>
      <c r="R75" s="59" t="e">
        <f t="shared" si="15"/>
        <v>#N/A</v>
      </c>
      <c r="S75" s="59" t="e">
        <f t="shared" si="10"/>
        <v>#N/A</v>
      </c>
      <c r="T75" s="56" t="e">
        <f>IF('Sample Setup'!B16="",NA(),IF(ISERROR(Z56),NA(),IF('Sample Setup'!D16=0,NA(),'Sample Setup'!B16)))</f>
        <v>#N/A</v>
      </c>
      <c r="U75" s="59" t="e">
        <f t="shared" si="11"/>
        <v>#N/A</v>
      </c>
      <c r="V75" s="59" t="e">
        <f t="shared" si="12"/>
        <v>#N/A</v>
      </c>
      <c r="W75" s="56" t="e">
        <f>IF('Sample Setup'!B16="",NA(),IF(ISERROR(AN56),NA(),IF('Sample Setup'!D16=0,NA(),'Sample Setup'!B16)))</f>
        <v>#N/A</v>
      </c>
      <c r="X75" s="59" t="e">
        <f t="shared" si="13"/>
        <v>#N/A</v>
      </c>
      <c r="Y75" s="59" t="e">
        <f t="shared" si="14"/>
        <v>#N/A</v>
      </c>
      <c r="AA75" s="44">
        <v>12</v>
      </c>
      <c r="AB75" s="59">
        <f t="shared" si="16"/>
        <v>32.462479267791004</v>
      </c>
      <c r="AC75" s="57">
        <f>Calculations!$AL$77+(Calculations!$AL$78-Calculations!$AL$77)/((1+((AB75/Calculations!$AL$79)^Calculations!$AL$80))^Calculations!$AL$81)</f>
        <v>0.23174611595802591</v>
      </c>
      <c r="AD75" s="59" t="e">
        <f t="shared" si="17"/>
        <v>#N/A</v>
      </c>
      <c r="AE75" s="57" t="e">
        <f>Calculations!$AM$77+(Calculations!$AM$78-Calculations!$AM$77)/((1+((AD75/Calculations!$AM$79)^Calculations!$AM$80))^Calculations!$AM$81)</f>
        <v>#N/A</v>
      </c>
      <c r="AF75" s="59" t="e">
        <f t="shared" si="18"/>
        <v>#N/A</v>
      </c>
      <c r="AG75" s="57" t="e">
        <f>Calculations!$AN$77+(Calculations!$AN$78-Calculations!$AN$77)/((1+((AF75/Calculations!$AN$79)^Calculations!$AN$80))^Calculations!$AN$81)</f>
        <v>#N/A</v>
      </c>
      <c r="AI75" s="759" t="s">
        <v>227</v>
      </c>
      <c r="AJ75" s="759"/>
      <c r="AK75" s="759"/>
      <c r="AL75" s="759"/>
      <c r="AM75" s="759"/>
      <c r="AN75" s="759"/>
    </row>
    <row r="76" spans="16:40" x14ac:dyDescent="0.25">
      <c r="P76" s="4" t="s">
        <v>99</v>
      </c>
      <c r="Q76" s="44" t="e">
        <f>IF('Sample Setup'!B17="",NA(),IF(ISERROR(L57),NA(),IF('Sample Setup'!D17=0,NA(),'Sample Setup'!B17)))</f>
        <v>#N/A</v>
      </c>
      <c r="R76" s="59" t="e">
        <f t="shared" si="15"/>
        <v>#N/A</v>
      </c>
      <c r="S76" s="59" t="e">
        <f t="shared" si="10"/>
        <v>#N/A</v>
      </c>
      <c r="T76" s="56" t="e">
        <f>IF('Sample Setup'!B17="",NA(),IF(ISERROR(Z57),NA(),IF('Sample Setup'!D17=0,NA(),'Sample Setup'!B17)))</f>
        <v>#N/A</v>
      </c>
      <c r="U76" s="59" t="e">
        <f t="shared" si="11"/>
        <v>#N/A</v>
      </c>
      <c r="V76" s="59" t="e">
        <f t="shared" si="12"/>
        <v>#N/A</v>
      </c>
      <c r="W76" s="56" t="e">
        <f>IF('Sample Setup'!B17="",NA(),IF(ISERROR(AN57),NA(),IF('Sample Setup'!D17=0,NA(),'Sample Setup'!B17)))</f>
        <v>#N/A</v>
      </c>
      <c r="X76" s="59" t="e">
        <f t="shared" si="13"/>
        <v>#N/A</v>
      </c>
      <c r="Y76" s="59" t="e">
        <f t="shared" si="14"/>
        <v>#N/A</v>
      </c>
      <c r="AA76" s="44">
        <v>13</v>
      </c>
      <c r="AB76" s="59">
        <f t="shared" si="16"/>
        <v>42.256233763509385</v>
      </c>
      <c r="AC76" s="57">
        <f>Calculations!$AL$77+(Calculations!$AL$78-Calculations!$AL$77)/((1+((AB76/Calculations!$AL$79)^Calculations!$AL$80))^Calculations!$AL$81)</f>
        <v>0.29949142114937394</v>
      </c>
      <c r="AD76" s="59" t="e">
        <f t="shared" si="17"/>
        <v>#N/A</v>
      </c>
      <c r="AE76" s="57" t="e">
        <f>Calculations!$AM$77+(Calculations!$AM$78-Calculations!$AM$77)/((1+((AD76/Calculations!$AM$79)^Calculations!$AM$80))^Calculations!$AM$81)</f>
        <v>#N/A</v>
      </c>
      <c r="AF76" s="59" t="e">
        <f t="shared" si="18"/>
        <v>#N/A</v>
      </c>
      <c r="AG76" s="57" t="e">
        <f>Calculations!$AN$77+(Calculations!$AN$78-Calculations!$AN$77)/((1+((AF76/Calculations!$AN$79)^Calculations!$AN$80))^Calculations!$AN$81)</f>
        <v>#N/A</v>
      </c>
      <c r="AI76" s="759" t="s">
        <v>192</v>
      </c>
      <c r="AJ76" s="759"/>
      <c r="AK76" s="759"/>
      <c r="AL76" s="13" t="s">
        <v>404</v>
      </c>
      <c r="AM76" s="13" t="s">
        <v>405</v>
      </c>
      <c r="AN76" s="13" t="s">
        <v>406</v>
      </c>
    </row>
    <row r="77" spans="16:40" x14ac:dyDescent="0.25">
      <c r="P77" s="4" t="s">
        <v>100</v>
      </c>
      <c r="Q77" s="44" t="e">
        <f>IF('Sample Setup'!B18="",NA(),IF(ISERROR(L58),NA(),IF('Sample Setup'!D18=0,NA(),'Sample Setup'!B18)))</f>
        <v>#N/A</v>
      </c>
      <c r="R77" s="59" t="e">
        <f t="shared" si="15"/>
        <v>#N/A</v>
      </c>
      <c r="S77" s="59" t="e">
        <f t="shared" si="10"/>
        <v>#N/A</v>
      </c>
      <c r="T77" s="56" t="e">
        <f>IF('Sample Setup'!B18="",NA(),IF(ISERROR(Z58),NA(),IF('Sample Setup'!D18=0,NA(),'Sample Setup'!B18)))</f>
        <v>#N/A</v>
      </c>
      <c r="U77" s="59" t="e">
        <f t="shared" si="11"/>
        <v>#N/A</v>
      </c>
      <c r="V77" s="59" t="e">
        <f t="shared" si="12"/>
        <v>#N/A</v>
      </c>
      <c r="W77" s="56" t="e">
        <f>IF('Sample Setup'!B18="",NA(),IF(ISERROR(AN58),NA(),IF('Sample Setup'!D18=0,NA(),'Sample Setup'!B18)))</f>
        <v>#N/A</v>
      </c>
      <c r="X77" s="59" t="e">
        <f t="shared" si="13"/>
        <v>#N/A</v>
      </c>
      <c r="Y77" s="59" t="e">
        <f t="shared" si="14"/>
        <v>#N/A</v>
      </c>
      <c r="AA77" s="44">
        <v>14</v>
      </c>
      <c r="AB77" s="59">
        <f t="shared" si="16"/>
        <v>55.004711043373611</v>
      </c>
      <c r="AC77" s="57">
        <f>Calculations!$AL$77+(Calculations!$AL$78-Calculations!$AL$77)/((1+((AB77/Calculations!$AL$79)^Calculations!$AL$80))^Calculations!$AL$81)</f>
        <v>0.38731885301927105</v>
      </c>
      <c r="AD77" s="59" t="e">
        <f t="shared" si="17"/>
        <v>#N/A</v>
      </c>
      <c r="AE77" s="57" t="e">
        <f>Calculations!$AM$77+(Calculations!$AM$78-Calculations!$AM$77)/((1+((AD77/Calculations!$AM$79)^Calculations!$AM$80))^Calculations!$AM$81)</f>
        <v>#N/A</v>
      </c>
      <c r="AF77" s="59" t="e">
        <f t="shared" si="18"/>
        <v>#N/A</v>
      </c>
      <c r="AG77" s="57" t="e">
        <f>Calculations!$AN$77+(Calculations!$AN$78-Calculations!$AN$77)/((1+((AF77/Calculations!$AN$79)^Calculations!$AN$80))^Calculations!$AN$81)</f>
        <v>#N/A</v>
      </c>
      <c r="AI77" s="738" t="s">
        <v>202</v>
      </c>
      <c r="AJ77" s="738"/>
      <c r="AK77" s="738"/>
      <c r="AL77" s="57">
        <f>IF(BioScale_Internal!N28,10^VLOOKUP("Parameter 1",F118:K122,H124+2),NA())</f>
        <v>9.9021771447292978E-3</v>
      </c>
      <c r="AM77" s="57">
        <f>IF(BioScale_Internal!N28,10^VLOOKUP("Parameter 1",T118:Y123,V124+2),NA())</f>
        <v>1</v>
      </c>
      <c r="AN77" s="57">
        <f>IF(BioScale_Internal!N28,10^VLOOKUP("Parameter 1",AH118:AM123,AJ124+2),NA())</f>
        <v>1</v>
      </c>
    </row>
    <row r="78" spans="16:40" x14ac:dyDescent="0.25">
      <c r="P78" s="4" t="s">
        <v>101</v>
      </c>
      <c r="Q78" s="44" t="e">
        <f>IF('Sample Setup'!B19="",NA(),IF(ISERROR(L59),NA(),IF('Sample Setup'!D19=0,NA(),'Sample Setup'!B19)))</f>
        <v>#N/A</v>
      </c>
      <c r="R78" s="59" t="e">
        <f t="shared" si="15"/>
        <v>#N/A</v>
      </c>
      <c r="S78" s="59" t="e">
        <f t="shared" si="10"/>
        <v>#N/A</v>
      </c>
      <c r="T78" s="56" t="e">
        <f>IF('Sample Setup'!B19="",NA(),IF(ISERROR(Z59),NA(),IF('Sample Setup'!D19=0,NA(),'Sample Setup'!B19)))</f>
        <v>#N/A</v>
      </c>
      <c r="U78" s="59" t="e">
        <f t="shared" si="11"/>
        <v>#N/A</v>
      </c>
      <c r="V78" s="59" t="e">
        <f t="shared" si="12"/>
        <v>#N/A</v>
      </c>
      <c r="W78" s="56" t="e">
        <f>IF('Sample Setup'!B19="",NA(),IF(ISERROR(AN59),NA(),IF('Sample Setup'!D19=0,NA(),'Sample Setup'!B19)))</f>
        <v>#N/A</v>
      </c>
      <c r="X78" s="59" t="e">
        <f t="shared" si="13"/>
        <v>#N/A</v>
      </c>
      <c r="Y78" s="59" t="e">
        <f t="shared" si="14"/>
        <v>#N/A</v>
      </c>
      <c r="AA78" s="44">
        <v>15</v>
      </c>
      <c r="AB78" s="59">
        <f t="shared" si="16"/>
        <v>71.599334997472738</v>
      </c>
      <c r="AC78" s="57">
        <f>Calculations!$AL$77+(Calculations!$AL$78-Calculations!$AL$77)/((1+((AB78/Calculations!$AL$79)^Calculations!$AL$80))^Calculations!$AL$81)</f>
        <v>0.5004714180827472</v>
      </c>
      <c r="AD78" s="59" t="e">
        <f t="shared" si="17"/>
        <v>#N/A</v>
      </c>
      <c r="AE78" s="57" t="e">
        <f>Calculations!$AM$77+(Calculations!$AM$78-Calculations!$AM$77)/((1+((AD78/Calculations!$AM$79)^Calculations!$AM$80))^Calculations!$AM$81)</f>
        <v>#N/A</v>
      </c>
      <c r="AF78" s="59" t="e">
        <f t="shared" si="18"/>
        <v>#N/A</v>
      </c>
      <c r="AG78" s="57" t="e">
        <f>Calculations!$AN$77+(Calculations!$AN$78-Calculations!$AN$77)/((1+((AF78/Calculations!$AN$79)^Calculations!$AN$80))^Calculations!$AN$81)</f>
        <v>#N/A</v>
      </c>
      <c r="AI78" s="738" t="s">
        <v>203</v>
      </c>
      <c r="AJ78" s="738"/>
      <c r="AK78" s="738"/>
      <c r="AL78" s="57">
        <f>IF(BioScale_Internal!N28,10^VLOOKUP("Parameter 2",F118:K122,H124+2),NA())</f>
        <v>2.877825527388977</v>
      </c>
      <c r="AM78" s="57">
        <f>IF(BioScale_Internal!N28,10^VLOOKUP("Parameter 2",T118:Y123,V124+2),NA())</f>
        <v>1</v>
      </c>
      <c r="AN78" s="57">
        <f>IF(BioScale_Internal!N28,10^VLOOKUP("Parameter 2",AH118:AM123,AJ124+2),NA())</f>
        <v>1</v>
      </c>
    </row>
    <row r="79" spans="16:40" x14ac:dyDescent="0.25">
      <c r="X79" s="30"/>
      <c r="AA79" s="44">
        <v>16</v>
      </c>
      <c r="AB79" s="59">
        <f t="shared" si="16"/>
        <v>93.200467284300132</v>
      </c>
      <c r="AC79" s="57">
        <f>Calculations!$AL$77+(Calculations!$AL$78-Calculations!$AL$77)/((1+((AB79/Calculations!$AL$79)^Calculations!$AL$80))^Calculations!$AL$81)</f>
        <v>0.64475053039574826</v>
      </c>
      <c r="AD79" s="59" t="e">
        <f t="shared" si="17"/>
        <v>#N/A</v>
      </c>
      <c r="AE79" s="57" t="e">
        <f>Calculations!$AM$77+(Calculations!$AM$78-Calculations!$AM$77)/((1+((AD79/Calculations!$AM$79)^Calculations!$AM$80))^Calculations!$AM$81)</f>
        <v>#N/A</v>
      </c>
      <c r="AF79" s="59" t="e">
        <f t="shared" si="18"/>
        <v>#N/A</v>
      </c>
      <c r="AG79" s="57" t="e">
        <f>Calculations!$AN$77+(Calculations!$AN$78-Calculations!$AN$77)/((1+((AF79/Calculations!$AN$79)^Calculations!$AN$80))^Calculations!$AN$81)</f>
        <v>#N/A</v>
      </c>
      <c r="AI79" s="738" t="s">
        <v>199</v>
      </c>
      <c r="AJ79" s="738"/>
      <c r="AK79" s="738"/>
      <c r="AL79" s="57">
        <f>IF(BioScale_Internal!N28,10^VLOOKUP("Parameter 3",F118:K122,H124+2),NA())</f>
        <v>398.1737397023889</v>
      </c>
      <c r="AM79" s="57">
        <f>IF(BioScale_Internal!N28,10^VLOOKUP("Parameter 3",T118:Y123,V124+2),NA())</f>
        <v>1</v>
      </c>
      <c r="AN79" s="57">
        <f>IF(BioScale_Internal!N28,10^VLOOKUP("Parameter 3",AH118:AM123,AJ124+2),NA())</f>
        <v>1</v>
      </c>
    </row>
    <row r="80" spans="16:40" x14ac:dyDescent="0.25">
      <c r="X80" s="30"/>
      <c r="AA80" s="44">
        <v>17</v>
      </c>
      <c r="AB80" s="59">
        <f t="shared" si="16"/>
        <v>121.31854440154372</v>
      </c>
      <c r="AC80" s="57">
        <f>Calculations!$AL$77+(Calculations!$AL$78-Calculations!$AL$77)/((1+((AB80/Calculations!$AL$79)^Calculations!$AL$80))^Calculations!$AL$81)</f>
        <v>0.82564153522385209</v>
      </c>
      <c r="AD80" s="59" t="e">
        <f t="shared" si="17"/>
        <v>#N/A</v>
      </c>
      <c r="AE80" s="57" t="e">
        <f>Calculations!$AM$77+(Calculations!$AM$78-Calculations!$AM$77)/((1+((AD80/Calculations!$AM$79)^Calculations!$AM$80))^Calculations!$AM$81)</f>
        <v>#N/A</v>
      </c>
      <c r="AF80" s="59" t="e">
        <f t="shared" si="18"/>
        <v>#N/A</v>
      </c>
      <c r="AG80" s="57" t="e">
        <f>Calculations!$AN$77+(Calculations!$AN$78-Calculations!$AN$77)/((1+((AF80/Calculations!$AN$79)^Calculations!$AN$80))^Calculations!$AN$81)</f>
        <v>#N/A</v>
      </c>
      <c r="AI80" s="738" t="s">
        <v>198</v>
      </c>
      <c r="AJ80" s="738"/>
      <c r="AK80" s="738"/>
      <c r="AL80" s="57">
        <f>IF(BioScale_Internal!N28,VLOOKUP("Parameter 4",F118:K122,H124+2),NA())</f>
        <v>-1.997093107690614</v>
      </c>
      <c r="AM80" s="57">
        <f>IF(BioScale_Internal!N28,VLOOKUP("Parameter 4",T118:Y123,V124+2),NA())</f>
        <v>0</v>
      </c>
      <c r="AN80" s="57">
        <f>IF(BioScale_Internal!N28,VLOOKUP("Parameter 4",AH118:AM123,AJ124+2),NA())</f>
        <v>0</v>
      </c>
    </row>
    <row r="81" spans="1:40" x14ac:dyDescent="0.25">
      <c r="X81" s="30"/>
      <c r="AA81" s="44">
        <v>18</v>
      </c>
      <c r="AB81" s="59">
        <f t="shared" si="16"/>
        <v>157.9196933724885</v>
      </c>
      <c r="AC81" s="57">
        <f>Calculations!$AL$77+(Calculations!$AL$78-Calculations!$AL$77)/((1+((AB81/Calculations!$AL$79)^Calculations!$AL$80))^Calculations!$AL$81)</f>
        <v>1.0464322216120718</v>
      </c>
      <c r="AD81" s="59" t="e">
        <f t="shared" si="17"/>
        <v>#N/A</v>
      </c>
      <c r="AE81" s="57" t="e">
        <f>Calculations!$AM$77+(Calculations!$AM$78-Calculations!$AM$77)/((1+((AD81/Calculations!$AM$79)^Calculations!$AM$80))^Calculations!$AM$81)</f>
        <v>#N/A</v>
      </c>
      <c r="AF81" s="59" t="e">
        <f t="shared" si="18"/>
        <v>#N/A</v>
      </c>
      <c r="AG81" s="57" t="e">
        <f>Calculations!$AN$77+(Calculations!$AN$78-Calculations!$AN$77)/((1+((AF81/Calculations!$AN$79)^Calculations!$AN$80))^Calculations!$AN$81)</f>
        <v>#N/A</v>
      </c>
      <c r="AI81" s="768" t="s">
        <v>201</v>
      </c>
      <c r="AJ81" s="768"/>
      <c r="AK81" s="768"/>
      <c r="AL81" s="57">
        <f>IF(BioScale_Internal!N28,10^VLOOKUP("Parameter 5",F118:K122,H124+2),NA())</f>
        <v>0.5105471375006132</v>
      </c>
      <c r="AM81" s="57">
        <f>IF(BioScale_Internal!N28,10^VLOOKUP("Parameter 5",T118:Y123,V124+2),NA())</f>
        <v>1</v>
      </c>
      <c r="AN81" s="57">
        <f>IF(BioScale_Internal!N28,10^VLOOKUP("Parameter 5",AH118:AM123,AJ124+2),NA())</f>
        <v>1</v>
      </c>
    </row>
    <row r="82" spans="1:40" x14ac:dyDescent="0.25">
      <c r="X82" s="30"/>
      <c r="AA82" s="44">
        <v>19</v>
      </c>
      <c r="AB82" s="59">
        <f t="shared" si="16"/>
        <v>205.56321111402551</v>
      </c>
      <c r="AC82" s="57">
        <f>Calculations!$AL$77+(Calculations!$AL$78-Calculations!$AL$77)/((1+((AB82/Calculations!$AL$79)^Calculations!$AL$80))^Calculations!$AL$81)</f>
        <v>1.3050817339015153</v>
      </c>
      <c r="AD82" s="59" t="e">
        <f t="shared" si="17"/>
        <v>#N/A</v>
      </c>
      <c r="AE82" s="57" t="e">
        <f>Calculations!$AM$77+(Calculations!$AM$78-Calculations!$AM$77)/((1+((AD82/Calculations!$AM$79)^Calculations!$AM$80))^Calculations!$AM$81)</f>
        <v>#N/A</v>
      </c>
      <c r="AF82" s="59" t="e">
        <f t="shared" si="18"/>
        <v>#N/A</v>
      </c>
      <c r="AG82" s="57" t="e">
        <f>Calculations!$AN$77+(Calculations!$AN$78-Calculations!$AN$77)/((1+((AF82/Calculations!$AN$79)^Calculations!$AN$80))^Calculations!$AN$81)</f>
        <v>#N/A</v>
      </c>
      <c r="AI82" s="746" t="s">
        <v>409</v>
      </c>
      <c r="AJ82" s="746"/>
      <c r="AK82" s="746"/>
      <c r="AL82" s="57">
        <f>IF(BioScale_Internal!N28,C119,NA())</f>
        <v>1.8742513597752104E-2</v>
      </c>
      <c r="AM82" s="57" t="e">
        <f>IF(BioScale_Internal!N28,Q119,NA())</f>
        <v>#NUM!</v>
      </c>
      <c r="AN82" s="57" t="e">
        <f>IF(BioScale_Internal!N28,AE119,NA())</f>
        <v>#NUM!</v>
      </c>
    </row>
    <row r="83" spans="1:40" x14ac:dyDescent="0.25">
      <c r="X83" s="30"/>
      <c r="AA83" s="44">
        <v>20</v>
      </c>
      <c r="AB83" s="59">
        <f t="shared" si="16"/>
        <v>267.58052058674372</v>
      </c>
      <c r="AC83" s="57">
        <f>Calculations!$AL$77+(Calculations!$AL$78-Calculations!$AL$77)/((1+((AB83/Calculations!$AL$79)^Calculations!$AL$80))^Calculations!$AL$81)</f>
        <v>1.590613462308939</v>
      </c>
      <c r="AD83" s="59" t="e">
        <f t="shared" si="17"/>
        <v>#N/A</v>
      </c>
      <c r="AE83" s="57" t="e">
        <f>Calculations!$AM$77+(Calculations!$AM$78-Calculations!$AM$77)/((1+((AD83/Calculations!$AM$79)^Calculations!$AM$80))^Calculations!$AM$81)</f>
        <v>#N/A</v>
      </c>
      <c r="AF83" s="59" t="e">
        <f t="shared" si="18"/>
        <v>#N/A</v>
      </c>
      <c r="AG83" s="57" t="e">
        <f>Calculations!$AN$77+(Calculations!$AN$78-Calculations!$AN$77)/((1+((AF83/Calculations!$AN$79)^Calculations!$AN$80))^Calculations!$AN$81)</f>
        <v>#N/A</v>
      </c>
      <c r="AI83" s="746" t="s">
        <v>410</v>
      </c>
      <c r="AJ83" s="746"/>
      <c r="AK83" s="746"/>
      <c r="AL83" s="57">
        <f>IF(BioScale_Internal!N28,C120,NA())</f>
        <v>2.6697462797913998</v>
      </c>
      <c r="AM83" s="57" t="e">
        <f>IF(BioScale_Internal!N28,Q120,NA())</f>
        <v>#NUM!</v>
      </c>
      <c r="AN83" s="57" t="e">
        <f>IF(BioScale_Internal!N28,AE120,NA())</f>
        <v>#NUM!</v>
      </c>
    </row>
    <row r="84" spans="1:40" x14ac:dyDescent="0.25">
      <c r="X84" s="30"/>
      <c r="AA84" s="44">
        <v>21</v>
      </c>
      <c r="AB84" s="59">
        <f t="shared" si="16"/>
        <v>348.30811704802949</v>
      </c>
      <c r="AC84" s="57">
        <f>Calculations!$AL$77+(Calculations!$AL$78-Calculations!$AL$77)/((1+((AB84/Calculations!$AL$79)^Calculations!$AL$80))^Calculations!$AL$81)</f>
        <v>1.8817913250475999</v>
      </c>
      <c r="AD84" s="59" t="e">
        <f t="shared" si="17"/>
        <v>#N/A</v>
      </c>
      <c r="AE84" s="57" t="e">
        <f>Calculations!$AM$77+(Calculations!$AM$78-Calculations!$AM$77)/((1+((AD84/Calculations!$AM$79)^Calculations!$AM$80))^Calculations!$AM$81)</f>
        <v>#N/A</v>
      </c>
      <c r="AF84" s="59" t="e">
        <f t="shared" si="18"/>
        <v>#N/A</v>
      </c>
      <c r="AG84" s="57" t="e">
        <f>Calculations!$AN$77+(Calculations!$AN$78-Calculations!$AN$77)/((1+((AF84/Calculations!$AN$79)^Calculations!$AN$80))^Calculations!$AN$81)</f>
        <v>#N/A</v>
      </c>
    </row>
    <row r="85" spans="1:40" x14ac:dyDescent="0.25">
      <c r="X85" s="30"/>
      <c r="AA85" s="44">
        <v>22</v>
      </c>
      <c r="AB85" s="59">
        <f t="shared" si="16"/>
        <v>453.39079293036576</v>
      </c>
      <c r="AC85" s="57">
        <f>Calculations!$AL$77+(Calculations!$AL$78-Calculations!$AL$77)/((1+((AB85/Calculations!$AL$79)^Calculations!$AL$80))^Calculations!$AL$81)</f>
        <v>2.1516655143588599</v>
      </c>
      <c r="AD85" s="59" t="e">
        <f t="shared" si="17"/>
        <v>#N/A</v>
      </c>
      <c r="AE85" s="57" t="e">
        <f>Calculations!$AM$77+(Calculations!$AM$78-Calculations!$AM$77)/((1+((AD85/Calculations!$AM$79)^Calculations!$AM$80))^Calculations!$AM$81)</f>
        <v>#N/A</v>
      </c>
      <c r="AF85" s="59" t="e">
        <f t="shared" si="18"/>
        <v>#N/A</v>
      </c>
      <c r="AG85" s="57" t="e">
        <f>Calculations!$AN$77+(Calculations!$AN$78-Calculations!$AN$77)/((1+((AF85/Calculations!$AN$79)^Calculations!$AN$80))^Calculations!$AN$81)</f>
        <v>#N/A</v>
      </c>
    </row>
    <row r="86" spans="1:40" x14ac:dyDescent="0.25">
      <c r="A86" s="8" t="s">
        <v>43</v>
      </c>
      <c r="B86" s="8" t="s">
        <v>44</v>
      </c>
      <c r="C86" s="8"/>
      <c r="X86" s="30"/>
      <c r="AA86" s="44">
        <v>23</v>
      </c>
      <c r="AB86" s="59">
        <f t="shared" si="16"/>
        <v>590.17634402611338</v>
      </c>
      <c r="AC86" s="57">
        <f>Calculations!$AL$77+(Calculations!$AL$78-Calculations!$AL$77)/((1+((AB86/Calculations!$AL$79)^Calculations!$AL$80))^Calculations!$AL$81)</f>
        <v>2.3775208161414758</v>
      </c>
      <c r="AD86" s="59" t="e">
        <f t="shared" si="17"/>
        <v>#N/A</v>
      </c>
      <c r="AE86" s="57" t="e">
        <f>Calculations!$AM$77+(Calculations!$AM$78-Calculations!$AM$77)/((1+((AD86/Calculations!$AM$79)^Calculations!$AM$80))^Calculations!$AM$81)</f>
        <v>#N/A</v>
      </c>
      <c r="AF86" s="59" t="e">
        <f t="shared" si="18"/>
        <v>#N/A</v>
      </c>
      <c r="AG86" s="57" t="e">
        <f>Calculations!$AN$77+(Calculations!$AN$78-Calculations!$AN$77)/((1+((AF86/Calculations!$AN$79)^Calculations!$AN$80))^Calculations!$AN$81)</f>
        <v>#N/A</v>
      </c>
    </row>
    <row r="87" spans="1:40" x14ac:dyDescent="0.25">
      <c r="A87" s="8"/>
      <c r="B87" s="8" t="s">
        <v>53</v>
      </c>
      <c r="C87" s="8"/>
      <c r="X87" s="30"/>
      <c r="AA87" s="44">
        <v>24</v>
      </c>
      <c r="AB87" s="59">
        <f t="shared" si="16"/>
        <v>768.22935639437378</v>
      </c>
      <c r="AC87" s="57">
        <f>Calculations!$AL$77+(Calculations!$AL$78-Calculations!$AL$77)/((1+((AB87/Calculations!$AL$79)^Calculations!$AL$80))^Calculations!$AL$81)</f>
        <v>2.5492338838923123</v>
      </c>
      <c r="AD87" s="59" t="e">
        <f t="shared" si="17"/>
        <v>#N/A</v>
      </c>
      <c r="AE87" s="57" t="e">
        <f>Calculations!$AM$77+(Calculations!$AM$78-Calculations!$AM$77)/((1+((AD87/Calculations!$AM$79)^Calculations!$AM$80))^Calculations!$AM$81)</f>
        <v>#N/A</v>
      </c>
      <c r="AF87" s="59" t="e">
        <f t="shared" si="18"/>
        <v>#N/A</v>
      </c>
      <c r="AG87" s="57" t="e">
        <f>Calculations!$AN$77+(Calculations!$AN$78-Calculations!$AN$77)/((1+((AF87/Calculations!$AN$79)^Calculations!$AN$80))^Calculations!$AN$81)</f>
        <v>#N/A</v>
      </c>
    </row>
    <row r="88" spans="1:40" x14ac:dyDescent="0.25">
      <c r="A88" s="8"/>
      <c r="B88" s="8" t="s">
        <v>116</v>
      </c>
      <c r="C88" s="8"/>
      <c r="X88" s="30"/>
      <c r="AA88" s="44">
        <v>25</v>
      </c>
      <c r="AB88" s="59">
        <f t="shared" si="16"/>
        <v>1000</v>
      </c>
      <c r="AC88" s="57">
        <f>Calculations!$AL$77+(Calculations!$AL$78-Calculations!$AL$77)/((1+((AB88/Calculations!$AL$79)^Calculations!$AL$80))^Calculations!$AL$81)</f>
        <v>2.6697462797913998</v>
      </c>
      <c r="AD88" s="59" t="e">
        <f t="shared" si="17"/>
        <v>#N/A</v>
      </c>
      <c r="AE88" s="57" t="e">
        <f>Calculations!$AM$77+(Calculations!$AM$78-Calculations!$AM$77)/((1+((AD88/Calculations!$AM$79)^Calculations!$AM$80))^Calculations!$AM$81)</f>
        <v>#N/A</v>
      </c>
      <c r="AF88" s="59" t="e">
        <f t="shared" si="18"/>
        <v>#N/A</v>
      </c>
      <c r="AG88" s="57" t="e">
        <f>Calculations!$AN$77+(Calculations!$AN$78-Calculations!$AN$77)/((1+((AF88/Calculations!$AN$79)^Calculations!$AN$80))^Calculations!$AN$81)</f>
        <v>#N/A</v>
      </c>
    </row>
    <row r="89" spans="1:40" x14ac:dyDescent="0.25">
      <c r="A89" s="8"/>
      <c r="B89" s="8" t="s">
        <v>197</v>
      </c>
      <c r="C89" s="8"/>
      <c r="X89" s="30"/>
      <c r="Y89" s="30"/>
      <c r="Z89" s="30"/>
      <c r="AA89" s="30"/>
    </row>
    <row r="90" spans="1:40" hidden="1" x14ac:dyDescent="0.25"/>
    <row r="91" spans="1:40" ht="15.75" hidden="1" x14ac:dyDescent="0.25">
      <c r="A91" s="760" t="s">
        <v>220</v>
      </c>
      <c r="B91" s="760"/>
      <c r="C91" s="760"/>
      <c r="D91" s="760"/>
      <c r="E91" s="760"/>
      <c r="F91" s="760"/>
      <c r="G91" s="760"/>
      <c r="H91" s="760"/>
      <c r="I91" s="760"/>
      <c r="J91" s="760"/>
      <c r="K91" s="760"/>
      <c r="L91" s="760"/>
      <c r="O91" s="760" t="s">
        <v>220</v>
      </c>
      <c r="P91" s="760"/>
      <c r="Q91" s="760"/>
      <c r="R91" s="760"/>
      <c r="S91" s="760"/>
      <c r="T91" s="760"/>
      <c r="U91" s="760"/>
      <c r="V91" s="760"/>
      <c r="W91" s="760"/>
      <c r="X91" s="760"/>
      <c r="Y91" s="760"/>
      <c r="Z91" s="760"/>
      <c r="AC91" s="760" t="s">
        <v>220</v>
      </c>
      <c r="AD91" s="760"/>
      <c r="AE91" s="760"/>
      <c r="AF91" s="760"/>
      <c r="AG91" s="760"/>
      <c r="AH91" s="760"/>
      <c r="AI91" s="760"/>
      <c r="AJ91" s="760"/>
      <c r="AK91" s="760"/>
      <c r="AL91" s="760"/>
      <c r="AM91" s="760"/>
      <c r="AN91" s="760"/>
    </row>
    <row r="92" spans="1:40" hidden="1" x14ac:dyDescent="0.25">
      <c r="A92" s="65" t="s">
        <v>42</v>
      </c>
      <c r="B92" s="24" t="s">
        <v>181</v>
      </c>
      <c r="C92" s="24" t="s">
        <v>182</v>
      </c>
      <c r="D92" s="24" t="s">
        <v>183</v>
      </c>
      <c r="E92" s="24" t="s">
        <v>184</v>
      </c>
      <c r="F92" s="24" t="s">
        <v>185</v>
      </c>
      <c r="G92" s="24" t="s">
        <v>186</v>
      </c>
      <c r="H92" s="24" t="s">
        <v>187</v>
      </c>
      <c r="I92" s="24" t="s">
        <v>188</v>
      </c>
      <c r="J92" s="24" t="s">
        <v>189</v>
      </c>
      <c r="K92" s="24" t="s">
        <v>190</v>
      </c>
      <c r="L92" s="13" t="s">
        <v>193</v>
      </c>
      <c r="O92" s="47" t="s">
        <v>42</v>
      </c>
      <c r="P92" s="9" t="s">
        <v>181</v>
      </c>
      <c r="Q92" s="9" t="s">
        <v>182</v>
      </c>
      <c r="R92" s="9" t="s">
        <v>183</v>
      </c>
      <c r="S92" s="9" t="s">
        <v>184</v>
      </c>
      <c r="T92" s="9" t="s">
        <v>185</v>
      </c>
      <c r="U92" s="9" t="s">
        <v>186</v>
      </c>
      <c r="V92" s="9" t="s">
        <v>187</v>
      </c>
      <c r="W92" s="9" t="s">
        <v>188</v>
      </c>
      <c r="X92" s="9" t="s">
        <v>189</v>
      </c>
      <c r="Y92" s="9" t="s">
        <v>190</v>
      </c>
      <c r="Z92" s="13" t="s">
        <v>193</v>
      </c>
      <c r="AC92" s="47" t="s">
        <v>42</v>
      </c>
      <c r="AD92" s="9" t="s">
        <v>181</v>
      </c>
      <c r="AE92" s="9" t="s">
        <v>182</v>
      </c>
      <c r="AF92" s="9" t="s">
        <v>183</v>
      </c>
      <c r="AG92" s="9" t="s">
        <v>184</v>
      </c>
      <c r="AH92" s="9" t="s">
        <v>185</v>
      </c>
      <c r="AI92" s="9" t="s">
        <v>186</v>
      </c>
      <c r="AJ92" s="9" t="s">
        <v>187</v>
      </c>
      <c r="AK92" s="9" t="s">
        <v>188</v>
      </c>
      <c r="AL92" s="9" t="s">
        <v>189</v>
      </c>
      <c r="AM92" s="9" t="s">
        <v>190</v>
      </c>
      <c r="AN92" s="13" t="s">
        <v>193</v>
      </c>
    </row>
    <row r="93" spans="1:40" hidden="1" x14ac:dyDescent="0.25">
      <c r="A93" s="6" t="s">
        <v>29</v>
      </c>
      <c r="B93" s="61">
        <f t="shared" ref="B93:K93" si="19">IF(ISBLANK(B44),"",ABS((10^$C$111+(10^$C$112-10^$C$111)/((1+(($Q63/(10^$C$113))^$C$114))^(10^$C$115)))-B44)/IF(ProtocolName="ABQuantAssay",ABS((10^$C$111+(10^$C$112-10^$C$111)/((1+(($Q63/(10^$C$113))^$C$114))^(10^$C$115)))),1)*100)</f>
        <v>0.22929659628942151</v>
      </c>
      <c r="C93" s="61">
        <f t="shared" si="19"/>
        <v>0.67224590434651821</v>
      </c>
      <c r="D93" s="61">
        <f t="shared" si="19"/>
        <v>1.8445602432621511</v>
      </c>
      <c r="E93" s="61">
        <f t="shared" si="19"/>
        <v>0.37173173746787169</v>
      </c>
      <c r="F93" s="61" t="str">
        <f t="shared" si="19"/>
        <v/>
      </c>
      <c r="G93" s="61" t="str">
        <f t="shared" si="19"/>
        <v/>
      </c>
      <c r="H93" s="61" t="str">
        <f t="shared" si="19"/>
        <v/>
      </c>
      <c r="I93" s="61" t="str">
        <f t="shared" si="19"/>
        <v/>
      </c>
      <c r="J93" s="61" t="str">
        <f t="shared" si="19"/>
        <v/>
      </c>
      <c r="K93" s="61" t="str">
        <f t="shared" si="19"/>
        <v/>
      </c>
      <c r="L93" s="7">
        <f ca="1">COUNTIF(INDIRECT("'Sample Setup'!R27C"&amp;1+'Sample Setup'!$O$5,0):INDIRECT("'Sample Setup'!R34C"&amp;1+'Sample Setup'!$Q$5,0),A93)</f>
        <v>4</v>
      </c>
      <c r="O93" s="6" t="s">
        <v>29</v>
      </c>
      <c r="P93" s="61" t="str">
        <f t="shared" ref="P93:Y93" si="20">IF(ISBLANK(P44),"",ABS((10^$Q$111+(10^$Q$112-10^$Q$111)/((1+(($T63/(10^$Q$113))^$Q$114))^(10^$Q$115)))-P44)/IF(ProtocolName="ABQuantAssay",ABS((10^$Q$111+(10^$Q$112-10^$Q$111)/((1+(($T63/(10^$Q$113))^$Q$114))^(10^$Q$115)))),1)*100)</f>
        <v/>
      </c>
      <c r="Q93" s="61" t="str">
        <f t="shared" si="20"/>
        <v/>
      </c>
      <c r="R93" s="61" t="str">
        <f t="shared" si="20"/>
        <v/>
      </c>
      <c r="S93" s="61" t="str">
        <f t="shared" si="20"/>
        <v/>
      </c>
      <c r="T93" s="61" t="str">
        <f t="shared" si="20"/>
        <v/>
      </c>
      <c r="U93" s="61" t="str">
        <f t="shared" si="20"/>
        <v/>
      </c>
      <c r="V93" s="61" t="str">
        <f t="shared" si="20"/>
        <v/>
      </c>
      <c r="W93" s="61" t="str">
        <f t="shared" si="20"/>
        <v/>
      </c>
      <c r="X93" s="61" t="str">
        <f t="shared" si="20"/>
        <v/>
      </c>
      <c r="Y93" s="61" t="str">
        <f t="shared" si="20"/>
        <v/>
      </c>
      <c r="Z93" s="7">
        <f ca="1">COUNTIF(INDIRECT("'Sample Setup'!R27C"&amp;1+'Sample Setup'!$O$6,0):INDIRECT("'Sample Setup'!R34C"&amp;1+'Sample Setup'!$Q$6,0),O93)</f>
        <v>0</v>
      </c>
      <c r="AC93" s="6" t="s">
        <v>29</v>
      </c>
      <c r="AD93" s="61" t="str">
        <f t="shared" ref="AD93:AM93" si="21">IF(ISBLANK(AD44),"",ABS((10^$AE$111+(10^$AE$112-10^$AE$111)/((1+(($W63/(10^$AE$113))^$AE$114))^(10^$AE$115)))-AD44)/IF(ProtocolName="ABQuantAssay",ABS((10^$AE$111+(10^$AE$112-10^$AE$111)/((1+(($W63/(10^$AE$113))^$AE$114))^(10^$AE$115)))),1)*100)</f>
        <v/>
      </c>
      <c r="AE93" s="61" t="str">
        <f t="shared" si="21"/>
        <v/>
      </c>
      <c r="AF93" s="61" t="str">
        <f t="shared" si="21"/>
        <v/>
      </c>
      <c r="AG93" s="61" t="str">
        <f t="shared" si="21"/>
        <v/>
      </c>
      <c r="AH93" s="61" t="str">
        <f t="shared" si="21"/>
        <v/>
      </c>
      <c r="AI93" s="61" t="str">
        <f t="shared" si="21"/>
        <v/>
      </c>
      <c r="AJ93" s="61" t="str">
        <f t="shared" si="21"/>
        <v/>
      </c>
      <c r="AK93" s="61" t="str">
        <f t="shared" si="21"/>
        <v/>
      </c>
      <c r="AL93" s="61" t="str">
        <f t="shared" si="21"/>
        <v/>
      </c>
      <c r="AM93" s="61" t="str">
        <f t="shared" si="21"/>
        <v/>
      </c>
      <c r="AN93" s="7">
        <f ca="1">COUNTIF(INDIRECT("'Sample Setup'!R27C"&amp;1+'Sample Setup'!$O$7,0):INDIRECT("'Sample Setup'!R34C"&amp;1+'Sample Setup'!$Q$7,0),AC93)</f>
        <v>0</v>
      </c>
    </row>
    <row r="94" spans="1:40" hidden="1" x14ac:dyDescent="0.25">
      <c r="A94" s="6" t="s">
        <v>30</v>
      </c>
      <c r="B94" s="61">
        <f t="shared" ref="B94:K94" si="22">IF(ISBLANK(B45),"",ABS((10^$C$111+(10^$C$112-10^$C$111)/((1+(($Q64/(10^$C$113))^$C$114))^(10^$C$115)))-B45)/IF(ProtocolName="ABQuantAssay",ABS((10^$C$111+(10^$C$112-10^$C$111)/((1+(($Q64/(10^$C$113))^$C$114))^(10^$C$115)))),1)*100)</f>
        <v>0.25974479445804727</v>
      </c>
      <c r="C94" s="61">
        <f t="shared" si="22"/>
        <v>2.3365573694800057</v>
      </c>
      <c r="D94" s="61">
        <f t="shared" si="22"/>
        <v>6.5132279806602352E-3</v>
      </c>
      <c r="E94" s="61">
        <f t="shared" si="22"/>
        <v>3.9341055041122863</v>
      </c>
      <c r="F94" s="61" t="str">
        <f t="shared" si="22"/>
        <v/>
      </c>
      <c r="G94" s="61" t="str">
        <f t="shared" si="22"/>
        <v/>
      </c>
      <c r="H94" s="61" t="str">
        <f t="shared" si="22"/>
        <v/>
      </c>
      <c r="I94" s="61" t="str">
        <f t="shared" si="22"/>
        <v/>
      </c>
      <c r="J94" s="61" t="str">
        <f t="shared" si="22"/>
        <v/>
      </c>
      <c r="K94" s="61" t="str">
        <f t="shared" si="22"/>
        <v/>
      </c>
      <c r="L94" s="7">
        <f ca="1">COUNTIF(INDIRECT("'Sample Setup'!R27C"&amp;1+'Sample Setup'!$O$5,0):INDIRECT("'Sample Setup'!R34C"&amp;1+'Sample Setup'!$Q$5,0),A94)</f>
        <v>4</v>
      </c>
      <c r="O94" s="6" t="s">
        <v>30</v>
      </c>
      <c r="P94" s="61" t="str">
        <f t="shared" ref="P94:Y94" si="23">IF(ISBLANK(P45),"",ABS((10^$Q$111+(10^$Q$112-10^$Q$111)/((1+(($T64/(10^$Q$113))^$Q$114))^(10^$Q$115)))-P45)/IF(ProtocolName="ABQuantAssay",ABS((10^$Q$111+(10^$Q$112-10^$Q$111)/((1+(($T64/(10^$Q$113))^$Q$114))^(10^$Q$115)))),1)*100)</f>
        <v/>
      </c>
      <c r="Q94" s="61" t="str">
        <f t="shared" si="23"/>
        <v/>
      </c>
      <c r="R94" s="61" t="str">
        <f t="shared" si="23"/>
        <v/>
      </c>
      <c r="S94" s="61" t="str">
        <f t="shared" si="23"/>
        <v/>
      </c>
      <c r="T94" s="61" t="str">
        <f t="shared" si="23"/>
        <v/>
      </c>
      <c r="U94" s="61" t="str">
        <f t="shared" si="23"/>
        <v/>
      </c>
      <c r="V94" s="61" t="str">
        <f t="shared" si="23"/>
        <v/>
      </c>
      <c r="W94" s="61" t="str">
        <f t="shared" si="23"/>
        <v/>
      </c>
      <c r="X94" s="61" t="str">
        <f t="shared" si="23"/>
        <v/>
      </c>
      <c r="Y94" s="61" t="str">
        <f t="shared" si="23"/>
        <v/>
      </c>
      <c r="Z94" s="7">
        <f ca="1">COUNTIF(INDIRECT("'Sample Setup'!R27C"&amp;1+'Sample Setup'!$O$6,0):INDIRECT("'Sample Setup'!R34C"&amp;1+'Sample Setup'!$Q$6,0),O94)</f>
        <v>0</v>
      </c>
      <c r="AC94" s="6" t="s">
        <v>30</v>
      </c>
      <c r="AD94" s="61" t="str">
        <f t="shared" ref="AD94:AM94" si="24">IF(ISBLANK(AD45),"",ABS((10^$AE$111+(10^$AE$112-10^$AE$111)/((1+(($W64/(10^$AE$113))^$AE$114))^(10^$AE$115)))-AD45)/IF(ProtocolName="ABQuantAssay",ABS((10^$AE$111+(10^$AE$112-10^$AE$111)/((1+(($W64/(10^$AE$113))^$AE$114))^(10^$AE$115)))),1)*100)</f>
        <v/>
      </c>
      <c r="AE94" s="61" t="str">
        <f t="shared" si="24"/>
        <v/>
      </c>
      <c r="AF94" s="61" t="str">
        <f t="shared" si="24"/>
        <v/>
      </c>
      <c r="AG94" s="61" t="str">
        <f t="shared" si="24"/>
        <v/>
      </c>
      <c r="AH94" s="61" t="str">
        <f t="shared" si="24"/>
        <v/>
      </c>
      <c r="AI94" s="61" t="str">
        <f t="shared" si="24"/>
        <v/>
      </c>
      <c r="AJ94" s="61" t="str">
        <f t="shared" si="24"/>
        <v/>
      </c>
      <c r="AK94" s="61" t="str">
        <f t="shared" si="24"/>
        <v/>
      </c>
      <c r="AL94" s="61" t="str">
        <f t="shared" si="24"/>
        <v/>
      </c>
      <c r="AM94" s="61" t="str">
        <f t="shared" si="24"/>
        <v/>
      </c>
      <c r="AN94" s="7">
        <f ca="1">COUNTIF(INDIRECT("'Sample Setup'!R27C"&amp;1+'Sample Setup'!$O$7,0):INDIRECT("'Sample Setup'!R34C"&amp;1+'Sample Setup'!$Q$7,0),AC94)</f>
        <v>0</v>
      </c>
    </row>
    <row r="95" spans="1:40" hidden="1" x14ac:dyDescent="0.25">
      <c r="A95" s="6" t="s">
        <v>31</v>
      </c>
      <c r="B95" s="61">
        <f t="shared" ref="B95:K95" si="25">IF(ISBLANK(B46),"",ABS((10^$C$111+(10^$C$112-10^$C$111)/((1+(($Q65/(10^$C$113))^$C$114))^(10^$C$115)))-B46)/IF(ProtocolName="ABQuantAssay",ABS((10^$C$111+(10^$C$112-10^$C$111)/((1+(($Q65/(10^$C$113))^$C$114))^(10^$C$115)))),1)*100)</f>
        <v>1.2152444839713994</v>
      </c>
      <c r="C95" s="61">
        <f t="shared" si="25"/>
        <v>2.3225015813409229</v>
      </c>
      <c r="D95" s="61">
        <f t="shared" si="25"/>
        <v>3.5471059885644189</v>
      </c>
      <c r="E95" s="61">
        <f t="shared" si="25"/>
        <v>0.2627743894642357</v>
      </c>
      <c r="F95" s="61" t="str">
        <f t="shared" si="25"/>
        <v/>
      </c>
      <c r="G95" s="61" t="str">
        <f t="shared" si="25"/>
        <v/>
      </c>
      <c r="H95" s="61" t="str">
        <f t="shared" si="25"/>
        <v/>
      </c>
      <c r="I95" s="61" t="str">
        <f t="shared" si="25"/>
        <v/>
      </c>
      <c r="J95" s="61" t="str">
        <f t="shared" si="25"/>
        <v/>
      </c>
      <c r="K95" s="61" t="str">
        <f t="shared" si="25"/>
        <v/>
      </c>
      <c r="L95" s="7">
        <f ca="1">COUNTIF(INDIRECT("'Sample Setup'!R27C"&amp;1+'Sample Setup'!$O$5,0):INDIRECT("'Sample Setup'!R34C"&amp;1+'Sample Setup'!$Q$5,0),A95)</f>
        <v>4</v>
      </c>
      <c r="O95" s="6" t="s">
        <v>31</v>
      </c>
      <c r="P95" s="61" t="str">
        <f t="shared" ref="P95:Y95" si="26">IF(ISBLANK(P46),"",ABS((10^$Q$111+(10^$Q$112-10^$Q$111)/((1+(($T65/(10^$Q$113))^$Q$114))^(10^$Q$115)))-P46)/IF(ProtocolName="ABQuantAssay",ABS((10^$Q$111+(10^$Q$112-10^$Q$111)/((1+(($T65/(10^$Q$113))^$Q$114))^(10^$Q$115)))),1)*100)</f>
        <v/>
      </c>
      <c r="Q95" s="61" t="str">
        <f t="shared" si="26"/>
        <v/>
      </c>
      <c r="R95" s="61" t="str">
        <f t="shared" si="26"/>
        <v/>
      </c>
      <c r="S95" s="61" t="str">
        <f t="shared" si="26"/>
        <v/>
      </c>
      <c r="T95" s="61" t="str">
        <f t="shared" si="26"/>
        <v/>
      </c>
      <c r="U95" s="61" t="str">
        <f t="shared" si="26"/>
        <v/>
      </c>
      <c r="V95" s="61" t="str">
        <f t="shared" si="26"/>
        <v/>
      </c>
      <c r="W95" s="61" t="str">
        <f t="shared" si="26"/>
        <v/>
      </c>
      <c r="X95" s="61" t="str">
        <f t="shared" si="26"/>
        <v/>
      </c>
      <c r="Y95" s="61" t="str">
        <f t="shared" si="26"/>
        <v/>
      </c>
      <c r="Z95" s="7">
        <f ca="1">COUNTIF(INDIRECT("'Sample Setup'!R27C"&amp;1+'Sample Setup'!$O$6,0):INDIRECT("'Sample Setup'!R34C"&amp;1+'Sample Setup'!$Q$6,0),O95)</f>
        <v>0</v>
      </c>
      <c r="AC95" s="6" t="s">
        <v>31</v>
      </c>
      <c r="AD95" s="61" t="str">
        <f t="shared" ref="AD95:AM95" si="27">IF(ISBLANK(AD46),"",ABS((10^$AE$111+(10^$AE$112-10^$AE$111)/((1+(($W65/(10^$AE$113))^$AE$114))^(10^$AE$115)))-AD46)/IF(ProtocolName="ABQuantAssay",ABS((10^$AE$111+(10^$AE$112-10^$AE$111)/((1+(($W65/(10^$AE$113))^$AE$114))^(10^$AE$115)))),1)*100)</f>
        <v/>
      </c>
      <c r="AE95" s="61" t="str">
        <f t="shared" si="27"/>
        <v/>
      </c>
      <c r="AF95" s="61" t="str">
        <f t="shared" si="27"/>
        <v/>
      </c>
      <c r="AG95" s="61" t="str">
        <f t="shared" si="27"/>
        <v/>
      </c>
      <c r="AH95" s="61" t="str">
        <f t="shared" si="27"/>
        <v/>
      </c>
      <c r="AI95" s="61" t="str">
        <f t="shared" si="27"/>
        <v/>
      </c>
      <c r="AJ95" s="61" t="str">
        <f t="shared" si="27"/>
        <v/>
      </c>
      <c r="AK95" s="61" t="str">
        <f t="shared" si="27"/>
        <v/>
      </c>
      <c r="AL95" s="61" t="str">
        <f t="shared" si="27"/>
        <v/>
      </c>
      <c r="AM95" s="61" t="str">
        <f t="shared" si="27"/>
        <v/>
      </c>
      <c r="AN95" s="7">
        <f ca="1">COUNTIF(INDIRECT("'Sample Setup'!R27C"&amp;1+'Sample Setup'!$O$7,0):INDIRECT("'Sample Setup'!R34C"&amp;1+'Sample Setup'!$Q$7,0),AC95)</f>
        <v>0</v>
      </c>
    </row>
    <row r="96" spans="1:40" hidden="1" x14ac:dyDescent="0.25">
      <c r="A96" s="6" t="s">
        <v>32</v>
      </c>
      <c r="B96" s="61">
        <f t="shared" ref="B96:K96" si="28">IF(ISBLANK(B47),"",ABS((10^$C$111+(10^$C$112-10^$C$111)/((1+(($Q66/(10^$C$113))^$C$114))^(10^$C$115)))-B47)/IF(ProtocolName="ABQuantAssay",ABS((10^$C$111+(10^$C$112-10^$C$111)/((1+(($Q66/(10^$C$113))^$C$114))^(10^$C$115)))),1)*100)</f>
        <v>2.0763283060672886</v>
      </c>
      <c r="C96" s="61">
        <f t="shared" si="28"/>
        <v>4.7555557656024412</v>
      </c>
      <c r="D96" s="61">
        <f t="shared" si="28"/>
        <v>3.6169084203241533</v>
      </c>
      <c r="E96" s="61">
        <f t="shared" si="28"/>
        <v>4.3760066505096793</v>
      </c>
      <c r="F96" s="61" t="str">
        <f t="shared" si="28"/>
        <v/>
      </c>
      <c r="G96" s="61" t="str">
        <f t="shared" si="28"/>
        <v/>
      </c>
      <c r="H96" s="61" t="str">
        <f t="shared" si="28"/>
        <v/>
      </c>
      <c r="I96" s="61" t="str">
        <f t="shared" si="28"/>
        <v/>
      </c>
      <c r="J96" s="61" t="str">
        <f t="shared" si="28"/>
        <v/>
      </c>
      <c r="K96" s="61" t="str">
        <f t="shared" si="28"/>
        <v/>
      </c>
      <c r="L96" s="7">
        <f ca="1">COUNTIF(INDIRECT("'Sample Setup'!R27C"&amp;1+'Sample Setup'!$O$5,0):INDIRECT("'Sample Setup'!R34C"&amp;1+'Sample Setup'!$Q$5,0),A96)</f>
        <v>4</v>
      </c>
      <c r="O96" s="6" t="s">
        <v>32</v>
      </c>
      <c r="P96" s="61" t="str">
        <f t="shared" ref="P96:Y96" si="29">IF(ISBLANK(P47),"",ABS((10^$Q$111+(10^$Q$112-10^$Q$111)/((1+(($T66/(10^$Q$113))^$Q$114))^(10^$Q$115)))-P47)/IF(ProtocolName="ABQuantAssay",ABS((10^$Q$111+(10^$Q$112-10^$Q$111)/((1+(($T66/(10^$Q$113))^$Q$114))^(10^$Q$115)))),1)*100)</f>
        <v/>
      </c>
      <c r="Q96" s="61" t="str">
        <f t="shared" si="29"/>
        <v/>
      </c>
      <c r="R96" s="61" t="str">
        <f t="shared" si="29"/>
        <v/>
      </c>
      <c r="S96" s="61" t="str">
        <f t="shared" si="29"/>
        <v/>
      </c>
      <c r="T96" s="61" t="str">
        <f t="shared" si="29"/>
        <v/>
      </c>
      <c r="U96" s="61" t="str">
        <f t="shared" si="29"/>
        <v/>
      </c>
      <c r="V96" s="61" t="str">
        <f t="shared" si="29"/>
        <v/>
      </c>
      <c r="W96" s="61" t="str">
        <f t="shared" si="29"/>
        <v/>
      </c>
      <c r="X96" s="61" t="str">
        <f t="shared" si="29"/>
        <v/>
      </c>
      <c r="Y96" s="61" t="str">
        <f t="shared" si="29"/>
        <v/>
      </c>
      <c r="Z96" s="7">
        <f ca="1">COUNTIF(INDIRECT("'Sample Setup'!R27C"&amp;1+'Sample Setup'!$O$6,0):INDIRECT("'Sample Setup'!R34C"&amp;1+'Sample Setup'!$Q$6,0),O96)</f>
        <v>0</v>
      </c>
      <c r="AC96" s="6" t="s">
        <v>32</v>
      </c>
      <c r="AD96" s="61" t="str">
        <f t="shared" ref="AD96:AM96" si="30">IF(ISBLANK(AD47),"",ABS((10^$AE$111+(10^$AE$112-10^$AE$111)/((1+(($W66/(10^$AE$113))^$AE$114))^(10^$AE$115)))-AD47)/IF(ProtocolName="ABQuantAssay",ABS((10^$AE$111+(10^$AE$112-10^$AE$111)/((1+(($W66/(10^$AE$113))^$AE$114))^(10^$AE$115)))),1)*100)</f>
        <v/>
      </c>
      <c r="AE96" s="61" t="str">
        <f t="shared" si="30"/>
        <v/>
      </c>
      <c r="AF96" s="61" t="str">
        <f t="shared" si="30"/>
        <v/>
      </c>
      <c r="AG96" s="61" t="str">
        <f t="shared" si="30"/>
        <v/>
      </c>
      <c r="AH96" s="61" t="str">
        <f t="shared" si="30"/>
        <v/>
      </c>
      <c r="AI96" s="61" t="str">
        <f t="shared" si="30"/>
        <v/>
      </c>
      <c r="AJ96" s="61" t="str">
        <f t="shared" si="30"/>
        <v/>
      </c>
      <c r="AK96" s="61" t="str">
        <f t="shared" si="30"/>
        <v/>
      </c>
      <c r="AL96" s="61" t="str">
        <f t="shared" si="30"/>
        <v/>
      </c>
      <c r="AM96" s="61" t="str">
        <f t="shared" si="30"/>
        <v/>
      </c>
      <c r="AN96" s="7">
        <f ca="1">COUNTIF(INDIRECT("'Sample Setup'!R27C"&amp;1+'Sample Setup'!$O$7,0):INDIRECT("'Sample Setup'!R34C"&amp;1+'Sample Setup'!$Q$7,0),AC96)</f>
        <v>0</v>
      </c>
    </row>
    <row r="97" spans="1:40" hidden="1" x14ac:dyDescent="0.25">
      <c r="A97" s="6" t="s">
        <v>33</v>
      </c>
      <c r="B97" s="61">
        <f t="shared" ref="B97:K97" si="31">IF(ISBLANK(B48),"",ABS((10^$C$111+(10^$C$112-10^$C$111)/((1+(($Q67/(10^$C$113))^$C$114))^(10^$C$115)))-B48)/IF(ProtocolName="ABQuantAssay",ABS((10^$C$111+(10^$C$112-10^$C$111)/((1+(($Q67/(10^$C$113))^$C$114))^(10^$C$115)))),1)*100)</f>
        <v>20.713195448749726</v>
      </c>
      <c r="C97" s="61">
        <f t="shared" si="31"/>
        <v>5.3025794324463442</v>
      </c>
      <c r="D97" s="61">
        <f t="shared" si="31"/>
        <v>9.9424456207127601E-2</v>
      </c>
      <c r="E97" s="61">
        <f t="shared" si="31"/>
        <v>6.3432104276941876</v>
      </c>
      <c r="F97" s="61" t="str">
        <f t="shared" si="31"/>
        <v/>
      </c>
      <c r="G97" s="61" t="str">
        <f t="shared" si="31"/>
        <v/>
      </c>
      <c r="H97" s="61" t="str">
        <f t="shared" si="31"/>
        <v/>
      </c>
      <c r="I97" s="61" t="str">
        <f t="shared" si="31"/>
        <v/>
      </c>
      <c r="J97" s="61" t="str">
        <f t="shared" si="31"/>
        <v/>
      </c>
      <c r="K97" s="61" t="str">
        <f t="shared" si="31"/>
        <v/>
      </c>
      <c r="L97" s="7">
        <f ca="1">COUNTIF(INDIRECT("'Sample Setup'!R27C"&amp;1+'Sample Setup'!$O$5,0):INDIRECT("'Sample Setup'!R34C"&amp;1+'Sample Setup'!$Q$5,0),A97)</f>
        <v>4</v>
      </c>
      <c r="O97" s="6" t="s">
        <v>33</v>
      </c>
      <c r="P97" s="61" t="str">
        <f t="shared" ref="P97:Y97" si="32">IF(ISBLANK(P48),"",ABS((10^$Q$111+(10^$Q$112-10^$Q$111)/((1+(($T67/(10^$Q$113))^$Q$114))^(10^$Q$115)))-P48)/IF(ProtocolName="ABQuantAssay",ABS((10^$Q$111+(10^$Q$112-10^$Q$111)/((1+(($T67/(10^$Q$113))^$Q$114))^(10^$Q$115)))),1)*100)</f>
        <v/>
      </c>
      <c r="Q97" s="61" t="str">
        <f t="shared" si="32"/>
        <v/>
      </c>
      <c r="R97" s="61" t="str">
        <f t="shared" si="32"/>
        <v/>
      </c>
      <c r="S97" s="61" t="str">
        <f t="shared" si="32"/>
        <v/>
      </c>
      <c r="T97" s="61" t="str">
        <f t="shared" si="32"/>
        <v/>
      </c>
      <c r="U97" s="61" t="str">
        <f t="shared" si="32"/>
        <v/>
      </c>
      <c r="V97" s="61" t="str">
        <f t="shared" si="32"/>
        <v/>
      </c>
      <c r="W97" s="61" t="str">
        <f t="shared" si="32"/>
        <v/>
      </c>
      <c r="X97" s="61" t="str">
        <f t="shared" si="32"/>
        <v/>
      </c>
      <c r="Y97" s="61" t="str">
        <f t="shared" si="32"/>
        <v/>
      </c>
      <c r="Z97" s="7">
        <f ca="1">COUNTIF(INDIRECT("'Sample Setup'!R27C"&amp;1+'Sample Setup'!$O$6,0):INDIRECT("'Sample Setup'!R34C"&amp;1+'Sample Setup'!$Q$6,0),O97)</f>
        <v>0</v>
      </c>
      <c r="AC97" s="6" t="s">
        <v>33</v>
      </c>
      <c r="AD97" s="61" t="str">
        <f t="shared" ref="AD97:AM97" si="33">IF(ISBLANK(AD48),"",ABS((10^$AE$111+(10^$AE$112-10^$AE$111)/((1+(($W67/(10^$AE$113))^$AE$114))^(10^$AE$115)))-AD48)/IF(ProtocolName="ABQuantAssay",ABS((10^$AE$111+(10^$AE$112-10^$AE$111)/((1+(($W67/(10^$AE$113))^$AE$114))^(10^$AE$115)))),1)*100)</f>
        <v/>
      </c>
      <c r="AE97" s="61" t="str">
        <f t="shared" si="33"/>
        <v/>
      </c>
      <c r="AF97" s="61" t="str">
        <f t="shared" si="33"/>
        <v/>
      </c>
      <c r="AG97" s="61" t="str">
        <f t="shared" si="33"/>
        <v/>
      </c>
      <c r="AH97" s="61" t="str">
        <f t="shared" si="33"/>
        <v/>
      </c>
      <c r="AI97" s="61" t="str">
        <f t="shared" si="33"/>
        <v/>
      </c>
      <c r="AJ97" s="61" t="str">
        <f t="shared" si="33"/>
        <v/>
      </c>
      <c r="AK97" s="61" t="str">
        <f t="shared" si="33"/>
        <v/>
      </c>
      <c r="AL97" s="61" t="str">
        <f t="shared" si="33"/>
        <v/>
      </c>
      <c r="AM97" s="61" t="str">
        <f t="shared" si="33"/>
        <v/>
      </c>
      <c r="AN97" s="7">
        <f ca="1">COUNTIF(INDIRECT("'Sample Setup'!R27C"&amp;1+'Sample Setup'!$O$7,0):INDIRECT("'Sample Setup'!R34C"&amp;1+'Sample Setup'!$Q$7,0),AC97)</f>
        <v>0</v>
      </c>
    </row>
    <row r="98" spans="1:40" hidden="1" x14ac:dyDescent="0.25">
      <c r="A98" s="6" t="s">
        <v>34</v>
      </c>
      <c r="B98" s="61">
        <f t="shared" ref="B98:K98" si="34">IF(ISBLANK(B49),"",ABS((10^$C$111+(10^$C$112-10^$C$111)/((1+(($Q68/(10^$C$113))^$C$114))^(10^$C$115)))-B49)/IF(ProtocolName="ABQuantAssay",ABS((10^$C$111+(10^$C$112-10^$C$111)/((1+(($Q68/(10^$C$113))^$C$114))^(10^$C$115)))),1)*100)</f>
        <v>9.3674034409614011E-6</v>
      </c>
      <c r="C98" s="61">
        <f t="shared" si="34"/>
        <v>9.3674034409614011E-6</v>
      </c>
      <c r="D98" s="61">
        <f t="shared" si="34"/>
        <v>5.4054142664627003</v>
      </c>
      <c r="E98" s="61">
        <f t="shared" si="34"/>
        <v>13.513521615051619</v>
      </c>
      <c r="F98" s="61" t="str">
        <f t="shared" si="34"/>
        <v/>
      </c>
      <c r="G98" s="61" t="str">
        <f t="shared" si="34"/>
        <v/>
      </c>
      <c r="H98" s="61" t="str">
        <f t="shared" si="34"/>
        <v/>
      </c>
      <c r="I98" s="61" t="str">
        <f t="shared" si="34"/>
        <v/>
      </c>
      <c r="J98" s="61" t="str">
        <f t="shared" si="34"/>
        <v/>
      </c>
      <c r="K98" s="61" t="str">
        <f t="shared" si="34"/>
        <v/>
      </c>
      <c r="L98" s="7">
        <f ca="1">COUNTIF(INDIRECT("'Sample Setup'!R27C"&amp;1+'Sample Setup'!$O$5,0):INDIRECT("'Sample Setup'!R34C"&amp;1+'Sample Setup'!$Q$5,0),A98)</f>
        <v>4</v>
      </c>
      <c r="O98" s="6" t="s">
        <v>34</v>
      </c>
      <c r="P98" s="61" t="str">
        <f t="shared" ref="P98:Y98" si="35">IF(ISBLANK(P49),"",ABS((10^$Q$111+(10^$Q$112-10^$Q$111)/((1+(($T68/(10^$Q$113))^$Q$114))^(10^$Q$115)))-P49)/IF(ProtocolName="ABQuantAssay",ABS((10^$Q$111+(10^$Q$112-10^$Q$111)/((1+(($T68/(10^$Q$113))^$Q$114))^(10^$Q$115)))),1)*100)</f>
        <v/>
      </c>
      <c r="Q98" s="61" t="str">
        <f t="shared" si="35"/>
        <v/>
      </c>
      <c r="R98" s="61" t="str">
        <f t="shared" si="35"/>
        <v/>
      </c>
      <c r="S98" s="61" t="str">
        <f t="shared" si="35"/>
        <v/>
      </c>
      <c r="T98" s="61" t="str">
        <f t="shared" si="35"/>
        <v/>
      </c>
      <c r="U98" s="61" t="str">
        <f t="shared" si="35"/>
        <v/>
      </c>
      <c r="V98" s="61" t="str">
        <f t="shared" si="35"/>
        <v/>
      </c>
      <c r="W98" s="61" t="str">
        <f t="shared" si="35"/>
        <v/>
      </c>
      <c r="X98" s="61" t="str">
        <f t="shared" si="35"/>
        <v/>
      </c>
      <c r="Y98" s="61" t="str">
        <f t="shared" si="35"/>
        <v/>
      </c>
      <c r="Z98" s="7">
        <f ca="1">COUNTIF(INDIRECT("'Sample Setup'!R27C"&amp;1+'Sample Setup'!$O$6,0):INDIRECT("'Sample Setup'!R34C"&amp;1+'Sample Setup'!$Q$6,0),O98)</f>
        <v>0</v>
      </c>
      <c r="AC98" s="6" t="s">
        <v>34</v>
      </c>
      <c r="AD98" s="61" t="str">
        <f t="shared" ref="AD98:AM98" si="36">IF(ISBLANK(AD49),"",ABS((10^$AE$111+(10^$AE$112-10^$AE$111)/((1+(($W68/(10^$AE$113))^$AE$114))^(10^$AE$115)))-AD49)/IF(ProtocolName="ABQuantAssay",ABS((10^$AE$111+(10^$AE$112-10^$AE$111)/((1+(($W68/(10^$AE$113))^$AE$114))^(10^$AE$115)))),1)*100)</f>
        <v/>
      </c>
      <c r="AE98" s="61" t="str">
        <f t="shared" si="36"/>
        <v/>
      </c>
      <c r="AF98" s="61" t="str">
        <f t="shared" si="36"/>
        <v/>
      </c>
      <c r="AG98" s="61" t="str">
        <f t="shared" si="36"/>
        <v/>
      </c>
      <c r="AH98" s="61" t="str">
        <f t="shared" si="36"/>
        <v/>
      </c>
      <c r="AI98" s="61" t="str">
        <f t="shared" si="36"/>
        <v/>
      </c>
      <c r="AJ98" s="61" t="str">
        <f t="shared" si="36"/>
        <v/>
      </c>
      <c r="AK98" s="61" t="str">
        <f t="shared" si="36"/>
        <v/>
      </c>
      <c r="AL98" s="61" t="str">
        <f t="shared" si="36"/>
        <v/>
      </c>
      <c r="AM98" s="61" t="str">
        <f t="shared" si="36"/>
        <v/>
      </c>
      <c r="AN98" s="7">
        <f ca="1">COUNTIF(INDIRECT("'Sample Setup'!R27C"&amp;1+'Sample Setup'!$O$7,0):INDIRECT("'Sample Setup'!R34C"&amp;1+'Sample Setup'!$Q$7,0),AC98)</f>
        <v>0</v>
      </c>
    </row>
    <row r="99" spans="1:40" hidden="1" x14ac:dyDescent="0.25">
      <c r="A99" s="6" t="s">
        <v>35</v>
      </c>
      <c r="B99" s="61">
        <f t="shared" ref="B99:K99" si="37">IF(ISBLANK(B50),"",ABS((10^$C$111+(10^$C$112-10^$C$111)/((1+(($Q69/(10^$C$113))^$C$114))^(10^$C$115)))-B50)/IF(ProtocolName="ABQuantAssay",ABS((10^$C$111+(10^$C$112-10^$C$111)/((1+(($Q69/(10^$C$113))^$C$114))^(10^$C$115)))),1)*100)</f>
        <v>17.730318572930155</v>
      </c>
      <c r="C99" s="61">
        <f t="shared" si="37"/>
        <v>7.0550116529498776</v>
      </c>
      <c r="D99" s="61">
        <f t="shared" si="37"/>
        <v>30.122983685870185</v>
      </c>
      <c r="E99" s="61">
        <f t="shared" si="37"/>
        <v>0.85867909647986385</v>
      </c>
      <c r="F99" s="61" t="str">
        <f t="shared" si="37"/>
        <v/>
      </c>
      <c r="G99" s="61" t="str">
        <f t="shared" si="37"/>
        <v/>
      </c>
      <c r="H99" s="61" t="str">
        <f t="shared" si="37"/>
        <v/>
      </c>
      <c r="I99" s="61" t="str">
        <f t="shared" si="37"/>
        <v/>
      </c>
      <c r="J99" s="61" t="str">
        <f t="shared" si="37"/>
        <v/>
      </c>
      <c r="K99" s="61" t="str">
        <f t="shared" si="37"/>
        <v/>
      </c>
      <c r="L99" s="7">
        <f ca="1">COUNTIF(INDIRECT("'Sample Setup'!R27C"&amp;1+'Sample Setup'!$O$5,0):INDIRECT("'Sample Setup'!R34C"&amp;1+'Sample Setup'!$Q$5,0),A99)</f>
        <v>4</v>
      </c>
      <c r="O99" s="6" t="s">
        <v>35</v>
      </c>
      <c r="P99" s="61" t="str">
        <f t="shared" ref="P99:Y99" si="38">IF(ISBLANK(P50),"",ABS((10^$Q$111+(10^$Q$112-10^$Q$111)/((1+(($T69/(10^$Q$113))^$Q$114))^(10^$Q$115)))-P50)/IF(ProtocolName="ABQuantAssay",ABS((10^$Q$111+(10^$Q$112-10^$Q$111)/((1+(($T69/(10^$Q$113))^$Q$114))^(10^$Q$115)))),1)*100)</f>
        <v/>
      </c>
      <c r="Q99" s="61" t="str">
        <f t="shared" si="38"/>
        <v/>
      </c>
      <c r="R99" s="61" t="str">
        <f t="shared" si="38"/>
        <v/>
      </c>
      <c r="S99" s="61" t="str">
        <f t="shared" si="38"/>
        <v/>
      </c>
      <c r="T99" s="61" t="str">
        <f t="shared" si="38"/>
        <v/>
      </c>
      <c r="U99" s="61" t="str">
        <f t="shared" si="38"/>
        <v/>
      </c>
      <c r="V99" s="61" t="str">
        <f t="shared" si="38"/>
        <v/>
      </c>
      <c r="W99" s="61" t="str">
        <f t="shared" si="38"/>
        <v/>
      </c>
      <c r="X99" s="61" t="str">
        <f t="shared" si="38"/>
        <v/>
      </c>
      <c r="Y99" s="61" t="str">
        <f t="shared" si="38"/>
        <v/>
      </c>
      <c r="Z99" s="7">
        <f ca="1">COUNTIF(INDIRECT("'Sample Setup'!R27C"&amp;1+'Sample Setup'!$O$6,0):INDIRECT("'Sample Setup'!R34C"&amp;1+'Sample Setup'!$Q$6,0),O99)</f>
        <v>0</v>
      </c>
      <c r="AC99" s="6" t="s">
        <v>35</v>
      </c>
      <c r="AD99" s="61" t="str">
        <f t="shared" ref="AD99:AM99" si="39">IF(ISBLANK(AD50),"",ABS((10^$AE$111+(10^$AE$112-10^$AE$111)/((1+(($W69/(10^$AE$113))^$AE$114))^(10^$AE$115)))-AD50)/IF(ProtocolName="ABQuantAssay",ABS((10^$AE$111+(10^$AE$112-10^$AE$111)/((1+(($W69/(10^$AE$113))^$AE$114))^(10^$AE$115)))),1)*100)</f>
        <v/>
      </c>
      <c r="AE99" s="61" t="str">
        <f t="shared" si="39"/>
        <v/>
      </c>
      <c r="AF99" s="61" t="str">
        <f t="shared" si="39"/>
        <v/>
      </c>
      <c r="AG99" s="61" t="str">
        <f t="shared" si="39"/>
        <v/>
      </c>
      <c r="AH99" s="61" t="str">
        <f t="shared" si="39"/>
        <v/>
      </c>
      <c r="AI99" s="61" t="str">
        <f t="shared" si="39"/>
        <v/>
      </c>
      <c r="AJ99" s="61" t="str">
        <f t="shared" si="39"/>
        <v/>
      </c>
      <c r="AK99" s="61" t="str">
        <f t="shared" si="39"/>
        <v/>
      </c>
      <c r="AL99" s="61" t="str">
        <f t="shared" si="39"/>
        <v/>
      </c>
      <c r="AM99" s="61" t="str">
        <f t="shared" si="39"/>
        <v/>
      </c>
      <c r="AN99" s="7">
        <f ca="1">COUNTIF(INDIRECT("'Sample Setup'!R27C"&amp;1+'Sample Setup'!$O$7,0):INDIRECT("'Sample Setup'!R34C"&amp;1+'Sample Setup'!$Q$7,0),AC99)</f>
        <v>0</v>
      </c>
    </row>
    <row r="100" spans="1:40" hidden="1" x14ac:dyDescent="0.25">
      <c r="A100" s="6" t="s">
        <v>36</v>
      </c>
      <c r="B100" s="61" t="str">
        <f t="shared" ref="B100:K100" si="40">IF(ISBLANK(B51),"",ABS((10^$C$111+(10^$C$112-10^$C$111)/((1+(($Q70/(10^$C$113))^$C$114))^(10^$C$115)))-B51)/IF(ProtocolName="ABQuantAssay",ABS((10^$C$111+(10^$C$112-10^$C$111)/((1+(($Q70/(10^$C$113))^$C$114))^(10^$C$115)))),1)*100)</f>
        <v/>
      </c>
      <c r="C100" s="61" t="str">
        <f t="shared" si="40"/>
        <v/>
      </c>
      <c r="D100" s="61" t="str">
        <f t="shared" si="40"/>
        <v/>
      </c>
      <c r="E100" s="61" t="str">
        <f t="shared" si="40"/>
        <v/>
      </c>
      <c r="F100" s="61" t="str">
        <f t="shared" si="40"/>
        <v/>
      </c>
      <c r="G100" s="61" t="str">
        <f t="shared" si="40"/>
        <v/>
      </c>
      <c r="H100" s="61" t="str">
        <f t="shared" si="40"/>
        <v/>
      </c>
      <c r="I100" s="61" t="str">
        <f t="shared" si="40"/>
        <v/>
      </c>
      <c r="J100" s="61" t="str">
        <f t="shared" si="40"/>
        <v/>
      </c>
      <c r="K100" s="61" t="str">
        <f t="shared" si="40"/>
        <v/>
      </c>
      <c r="L100" s="7">
        <f ca="1">COUNTIF(INDIRECT("'Sample Setup'!R27C"&amp;1+'Sample Setup'!$O$5,0):INDIRECT("'Sample Setup'!R34C"&amp;1+'Sample Setup'!$Q$5,0),A100)</f>
        <v>0</v>
      </c>
      <c r="O100" s="6" t="s">
        <v>36</v>
      </c>
      <c r="P100" s="61" t="str">
        <f t="shared" ref="P100:Y100" si="41">IF(ISBLANK(P51),"",ABS((10^$Q$111+(10^$Q$112-10^$Q$111)/((1+(($T70/(10^$Q$113))^$Q$114))^(10^$Q$115)))-P51)/IF(ProtocolName="ABQuantAssay",ABS((10^$Q$111+(10^$Q$112-10^$Q$111)/((1+(($T70/(10^$Q$113))^$Q$114))^(10^$Q$115)))),1)*100)</f>
        <v/>
      </c>
      <c r="Q100" s="61" t="str">
        <f t="shared" si="41"/>
        <v/>
      </c>
      <c r="R100" s="61" t="str">
        <f t="shared" si="41"/>
        <v/>
      </c>
      <c r="S100" s="61" t="str">
        <f t="shared" si="41"/>
        <v/>
      </c>
      <c r="T100" s="61" t="str">
        <f t="shared" si="41"/>
        <v/>
      </c>
      <c r="U100" s="61" t="str">
        <f t="shared" si="41"/>
        <v/>
      </c>
      <c r="V100" s="61" t="str">
        <f t="shared" si="41"/>
        <v/>
      </c>
      <c r="W100" s="61" t="str">
        <f t="shared" si="41"/>
        <v/>
      </c>
      <c r="X100" s="61" t="str">
        <f t="shared" si="41"/>
        <v/>
      </c>
      <c r="Y100" s="61" t="str">
        <f t="shared" si="41"/>
        <v/>
      </c>
      <c r="Z100" s="7">
        <f ca="1">COUNTIF(INDIRECT("'Sample Setup'!R27C"&amp;1+'Sample Setup'!$O$6,0):INDIRECT("'Sample Setup'!R34C"&amp;1+'Sample Setup'!$Q$6,0),O100)</f>
        <v>0</v>
      </c>
      <c r="AC100" s="6" t="s">
        <v>36</v>
      </c>
      <c r="AD100" s="61" t="str">
        <f t="shared" ref="AD100:AM100" si="42">IF(ISBLANK(AD51),"",ABS((10^$AE$111+(10^$AE$112-10^$AE$111)/((1+(($W70/(10^$AE$113))^$AE$114))^(10^$AE$115)))-AD51)/IF(ProtocolName="ABQuantAssay",ABS((10^$AE$111+(10^$AE$112-10^$AE$111)/((1+(($W70/(10^$AE$113))^$AE$114))^(10^$AE$115)))),1)*100)</f>
        <v/>
      </c>
      <c r="AE100" s="61" t="str">
        <f t="shared" si="42"/>
        <v/>
      </c>
      <c r="AF100" s="61" t="str">
        <f t="shared" si="42"/>
        <v/>
      </c>
      <c r="AG100" s="61" t="str">
        <f t="shared" si="42"/>
        <v/>
      </c>
      <c r="AH100" s="61" t="str">
        <f t="shared" si="42"/>
        <v/>
      </c>
      <c r="AI100" s="61" t="str">
        <f t="shared" si="42"/>
        <v/>
      </c>
      <c r="AJ100" s="61" t="str">
        <f t="shared" si="42"/>
        <v/>
      </c>
      <c r="AK100" s="61" t="str">
        <f t="shared" si="42"/>
        <v/>
      </c>
      <c r="AL100" s="61" t="str">
        <f t="shared" si="42"/>
        <v/>
      </c>
      <c r="AM100" s="61" t="str">
        <f t="shared" si="42"/>
        <v/>
      </c>
      <c r="AN100" s="7">
        <f ca="1">COUNTIF(INDIRECT("'Sample Setup'!R27C"&amp;1+'Sample Setup'!$O$7,0):INDIRECT("'Sample Setup'!R34C"&amp;1+'Sample Setup'!$Q$7,0),AC100)</f>
        <v>0</v>
      </c>
    </row>
    <row r="101" spans="1:40" hidden="1" x14ac:dyDescent="0.25">
      <c r="A101" s="6" t="s">
        <v>48</v>
      </c>
      <c r="B101" s="61" t="str">
        <f t="shared" ref="B101:K101" si="43">IF(ISBLANK(B52),"",ABS((10^$C$111+(10^$C$112-10^$C$111)/((1+(($Q71/(10^$C$113))^$C$114))^(10^$C$115)))-B52)/IF(ProtocolName="ABQuantAssay",ABS((10^$C$111+(10^$C$112-10^$C$111)/((1+(($Q71/(10^$C$113))^$C$114))^(10^$C$115)))),1)*100)</f>
        <v/>
      </c>
      <c r="C101" s="61" t="str">
        <f t="shared" si="43"/>
        <v/>
      </c>
      <c r="D101" s="61" t="str">
        <f t="shared" si="43"/>
        <v/>
      </c>
      <c r="E101" s="61" t="str">
        <f t="shared" si="43"/>
        <v/>
      </c>
      <c r="F101" s="61" t="str">
        <f t="shared" si="43"/>
        <v/>
      </c>
      <c r="G101" s="61" t="str">
        <f t="shared" si="43"/>
        <v/>
      </c>
      <c r="H101" s="61" t="str">
        <f t="shared" si="43"/>
        <v/>
      </c>
      <c r="I101" s="61" t="str">
        <f t="shared" si="43"/>
        <v/>
      </c>
      <c r="J101" s="61" t="str">
        <f t="shared" si="43"/>
        <v/>
      </c>
      <c r="K101" s="61" t="str">
        <f t="shared" si="43"/>
        <v/>
      </c>
      <c r="L101" s="7">
        <f ca="1">COUNTIF(INDIRECT("'Sample Setup'!R27C"&amp;1+'Sample Setup'!$O$5,0):INDIRECT("'Sample Setup'!R34C"&amp;1+'Sample Setup'!$Q$5,0),A101)</f>
        <v>0</v>
      </c>
      <c r="O101" s="6" t="s">
        <v>48</v>
      </c>
      <c r="P101" s="61" t="str">
        <f t="shared" ref="P101:Y101" si="44">IF(ISBLANK(P52),"",ABS((10^$Q$111+(10^$Q$112-10^$Q$111)/((1+(($T71/(10^$Q$113))^$Q$114))^(10^$Q$115)))-P52)/IF(ProtocolName="ABQuantAssay",ABS((10^$Q$111+(10^$Q$112-10^$Q$111)/((1+(($T71/(10^$Q$113))^$Q$114))^(10^$Q$115)))),1)*100)</f>
        <v/>
      </c>
      <c r="Q101" s="61" t="str">
        <f t="shared" si="44"/>
        <v/>
      </c>
      <c r="R101" s="61" t="str">
        <f t="shared" si="44"/>
        <v/>
      </c>
      <c r="S101" s="61" t="str">
        <f t="shared" si="44"/>
        <v/>
      </c>
      <c r="T101" s="61" t="str">
        <f t="shared" si="44"/>
        <v/>
      </c>
      <c r="U101" s="61" t="str">
        <f t="shared" si="44"/>
        <v/>
      </c>
      <c r="V101" s="61" t="str">
        <f t="shared" si="44"/>
        <v/>
      </c>
      <c r="W101" s="61" t="str">
        <f t="shared" si="44"/>
        <v/>
      </c>
      <c r="X101" s="61" t="str">
        <f t="shared" si="44"/>
        <v/>
      </c>
      <c r="Y101" s="61" t="str">
        <f t="shared" si="44"/>
        <v/>
      </c>
      <c r="Z101" s="7">
        <f ca="1">COUNTIF(INDIRECT("'Sample Setup'!R27C"&amp;1+'Sample Setup'!$O$6,0):INDIRECT("'Sample Setup'!R34C"&amp;1+'Sample Setup'!$Q$6,0),O101)</f>
        <v>0</v>
      </c>
      <c r="AC101" s="6" t="s">
        <v>48</v>
      </c>
      <c r="AD101" s="61" t="str">
        <f t="shared" ref="AD101:AM101" si="45">IF(ISBLANK(AD52),"",ABS((10^$AE$111+(10^$AE$112-10^$AE$111)/((1+(($W71/(10^$AE$113))^$AE$114))^(10^$AE$115)))-AD52)/IF(ProtocolName="ABQuantAssay",ABS((10^$AE$111+(10^$AE$112-10^$AE$111)/((1+(($W71/(10^$AE$113))^$AE$114))^(10^$AE$115)))),1)*100)</f>
        <v/>
      </c>
      <c r="AE101" s="61" t="str">
        <f t="shared" si="45"/>
        <v/>
      </c>
      <c r="AF101" s="61" t="str">
        <f t="shared" si="45"/>
        <v/>
      </c>
      <c r="AG101" s="61" t="str">
        <f t="shared" si="45"/>
        <v/>
      </c>
      <c r="AH101" s="61" t="str">
        <f t="shared" si="45"/>
        <v/>
      </c>
      <c r="AI101" s="61" t="str">
        <f t="shared" si="45"/>
        <v/>
      </c>
      <c r="AJ101" s="61" t="str">
        <f t="shared" si="45"/>
        <v/>
      </c>
      <c r="AK101" s="61" t="str">
        <f t="shared" si="45"/>
        <v/>
      </c>
      <c r="AL101" s="61" t="str">
        <f t="shared" si="45"/>
        <v/>
      </c>
      <c r="AM101" s="61" t="str">
        <f t="shared" si="45"/>
        <v/>
      </c>
      <c r="AN101" s="7">
        <f ca="1">COUNTIF(INDIRECT("'Sample Setup'!R27C"&amp;1+'Sample Setup'!$O$7,0):INDIRECT("'Sample Setup'!R34C"&amp;1+'Sample Setup'!$Q$7,0),AC101)</f>
        <v>0</v>
      </c>
    </row>
    <row r="102" spans="1:40" hidden="1" x14ac:dyDescent="0.25">
      <c r="A102" s="6" t="s">
        <v>49</v>
      </c>
      <c r="B102" s="61" t="str">
        <f t="shared" ref="B102:K102" si="46">IF(ISBLANK(B53),"",ABS((10^$C$111+(10^$C$112-10^$C$111)/((1+(($Q72/(10^$C$113))^$C$114))^(10^$C$115)))-B53)/IF(ProtocolName="ABQuantAssay",ABS((10^$C$111+(10^$C$112-10^$C$111)/((1+(($Q72/(10^$C$113))^$C$114))^(10^$C$115)))),1)*100)</f>
        <v/>
      </c>
      <c r="C102" s="61" t="str">
        <f t="shared" si="46"/>
        <v/>
      </c>
      <c r="D102" s="61" t="str">
        <f t="shared" si="46"/>
        <v/>
      </c>
      <c r="E102" s="61" t="str">
        <f t="shared" si="46"/>
        <v/>
      </c>
      <c r="F102" s="61" t="str">
        <f t="shared" si="46"/>
        <v/>
      </c>
      <c r="G102" s="61" t="str">
        <f t="shared" si="46"/>
        <v/>
      </c>
      <c r="H102" s="61" t="str">
        <f t="shared" si="46"/>
        <v/>
      </c>
      <c r="I102" s="61" t="str">
        <f t="shared" si="46"/>
        <v/>
      </c>
      <c r="J102" s="61" t="str">
        <f t="shared" si="46"/>
        <v/>
      </c>
      <c r="K102" s="61" t="str">
        <f t="shared" si="46"/>
        <v/>
      </c>
      <c r="L102" s="7">
        <f ca="1">COUNTIF(INDIRECT("'Sample Setup'!R27C"&amp;1+'Sample Setup'!$O$5,0):INDIRECT("'Sample Setup'!R34C"&amp;1+'Sample Setup'!$Q$5,0),A102)</f>
        <v>0</v>
      </c>
      <c r="O102" s="6" t="s">
        <v>49</v>
      </c>
      <c r="P102" s="61" t="str">
        <f t="shared" ref="P102:Y102" si="47">IF(ISBLANK(P53),"",ABS((10^$Q$111+(10^$Q$112-10^$Q$111)/((1+(($T72/(10^$Q$113))^$Q$114))^(10^$Q$115)))-P53)/IF(ProtocolName="ABQuantAssay",ABS((10^$Q$111+(10^$Q$112-10^$Q$111)/((1+(($T72/(10^$Q$113))^$Q$114))^(10^$Q$115)))),1)*100)</f>
        <v/>
      </c>
      <c r="Q102" s="61" t="str">
        <f t="shared" si="47"/>
        <v/>
      </c>
      <c r="R102" s="61" t="str">
        <f t="shared" si="47"/>
        <v/>
      </c>
      <c r="S102" s="61" t="str">
        <f t="shared" si="47"/>
        <v/>
      </c>
      <c r="T102" s="61" t="str">
        <f t="shared" si="47"/>
        <v/>
      </c>
      <c r="U102" s="61" t="str">
        <f t="shared" si="47"/>
        <v/>
      </c>
      <c r="V102" s="61" t="str">
        <f t="shared" si="47"/>
        <v/>
      </c>
      <c r="W102" s="61" t="str">
        <f t="shared" si="47"/>
        <v/>
      </c>
      <c r="X102" s="61" t="str">
        <f t="shared" si="47"/>
        <v/>
      </c>
      <c r="Y102" s="61" t="str">
        <f t="shared" si="47"/>
        <v/>
      </c>
      <c r="Z102" s="7">
        <f ca="1">COUNTIF(INDIRECT("'Sample Setup'!R27C"&amp;1+'Sample Setup'!$O$6,0):INDIRECT("'Sample Setup'!R34C"&amp;1+'Sample Setup'!$Q$6,0),O102)</f>
        <v>0</v>
      </c>
      <c r="AC102" s="6" t="s">
        <v>49</v>
      </c>
      <c r="AD102" s="61" t="str">
        <f t="shared" ref="AD102:AM102" si="48">IF(ISBLANK(AD53),"",ABS((10^$AE$111+(10^$AE$112-10^$AE$111)/((1+(($W72/(10^$AE$113))^$AE$114))^(10^$AE$115)))-AD53)/IF(ProtocolName="ABQuantAssay",ABS((10^$AE$111+(10^$AE$112-10^$AE$111)/((1+(($W72/(10^$AE$113))^$AE$114))^(10^$AE$115)))),1)*100)</f>
        <v/>
      </c>
      <c r="AE102" s="61" t="str">
        <f t="shared" si="48"/>
        <v/>
      </c>
      <c r="AF102" s="61" t="str">
        <f t="shared" si="48"/>
        <v/>
      </c>
      <c r="AG102" s="61" t="str">
        <f t="shared" si="48"/>
        <v/>
      </c>
      <c r="AH102" s="61" t="str">
        <f t="shared" si="48"/>
        <v/>
      </c>
      <c r="AI102" s="61" t="str">
        <f t="shared" si="48"/>
        <v/>
      </c>
      <c r="AJ102" s="61" t="str">
        <f t="shared" si="48"/>
        <v/>
      </c>
      <c r="AK102" s="61" t="str">
        <f t="shared" si="48"/>
        <v/>
      </c>
      <c r="AL102" s="61" t="str">
        <f t="shared" si="48"/>
        <v/>
      </c>
      <c r="AM102" s="61" t="str">
        <f t="shared" si="48"/>
        <v/>
      </c>
      <c r="AN102" s="7">
        <f ca="1">COUNTIF(INDIRECT("'Sample Setup'!R27C"&amp;1+'Sample Setup'!$O$7,0):INDIRECT("'Sample Setup'!R34C"&amp;1+'Sample Setup'!$Q$7,0),AC102)</f>
        <v>0</v>
      </c>
    </row>
    <row r="103" spans="1:40" ht="15" hidden="1" customHeight="1" x14ac:dyDescent="0.25">
      <c r="A103" s="6" t="s">
        <v>50</v>
      </c>
      <c r="B103" s="61" t="str">
        <f t="shared" ref="B103:K103" si="49">IF(ISBLANK(B54),"",ABS((10^$C$111+(10^$C$112-10^$C$111)/((1+(($Q73/(10^$C$113))^$C$114))^(10^$C$115)))-B54)/IF(ProtocolName="ABQuantAssay",ABS((10^$C$111+(10^$C$112-10^$C$111)/((1+(($Q73/(10^$C$113))^$C$114))^(10^$C$115)))),1)*100)</f>
        <v/>
      </c>
      <c r="C103" s="61" t="str">
        <f t="shared" si="49"/>
        <v/>
      </c>
      <c r="D103" s="61" t="str">
        <f t="shared" si="49"/>
        <v/>
      </c>
      <c r="E103" s="61" t="str">
        <f t="shared" si="49"/>
        <v/>
      </c>
      <c r="F103" s="61" t="str">
        <f t="shared" si="49"/>
        <v/>
      </c>
      <c r="G103" s="61" t="str">
        <f t="shared" si="49"/>
        <v/>
      </c>
      <c r="H103" s="61" t="str">
        <f t="shared" si="49"/>
        <v/>
      </c>
      <c r="I103" s="61" t="str">
        <f t="shared" si="49"/>
        <v/>
      </c>
      <c r="J103" s="61" t="str">
        <f t="shared" si="49"/>
        <v/>
      </c>
      <c r="K103" s="61" t="str">
        <f t="shared" si="49"/>
        <v/>
      </c>
      <c r="L103" s="7">
        <f ca="1">COUNTIF(INDIRECT("'Sample Setup'!R27C"&amp;1+'Sample Setup'!$O$5,0):INDIRECT("'Sample Setup'!R34C"&amp;1+'Sample Setup'!$Q$5,0),A103)</f>
        <v>0</v>
      </c>
      <c r="O103" s="6" t="s">
        <v>50</v>
      </c>
      <c r="P103" s="61" t="str">
        <f t="shared" ref="P103:Y103" si="50">IF(ISBLANK(P54),"",ABS((10^$Q$111+(10^$Q$112-10^$Q$111)/((1+(($T73/(10^$Q$113))^$Q$114))^(10^$Q$115)))-P54)/IF(ProtocolName="ABQuantAssay",ABS((10^$Q$111+(10^$Q$112-10^$Q$111)/((1+(($T73/(10^$Q$113))^$Q$114))^(10^$Q$115)))),1)*100)</f>
        <v/>
      </c>
      <c r="Q103" s="61" t="str">
        <f t="shared" si="50"/>
        <v/>
      </c>
      <c r="R103" s="61" t="str">
        <f t="shared" si="50"/>
        <v/>
      </c>
      <c r="S103" s="61" t="str">
        <f t="shared" si="50"/>
        <v/>
      </c>
      <c r="T103" s="61" t="str">
        <f t="shared" si="50"/>
        <v/>
      </c>
      <c r="U103" s="61" t="str">
        <f t="shared" si="50"/>
        <v/>
      </c>
      <c r="V103" s="61" t="str">
        <f t="shared" si="50"/>
        <v/>
      </c>
      <c r="W103" s="61" t="str">
        <f t="shared" si="50"/>
        <v/>
      </c>
      <c r="X103" s="61" t="str">
        <f t="shared" si="50"/>
        <v/>
      </c>
      <c r="Y103" s="61" t="str">
        <f t="shared" si="50"/>
        <v/>
      </c>
      <c r="Z103" s="7">
        <f ca="1">COUNTIF(INDIRECT("'Sample Setup'!R27C"&amp;1+'Sample Setup'!$O$6,0):INDIRECT("'Sample Setup'!R34C"&amp;1+'Sample Setup'!$Q$6,0),O103)</f>
        <v>0</v>
      </c>
      <c r="AC103" s="6" t="s">
        <v>50</v>
      </c>
      <c r="AD103" s="61" t="str">
        <f t="shared" ref="AD103:AM103" si="51">IF(ISBLANK(AD54),"",ABS((10^$AE$111+(10^$AE$112-10^$AE$111)/((1+(($W73/(10^$AE$113))^$AE$114))^(10^$AE$115)))-AD54)/IF(ProtocolName="ABQuantAssay",ABS((10^$AE$111+(10^$AE$112-10^$AE$111)/((1+(($W73/(10^$AE$113))^$AE$114))^(10^$AE$115)))),1)*100)</f>
        <v/>
      </c>
      <c r="AE103" s="61" t="str">
        <f t="shared" si="51"/>
        <v/>
      </c>
      <c r="AF103" s="61" t="str">
        <f t="shared" si="51"/>
        <v/>
      </c>
      <c r="AG103" s="61" t="str">
        <f t="shared" si="51"/>
        <v/>
      </c>
      <c r="AH103" s="61" t="str">
        <f t="shared" si="51"/>
        <v/>
      </c>
      <c r="AI103" s="61" t="str">
        <f t="shared" si="51"/>
        <v/>
      </c>
      <c r="AJ103" s="61" t="str">
        <f t="shared" si="51"/>
        <v/>
      </c>
      <c r="AK103" s="61" t="str">
        <f t="shared" si="51"/>
        <v/>
      </c>
      <c r="AL103" s="61" t="str">
        <f t="shared" si="51"/>
        <v/>
      </c>
      <c r="AM103" s="61" t="str">
        <f t="shared" si="51"/>
        <v/>
      </c>
      <c r="AN103" s="7">
        <f ca="1">COUNTIF(INDIRECT("'Sample Setup'!R27C"&amp;1+'Sample Setup'!$O$7,0):INDIRECT("'Sample Setup'!R34C"&amp;1+'Sample Setup'!$Q$7,0),AC103)</f>
        <v>0</v>
      </c>
    </row>
    <row r="104" spans="1:40" ht="15" hidden="1" customHeight="1" x14ac:dyDescent="0.25">
      <c r="A104" s="6" t="s">
        <v>51</v>
      </c>
      <c r="B104" s="61" t="str">
        <f t="shared" ref="B104:K104" si="52">IF(ISBLANK(B55),"",ABS((10^$C$111+(10^$C$112-10^$C$111)/((1+(($Q74/(10^$C$113))^$C$114))^(10^$C$115)))-B55)/IF(ProtocolName="ABQuantAssay",ABS((10^$C$111+(10^$C$112-10^$C$111)/((1+(($Q74/(10^$C$113))^$C$114))^(10^$C$115)))),1)*100)</f>
        <v/>
      </c>
      <c r="C104" s="61" t="str">
        <f t="shared" si="52"/>
        <v/>
      </c>
      <c r="D104" s="61" t="str">
        <f t="shared" si="52"/>
        <v/>
      </c>
      <c r="E104" s="61" t="str">
        <f t="shared" si="52"/>
        <v/>
      </c>
      <c r="F104" s="61" t="str">
        <f t="shared" si="52"/>
        <v/>
      </c>
      <c r="G104" s="61" t="str">
        <f t="shared" si="52"/>
        <v/>
      </c>
      <c r="H104" s="61" t="str">
        <f t="shared" si="52"/>
        <v/>
      </c>
      <c r="I104" s="61" t="str">
        <f t="shared" si="52"/>
        <v/>
      </c>
      <c r="J104" s="61" t="str">
        <f t="shared" si="52"/>
        <v/>
      </c>
      <c r="K104" s="61" t="str">
        <f t="shared" si="52"/>
        <v/>
      </c>
      <c r="L104" s="7">
        <f ca="1">COUNTIF(INDIRECT("'Sample Setup'!R27C"&amp;1+'Sample Setup'!$O$5,0):INDIRECT("'Sample Setup'!R34C"&amp;1+'Sample Setup'!$Q$5,0),A104)</f>
        <v>0</v>
      </c>
      <c r="O104" s="6" t="s">
        <v>51</v>
      </c>
      <c r="P104" s="61" t="str">
        <f t="shared" ref="P104:Y104" si="53">IF(ISBLANK(P55),"",ABS((10^$Q$111+(10^$Q$112-10^$Q$111)/((1+(($T74/(10^$Q$113))^$Q$114))^(10^$Q$115)))-P55)/IF(ProtocolName="ABQuantAssay",ABS((10^$Q$111+(10^$Q$112-10^$Q$111)/((1+(($T74/(10^$Q$113))^$Q$114))^(10^$Q$115)))),1)*100)</f>
        <v/>
      </c>
      <c r="Q104" s="61" t="str">
        <f t="shared" si="53"/>
        <v/>
      </c>
      <c r="R104" s="61" t="str">
        <f t="shared" si="53"/>
        <v/>
      </c>
      <c r="S104" s="61" t="str">
        <f t="shared" si="53"/>
        <v/>
      </c>
      <c r="T104" s="61" t="str">
        <f t="shared" si="53"/>
        <v/>
      </c>
      <c r="U104" s="61" t="str">
        <f t="shared" si="53"/>
        <v/>
      </c>
      <c r="V104" s="61" t="str">
        <f t="shared" si="53"/>
        <v/>
      </c>
      <c r="W104" s="61" t="str">
        <f t="shared" si="53"/>
        <v/>
      </c>
      <c r="X104" s="61" t="str">
        <f t="shared" si="53"/>
        <v/>
      </c>
      <c r="Y104" s="61" t="str">
        <f t="shared" si="53"/>
        <v/>
      </c>
      <c r="Z104" s="7">
        <f ca="1">COUNTIF(INDIRECT("'Sample Setup'!R27C"&amp;1+'Sample Setup'!$O$6,0):INDIRECT("'Sample Setup'!R34C"&amp;1+'Sample Setup'!$Q$6,0),O104)</f>
        <v>0</v>
      </c>
      <c r="AC104" s="6" t="s">
        <v>51</v>
      </c>
      <c r="AD104" s="61" t="str">
        <f t="shared" ref="AD104:AM104" si="54">IF(ISBLANK(AD55),"",ABS((10^$AE$111+(10^$AE$112-10^$AE$111)/((1+(($W74/(10^$AE$113))^$AE$114))^(10^$AE$115)))-AD55)/IF(ProtocolName="ABQuantAssay",ABS((10^$AE$111+(10^$AE$112-10^$AE$111)/((1+(($W74/(10^$AE$113))^$AE$114))^(10^$AE$115)))),1)*100)</f>
        <v/>
      </c>
      <c r="AE104" s="61" t="str">
        <f t="shared" si="54"/>
        <v/>
      </c>
      <c r="AF104" s="61" t="str">
        <f t="shared" si="54"/>
        <v/>
      </c>
      <c r="AG104" s="61" t="str">
        <f t="shared" si="54"/>
        <v/>
      </c>
      <c r="AH104" s="61" t="str">
        <f t="shared" si="54"/>
        <v/>
      </c>
      <c r="AI104" s="61" t="str">
        <f t="shared" si="54"/>
        <v/>
      </c>
      <c r="AJ104" s="61" t="str">
        <f t="shared" si="54"/>
        <v/>
      </c>
      <c r="AK104" s="61" t="str">
        <f t="shared" si="54"/>
        <v/>
      </c>
      <c r="AL104" s="61" t="str">
        <f t="shared" si="54"/>
        <v/>
      </c>
      <c r="AM104" s="61" t="str">
        <f t="shared" si="54"/>
        <v/>
      </c>
      <c r="AN104" s="7">
        <f ca="1">COUNTIF(INDIRECT("'Sample Setup'!R27C"&amp;1+'Sample Setup'!$O$7,0):INDIRECT("'Sample Setup'!R34C"&amp;1+'Sample Setup'!$Q$7,0),AC104)</f>
        <v>0</v>
      </c>
    </row>
    <row r="105" spans="1:40" hidden="1" x14ac:dyDescent="0.25">
      <c r="A105" s="6" t="s">
        <v>98</v>
      </c>
      <c r="B105" s="61" t="str">
        <f t="shared" ref="B105:K105" si="55">IF(ISBLANK(B56),"",ABS((10^$C$111+(10^$C$112-10^$C$111)/((1+(($Q75/(10^$C$113))^$C$114))^(10^$C$115)))-B56)/IF(ProtocolName="ABQuantAssay",ABS((10^$C$111+(10^$C$112-10^$C$111)/((1+(($Q75/(10^$C$113))^$C$114))^(10^$C$115)))),1)*100)</f>
        <v/>
      </c>
      <c r="C105" s="61" t="str">
        <f t="shared" si="55"/>
        <v/>
      </c>
      <c r="D105" s="61" t="str">
        <f t="shared" si="55"/>
        <v/>
      </c>
      <c r="E105" s="61" t="str">
        <f t="shared" si="55"/>
        <v/>
      </c>
      <c r="F105" s="61" t="str">
        <f t="shared" si="55"/>
        <v/>
      </c>
      <c r="G105" s="61" t="str">
        <f t="shared" si="55"/>
        <v/>
      </c>
      <c r="H105" s="61" t="str">
        <f t="shared" si="55"/>
        <v/>
      </c>
      <c r="I105" s="61" t="str">
        <f t="shared" si="55"/>
        <v/>
      </c>
      <c r="J105" s="61" t="str">
        <f t="shared" si="55"/>
        <v/>
      </c>
      <c r="K105" s="61" t="str">
        <f t="shared" si="55"/>
        <v/>
      </c>
      <c r="L105" s="7">
        <f ca="1">COUNTIF(INDIRECT("'Sample Setup'!R27C"&amp;1+'Sample Setup'!$O$5,0):INDIRECT("'Sample Setup'!R34C"&amp;1+'Sample Setup'!$Q$5,0),A105)</f>
        <v>0</v>
      </c>
      <c r="O105" s="6" t="s">
        <v>98</v>
      </c>
      <c r="P105" s="61" t="str">
        <f t="shared" ref="P105:Y105" si="56">IF(ISBLANK(P56),"",ABS((10^$Q$111+(10^$Q$112-10^$Q$111)/((1+(($T75/(10^$Q$113))^$Q$114))^(10^$Q$115)))-P56)/IF(ProtocolName="ABQuantAssay",ABS((10^$Q$111+(10^$Q$112-10^$Q$111)/((1+(($T75/(10^$Q$113))^$Q$114))^(10^$Q$115)))),1)*100)</f>
        <v/>
      </c>
      <c r="Q105" s="61" t="str">
        <f t="shared" si="56"/>
        <v/>
      </c>
      <c r="R105" s="61" t="str">
        <f t="shared" si="56"/>
        <v/>
      </c>
      <c r="S105" s="61" t="str">
        <f t="shared" si="56"/>
        <v/>
      </c>
      <c r="T105" s="61" t="str">
        <f t="shared" si="56"/>
        <v/>
      </c>
      <c r="U105" s="61" t="str">
        <f t="shared" si="56"/>
        <v/>
      </c>
      <c r="V105" s="61" t="str">
        <f t="shared" si="56"/>
        <v/>
      </c>
      <c r="W105" s="61" t="str">
        <f t="shared" si="56"/>
        <v/>
      </c>
      <c r="X105" s="61" t="str">
        <f t="shared" si="56"/>
        <v/>
      </c>
      <c r="Y105" s="61" t="str">
        <f t="shared" si="56"/>
        <v/>
      </c>
      <c r="Z105" s="7">
        <f ca="1">COUNTIF(INDIRECT("'Sample Setup'!R27C"&amp;1+'Sample Setup'!$O$6,0):INDIRECT("'Sample Setup'!R34C"&amp;1+'Sample Setup'!$Q$6,0),O105)</f>
        <v>0</v>
      </c>
      <c r="AC105" s="6" t="s">
        <v>98</v>
      </c>
      <c r="AD105" s="61" t="str">
        <f t="shared" ref="AD105:AM105" si="57">IF(ISBLANK(AD56),"",ABS((10^$AE$111+(10^$AE$112-10^$AE$111)/((1+(($W75/(10^$AE$113))^$AE$114))^(10^$AE$115)))-AD56)/IF(ProtocolName="ABQuantAssay",ABS((10^$AE$111+(10^$AE$112-10^$AE$111)/((1+(($W75/(10^$AE$113))^$AE$114))^(10^$AE$115)))),1)*100)</f>
        <v/>
      </c>
      <c r="AE105" s="61" t="str">
        <f t="shared" si="57"/>
        <v/>
      </c>
      <c r="AF105" s="61" t="str">
        <f t="shared" si="57"/>
        <v/>
      </c>
      <c r="AG105" s="61" t="str">
        <f t="shared" si="57"/>
        <v/>
      </c>
      <c r="AH105" s="61" t="str">
        <f t="shared" si="57"/>
        <v/>
      </c>
      <c r="AI105" s="61" t="str">
        <f t="shared" si="57"/>
        <v/>
      </c>
      <c r="AJ105" s="61" t="str">
        <f t="shared" si="57"/>
        <v/>
      </c>
      <c r="AK105" s="61" t="str">
        <f t="shared" si="57"/>
        <v/>
      </c>
      <c r="AL105" s="61" t="str">
        <f t="shared" si="57"/>
        <v/>
      </c>
      <c r="AM105" s="61" t="str">
        <f t="shared" si="57"/>
        <v/>
      </c>
      <c r="AN105" s="7">
        <f ca="1">COUNTIF(INDIRECT("'Sample Setup'!R27C"&amp;1+'Sample Setup'!$O$7,0):INDIRECT("'Sample Setup'!R34C"&amp;1+'Sample Setup'!$Q$7,0),AC105)</f>
        <v>0</v>
      </c>
    </row>
    <row r="106" spans="1:40" hidden="1" x14ac:dyDescent="0.25">
      <c r="A106" s="6" t="s">
        <v>99</v>
      </c>
      <c r="B106" s="61" t="str">
        <f t="shared" ref="B106:K106" si="58">IF(ISBLANK(B57),"",ABS((10^$C$111+(10^$C$112-10^$C$111)/((1+(($Q76/(10^$C$113))^$C$114))^(10^$C$115)))-B57)/IF(ProtocolName="ABQuantAssay",ABS((10^$C$111+(10^$C$112-10^$C$111)/((1+(($Q76/(10^$C$113))^$C$114))^(10^$C$115)))),1)*100)</f>
        <v/>
      </c>
      <c r="C106" s="61" t="str">
        <f t="shared" si="58"/>
        <v/>
      </c>
      <c r="D106" s="61" t="str">
        <f t="shared" si="58"/>
        <v/>
      </c>
      <c r="E106" s="61" t="str">
        <f t="shared" si="58"/>
        <v/>
      </c>
      <c r="F106" s="61" t="str">
        <f t="shared" si="58"/>
        <v/>
      </c>
      <c r="G106" s="61" t="str">
        <f t="shared" si="58"/>
        <v/>
      </c>
      <c r="H106" s="61" t="str">
        <f t="shared" si="58"/>
        <v/>
      </c>
      <c r="I106" s="61" t="str">
        <f t="shared" si="58"/>
        <v/>
      </c>
      <c r="J106" s="61" t="str">
        <f t="shared" si="58"/>
        <v/>
      </c>
      <c r="K106" s="61" t="str">
        <f t="shared" si="58"/>
        <v/>
      </c>
      <c r="L106" s="7">
        <f ca="1">COUNTIF(INDIRECT("'Sample Setup'!R27C"&amp;1+'Sample Setup'!$O$5,0):INDIRECT("'Sample Setup'!R34C"&amp;1+'Sample Setup'!$Q$5,0),A106)</f>
        <v>0</v>
      </c>
      <c r="O106" s="6" t="s">
        <v>99</v>
      </c>
      <c r="P106" s="61" t="str">
        <f t="shared" ref="P106:Y106" si="59">IF(ISBLANK(P57),"",ABS((10^$Q$111+(10^$Q$112-10^$Q$111)/((1+(($T76/(10^$Q$113))^$Q$114))^(10^$Q$115)))-P57)/IF(ProtocolName="ABQuantAssay",ABS((10^$Q$111+(10^$Q$112-10^$Q$111)/((1+(($T76/(10^$Q$113))^$Q$114))^(10^$Q$115)))),1)*100)</f>
        <v/>
      </c>
      <c r="Q106" s="61" t="str">
        <f t="shared" si="59"/>
        <v/>
      </c>
      <c r="R106" s="61" t="str">
        <f t="shared" si="59"/>
        <v/>
      </c>
      <c r="S106" s="61" t="str">
        <f t="shared" si="59"/>
        <v/>
      </c>
      <c r="T106" s="61" t="str">
        <f t="shared" si="59"/>
        <v/>
      </c>
      <c r="U106" s="61" t="str">
        <f t="shared" si="59"/>
        <v/>
      </c>
      <c r="V106" s="61" t="str">
        <f t="shared" si="59"/>
        <v/>
      </c>
      <c r="W106" s="61" t="str">
        <f t="shared" si="59"/>
        <v/>
      </c>
      <c r="X106" s="61" t="str">
        <f t="shared" si="59"/>
        <v/>
      </c>
      <c r="Y106" s="61" t="str">
        <f t="shared" si="59"/>
        <v/>
      </c>
      <c r="Z106" s="7">
        <f ca="1">COUNTIF(INDIRECT("'Sample Setup'!R27C"&amp;1+'Sample Setup'!$O$6,0):INDIRECT("'Sample Setup'!R34C"&amp;1+'Sample Setup'!$Q$6,0),O106)</f>
        <v>0</v>
      </c>
      <c r="AC106" s="6" t="s">
        <v>99</v>
      </c>
      <c r="AD106" s="61" t="str">
        <f t="shared" ref="AD106:AM106" si="60">IF(ISBLANK(AD57),"",ABS((10^$AE$111+(10^$AE$112-10^$AE$111)/((1+(($W76/(10^$AE$113))^$AE$114))^(10^$AE$115)))-AD57)/IF(ProtocolName="ABQuantAssay",ABS((10^$AE$111+(10^$AE$112-10^$AE$111)/((1+(($W76/(10^$AE$113))^$AE$114))^(10^$AE$115)))),1)*100)</f>
        <v/>
      </c>
      <c r="AE106" s="61" t="str">
        <f t="shared" si="60"/>
        <v/>
      </c>
      <c r="AF106" s="61" t="str">
        <f t="shared" si="60"/>
        <v/>
      </c>
      <c r="AG106" s="61" t="str">
        <f t="shared" si="60"/>
        <v/>
      </c>
      <c r="AH106" s="61" t="str">
        <f t="shared" si="60"/>
        <v/>
      </c>
      <c r="AI106" s="61" t="str">
        <f t="shared" si="60"/>
        <v/>
      </c>
      <c r="AJ106" s="61" t="str">
        <f t="shared" si="60"/>
        <v/>
      </c>
      <c r="AK106" s="61" t="str">
        <f t="shared" si="60"/>
        <v/>
      </c>
      <c r="AL106" s="61" t="str">
        <f t="shared" si="60"/>
        <v/>
      </c>
      <c r="AM106" s="61" t="str">
        <f t="shared" si="60"/>
        <v/>
      </c>
      <c r="AN106" s="7">
        <f ca="1">COUNTIF(INDIRECT("'Sample Setup'!R27C"&amp;1+'Sample Setup'!$O$7,0):INDIRECT("'Sample Setup'!R34C"&amp;1+'Sample Setup'!$Q$7,0),AC106)</f>
        <v>0</v>
      </c>
    </row>
    <row r="107" spans="1:40" hidden="1" x14ac:dyDescent="0.25">
      <c r="A107" s="6" t="s">
        <v>100</v>
      </c>
      <c r="B107" s="61" t="str">
        <f t="shared" ref="B107:K107" si="61">IF(ISBLANK(B58),"",ABS((10^$C$111+(10^$C$112-10^$C$111)/((1+(($Q77/(10^$C$113))^$C$114))^(10^$C$115)))-B58)/IF(ProtocolName="ABQuantAssay",ABS((10^$C$111+(10^$C$112-10^$C$111)/((1+(($Q77/(10^$C$113))^$C$114))^(10^$C$115)))),1)*100)</f>
        <v/>
      </c>
      <c r="C107" s="61" t="str">
        <f t="shared" si="61"/>
        <v/>
      </c>
      <c r="D107" s="61" t="str">
        <f t="shared" si="61"/>
        <v/>
      </c>
      <c r="E107" s="61" t="str">
        <f t="shared" si="61"/>
        <v/>
      </c>
      <c r="F107" s="61" t="str">
        <f t="shared" si="61"/>
        <v/>
      </c>
      <c r="G107" s="61" t="str">
        <f t="shared" si="61"/>
        <v/>
      </c>
      <c r="H107" s="61" t="str">
        <f t="shared" si="61"/>
        <v/>
      </c>
      <c r="I107" s="61" t="str">
        <f t="shared" si="61"/>
        <v/>
      </c>
      <c r="J107" s="61" t="str">
        <f t="shared" si="61"/>
        <v/>
      </c>
      <c r="K107" s="61" t="str">
        <f t="shared" si="61"/>
        <v/>
      </c>
      <c r="L107" s="7">
        <f ca="1">COUNTIF(INDIRECT("'Sample Setup'!R27C"&amp;1+'Sample Setup'!$O$5,0):INDIRECT("'Sample Setup'!R34C"&amp;1+'Sample Setup'!$Q$5,0),A107)</f>
        <v>0</v>
      </c>
      <c r="O107" s="6" t="s">
        <v>100</v>
      </c>
      <c r="P107" s="61" t="str">
        <f t="shared" ref="P107:Y107" si="62">IF(ISBLANK(P58),"",ABS((10^$Q$111+(10^$Q$112-10^$Q$111)/((1+(($T77/(10^$Q$113))^$Q$114))^(10^$Q$115)))-P58)/IF(ProtocolName="ABQuantAssay",ABS((10^$Q$111+(10^$Q$112-10^$Q$111)/((1+(($T77/(10^$Q$113))^$Q$114))^(10^$Q$115)))),1)*100)</f>
        <v/>
      </c>
      <c r="Q107" s="61" t="str">
        <f t="shared" si="62"/>
        <v/>
      </c>
      <c r="R107" s="61" t="str">
        <f t="shared" si="62"/>
        <v/>
      </c>
      <c r="S107" s="61" t="str">
        <f t="shared" si="62"/>
        <v/>
      </c>
      <c r="T107" s="61" t="str">
        <f t="shared" si="62"/>
        <v/>
      </c>
      <c r="U107" s="61" t="str">
        <f t="shared" si="62"/>
        <v/>
      </c>
      <c r="V107" s="61" t="str">
        <f t="shared" si="62"/>
        <v/>
      </c>
      <c r="W107" s="61" t="str">
        <f t="shared" si="62"/>
        <v/>
      </c>
      <c r="X107" s="61" t="str">
        <f t="shared" si="62"/>
        <v/>
      </c>
      <c r="Y107" s="61" t="str">
        <f t="shared" si="62"/>
        <v/>
      </c>
      <c r="Z107" s="7">
        <f ca="1">COUNTIF(INDIRECT("'Sample Setup'!R27C"&amp;1+'Sample Setup'!$O$6,0):INDIRECT("'Sample Setup'!R34C"&amp;1+'Sample Setup'!$Q$6,0),O107)</f>
        <v>0</v>
      </c>
      <c r="AC107" s="6" t="s">
        <v>100</v>
      </c>
      <c r="AD107" s="61" t="str">
        <f t="shared" ref="AD107:AM107" si="63">IF(ISBLANK(AD58),"",ABS((10^$AE$111+(10^$AE$112-10^$AE$111)/((1+(($W77/(10^$AE$113))^$AE$114))^(10^$AE$115)))-AD58)/IF(ProtocolName="ABQuantAssay",ABS((10^$AE$111+(10^$AE$112-10^$AE$111)/((1+(($W77/(10^$AE$113))^$AE$114))^(10^$AE$115)))),1)*100)</f>
        <v/>
      </c>
      <c r="AE107" s="61" t="str">
        <f t="shared" si="63"/>
        <v/>
      </c>
      <c r="AF107" s="61" t="str">
        <f t="shared" si="63"/>
        <v/>
      </c>
      <c r="AG107" s="61" t="str">
        <f t="shared" si="63"/>
        <v/>
      </c>
      <c r="AH107" s="61" t="str">
        <f t="shared" si="63"/>
        <v/>
      </c>
      <c r="AI107" s="61" t="str">
        <f t="shared" si="63"/>
        <v/>
      </c>
      <c r="AJ107" s="61" t="str">
        <f t="shared" si="63"/>
        <v/>
      </c>
      <c r="AK107" s="61" t="str">
        <f t="shared" si="63"/>
        <v/>
      </c>
      <c r="AL107" s="61" t="str">
        <f t="shared" si="63"/>
        <v/>
      </c>
      <c r="AM107" s="61" t="str">
        <f t="shared" si="63"/>
        <v/>
      </c>
      <c r="AN107" s="7">
        <f ca="1">COUNTIF(INDIRECT("'Sample Setup'!R27C"&amp;1+'Sample Setup'!$O$7,0):INDIRECT("'Sample Setup'!R34C"&amp;1+'Sample Setup'!$Q$7,0),AC107)</f>
        <v>0</v>
      </c>
    </row>
    <row r="108" spans="1:40" hidden="1" x14ac:dyDescent="0.25">
      <c r="A108" s="6" t="s">
        <v>101</v>
      </c>
      <c r="B108" s="61" t="str">
        <f t="shared" ref="B108:K108" si="64">IF(ISBLANK(B59),"",ABS((10^$C$111+(10^$C$112-10^$C$111)/((1+(($Q78/(10^$C$113))^$C$114))^(10^$C$115)))-B59)/IF(ProtocolName="ABQuantAssay",ABS((10^$C$111+(10^$C$112-10^$C$111)/((1+(($Q78/(10^$C$113))^$C$114))^(10^$C$115)))),1)*100)</f>
        <v/>
      </c>
      <c r="C108" s="61" t="str">
        <f t="shared" si="64"/>
        <v/>
      </c>
      <c r="D108" s="61" t="str">
        <f t="shared" si="64"/>
        <v/>
      </c>
      <c r="E108" s="61" t="str">
        <f t="shared" si="64"/>
        <v/>
      </c>
      <c r="F108" s="61" t="str">
        <f t="shared" si="64"/>
        <v/>
      </c>
      <c r="G108" s="61" t="str">
        <f t="shared" si="64"/>
        <v/>
      </c>
      <c r="H108" s="61" t="str">
        <f t="shared" si="64"/>
        <v/>
      </c>
      <c r="I108" s="61" t="str">
        <f t="shared" si="64"/>
        <v/>
      </c>
      <c r="J108" s="61" t="str">
        <f t="shared" si="64"/>
        <v/>
      </c>
      <c r="K108" s="61" t="str">
        <f t="shared" si="64"/>
        <v/>
      </c>
      <c r="L108" s="7">
        <f ca="1">COUNTIF(INDIRECT("'Sample Setup'!R27C"&amp;1+'Sample Setup'!$O$5,0):INDIRECT("'Sample Setup'!R34C"&amp;1+'Sample Setup'!$Q$5,0),A108)</f>
        <v>0</v>
      </c>
      <c r="O108" s="6" t="s">
        <v>101</v>
      </c>
      <c r="P108" s="61" t="str">
        <f t="shared" ref="P108:Y108" si="65">IF(ISBLANK(P59),"",ABS((10^$Q$111+(10^$Q$112-10^$Q$111)/((1+(($T78/(10^$Q$113))^$Q$114))^(10^$Q$115)))-P59)/IF(ProtocolName="ABQuantAssay",ABS((10^$Q$111+(10^$Q$112-10^$Q$111)/((1+(($T78/(10^$Q$113))^$Q$114))^(10^$Q$115)))),1)*100)</f>
        <v/>
      </c>
      <c r="Q108" s="61" t="str">
        <f t="shared" si="65"/>
        <v/>
      </c>
      <c r="R108" s="61" t="str">
        <f t="shared" si="65"/>
        <v/>
      </c>
      <c r="S108" s="61" t="str">
        <f t="shared" si="65"/>
        <v/>
      </c>
      <c r="T108" s="61" t="str">
        <f t="shared" si="65"/>
        <v/>
      </c>
      <c r="U108" s="61" t="str">
        <f t="shared" si="65"/>
        <v/>
      </c>
      <c r="V108" s="61" t="str">
        <f t="shared" si="65"/>
        <v/>
      </c>
      <c r="W108" s="61" t="str">
        <f t="shared" si="65"/>
        <v/>
      </c>
      <c r="X108" s="61" t="str">
        <f t="shared" si="65"/>
        <v/>
      </c>
      <c r="Y108" s="61" t="str">
        <f t="shared" si="65"/>
        <v/>
      </c>
      <c r="Z108" s="7">
        <f ca="1">COUNTIF(INDIRECT("'Sample Setup'!R27C"&amp;1+'Sample Setup'!$O$6,0):INDIRECT("'Sample Setup'!R34C"&amp;1+'Sample Setup'!$Q$6,0),O108)</f>
        <v>0</v>
      </c>
      <c r="AC108" s="6" t="s">
        <v>101</v>
      </c>
      <c r="AD108" s="61" t="str">
        <f t="shared" ref="AD108:AM108" si="66">IF(ISBLANK(AD59),"",ABS((10^$AE$111+(10^$AE$112-10^$AE$111)/((1+(($W78/(10^$AE$113))^$AE$114))^(10^$AE$115)))-AD59)/IF(ProtocolName="ABQuantAssay",ABS((10^$AE$111+(10^$AE$112-10^$AE$111)/((1+(($W78/(10^$AE$113))^$AE$114))^(10^$AE$115)))),1)*100)</f>
        <v/>
      </c>
      <c r="AE108" s="61" t="str">
        <f t="shared" si="66"/>
        <v/>
      </c>
      <c r="AF108" s="61" t="str">
        <f t="shared" si="66"/>
        <v/>
      </c>
      <c r="AG108" s="61" t="str">
        <f t="shared" si="66"/>
        <v/>
      </c>
      <c r="AH108" s="61" t="str">
        <f t="shared" si="66"/>
        <v/>
      </c>
      <c r="AI108" s="61" t="str">
        <f t="shared" si="66"/>
        <v/>
      </c>
      <c r="AJ108" s="61" t="str">
        <f t="shared" si="66"/>
        <v/>
      </c>
      <c r="AK108" s="61" t="str">
        <f t="shared" si="66"/>
        <v/>
      </c>
      <c r="AL108" s="61" t="str">
        <f t="shared" si="66"/>
        <v/>
      </c>
      <c r="AM108" s="61" t="str">
        <f t="shared" si="66"/>
        <v/>
      </c>
      <c r="AN108" s="7">
        <f ca="1">COUNTIF(INDIRECT("'Sample Setup'!R27C"&amp;1+'Sample Setup'!$O$7,0):INDIRECT("'Sample Setup'!R34C"&amp;1+'Sample Setup'!$Q$7,0),AC108)</f>
        <v>0</v>
      </c>
    </row>
    <row r="109" spans="1:40" hidden="1" x14ac:dyDescent="0.25"/>
    <row r="110" spans="1:40" hidden="1" x14ac:dyDescent="0.25">
      <c r="A110" s="759"/>
      <c r="B110" s="759"/>
      <c r="C110" s="13" t="s">
        <v>395</v>
      </c>
      <c r="F110" s="756"/>
      <c r="G110" s="758"/>
      <c r="H110" s="759" t="s">
        <v>96</v>
      </c>
      <c r="I110" s="759"/>
      <c r="J110" s="759"/>
      <c r="K110" s="759"/>
      <c r="O110" s="759"/>
      <c r="P110" s="759"/>
      <c r="Q110" s="13" t="s">
        <v>395</v>
      </c>
      <c r="T110" s="756"/>
      <c r="U110" s="758"/>
      <c r="V110" s="759" t="s">
        <v>96</v>
      </c>
      <c r="W110" s="759"/>
      <c r="X110" s="759"/>
      <c r="Y110" s="759"/>
      <c r="AC110" s="759"/>
      <c r="AD110" s="759"/>
      <c r="AE110" s="13" t="s">
        <v>395</v>
      </c>
      <c r="AH110" s="756"/>
      <c r="AI110" s="758"/>
      <c r="AJ110" s="759" t="s">
        <v>96</v>
      </c>
      <c r="AK110" s="759"/>
      <c r="AL110" s="759"/>
      <c r="AM110" s="759"/>
    </row>
    <row r="111" spans="1:40" hidden="1" x14ac:dyDescent="0.25">
      <c r="A111" s="759" t="s">
        <v>390</v>
      </c>
      <c r="B111" s="756"/>
      <c r="C111" s="53">
        <v>-2.3227404000388288</v>
      </c>
      <c r="F111" s="756" t="s">
        <v>390</v>
      </c>
      <c r="G111" s="758"/>
      <c r="H111" s="44">
        <f>LOG(MIN($B$44:$K$59))</f>
        <v>-1.8239087409443189</v>
      </c>
      <c r="I111" s="44">
        <f>LOG(MIN($B$44:$K$59))</f>
        <v>-1.8239087409443189</v>
      </c>
      <c r="J111" s="44">
        <f>LOG(MIN($B$44:$K$59))</f>
        <v>-1.8239087409443189</v>
      </c>
      <c r="K111" s="44">
        <f>LOG(MIN($B$44:$K$59))</f>
        <v>-1.8239087409443189</v>
      </c>
      <c r="O111" s="759" t="s">
        <v>390</v>
      </c>
      <c r="P111" s="756"/>
      <c r="Q111" s="53"/>
      <c r="T111" s="756" t="s">
        <v>390</v>
      </c>
      <c r="U111" s="758"/>
      <c r="V111" s="44" t="e">
        <f>LOG(MIN($P$44:$Y$59))</f>
        <v>#NUM!</v>
      </c>
      <c r="W111" s="44" t="e">
        <f>LOG(MIN($P$44:$Y$59))</f>
        <v>#NUM!</v>
      </c>
      <c r="X111" s="44" t="e">
        <f>LOG(MIN($P$44:$Y$59))</f>
        <v>#NUM!</v>
      </c>
      <c r="Y111" s="44" t="e">
        <f>LOG(MIN($P$44:$Y$59))</f>
        <v>#NUM!</v>
      </c>
      <c r="AC111" s="759" t="s">
        <v>390</v>
      </c>
      <c r="AD111" s="756"/>
      <c r="AE111" s="53"/>
      <c r="AH111" s="756" t="s">
        <v>390</v>
      </c>
      <c r="AI111" s="758"/>
      <c r="AJ111" s="44" t="e">
        <f>LOG(MIN($AD$44:$AM$59))</f>
        <v>#NUM!</v>
      </c>
      <c r="AK111" s="44" t="e">
        <f>LOG(MIN($AD$44:$AM$59))</f>
        <v>#NUM!</v>
      </c>
      <c r="AL111" s="44" t="e">
        <f>LOG(MIN($AD$44:$AM$59))</f>
        <v>#NUM!</v>
      </c>
      <c r="AM111" s="44" t="e">
        <f>LOG(MIN($AD$44:$AM$59))</f>
        <v>#NUM!</v>
      </c>
    </row>
    <row r="112" spans="1:40" hidden="1" x14ac:dyDescent="0.25">
      <c r="A112" s="759" t="s">
        <v>391</v>
      </c>
      <c r="B112" s="756"/>
      <c r="C112" s="53">
        <v>0.43483608911105998</v>
      </c>
      <c r="F112" s="756" t="s">
        <v>391</v>
      </c>
      <c r="G112" s="758"/>
      <c r="H112" s="44">
        <f>LOG(MAX($B$44:$K$59))</f>
        <v>0.42813479402878885</v>
      </c>
      <c r="I112" s="44">
        <f>LOG(MAX($B$44:$K$59))</f>
        <v>0.42813479402878885</v>
      </c>
      <c r="J112" s="44">
        <f>LOG(MAX($B$44:$K$59))</f>
        <v>0.42813479402878885</v>
      </c>
      <c r="K112" s="44">
        <f>LOG(MAX($B$44:$K$59))</f>
        <v>0.42813479402878885</v>
      </c>
      <c r="O112" s="759" t="s">
        <v>391</v>
      </c>
      <c r="P112" s="756"/>
      <c r="Q112" s="53"/>
      <c r="T112" s="756" t="s">
        <v>391</v>
      </c>
      <c r="U112" s="758"/>
      <c r="V112" s="44" t="e">
        <f>LOG(MAX($P$44:$Y$59))</f>
        <v>#NUM!</v>
      </c>
      <c r="W112" s="44" t="e">
        <f>LOG(MAX($P$44:$Y$59))</f>
        <v>#NUM!</v>
      </c>
      <c r="X112" s="44" t="e">
        <f>LOG(MAX($P$44:$Y$59))</f>
        <v>#NUM!</v>
      </c>
      <c r="Y112" s="44" t="e">
        <f>LOG(MAX($P$44:$Y$59))</f>
        <v>#NUM!</v>
      </c>
      <c r="AC112" s="759" t="s">
        <v>391</v>
      </c>
      <c r="AD112" s="756"/>
      <c r="AE112" s="53"/>
      <c r="AH112" s="756" t="s">
        <v>391</v>
      </c>
      <c r="AI112" s="758"/>
      <c r="AJ112" s="44" t="e">
        <f>LOG(MAX($AD$44:$AM$59))</f>
        <v>#NUM!</v>
      </c>
      <c r="AK112" s="44" t="e">
        <f>LOG(MAX($AD$44:$AM$59))</f>
        <v>#NUM!</v>
      </c>
      <c r="AL112" s="44" t="e">
        <f>LOG(MAX($AD$44:$AM$59))</f>
        <v>#NUM!</v>
      </c>
      <c r="AM112" s="44" t="e">
        <f>LOG(MAX($AD$44:$AM$59))</f>
        <v>#NUM!</v>
      </c>
    </row>
    <row r="113" spans="1:49" hidden="1" x14ac:dyDescent="0.25">
      <c r="A113" s="759" t="s">
        <v>392</v>
      </c>
      <c r="B113" s="756"/>
      <c r="C113" s="53">
        <v>2.6460883937349733</v>
      </c>
      <c r="F113" s="756" t="s">
        <v>392</v>
      </c>
      <c r="G113" s="758"/>
      <c r="H113" s="56">
        <f>AVERAGE($C$121:$C$122)</f>
        <v>1.5686362358410126</v>
      </c>
      <c r="I113" s="56">
        <f>AVERAGE($C$121:$C$122)</f>
        <v>1.5686362358410126</v>
      </c>
      <c r="J113" s="56">
        <f>AVERAGE($C$121:$C$122)</f>
        <v>1.5686362358410126</v>
      </c>
      <c r="K113" s="56">
        <f>AVERAGE($C$121:$C$122)</f>
        <v>1.5686362358410126</v>
      </c>
      <c r="O113" s="759" t="s">
        <v>392</v>
      </c>
      <c r="P113" s="756"/>
      <c r="Q113" s="53"/>
      <c r="T113" s="756" t="s">
        <v>392</v>
      </c>
      <c r="U113" s="758"/>
      <c r="V113" s="56" t="e">
        <f>AVERAGE($Q$121:$Q$122)</f>
        <v>#NUM!</v>
      </c>
      <c r="W113" s="56" t="e">
        <f>AVERAGE($Q$121:$Q$122)</f>
        <v>#NUM!</v>
      </c>
      <c r="X113" s="56" t="e">
        <f>AVERAGE($Q$121:$Q$122)</f>
        <v>#NUM!</v>
      </c>
      <c r="Y113" s="56" t="e">
        <f>AVERAGE($Q$121:$Q$122)</f>
        <v>#NUM!</v>
      </c>
      <c r="AC113" s="759" t="s">
        <v>392</v>
      </c>
      <c r="AD113" s="756"/>
      <c r="AE113" s="53"/>
      <c r="AH113" s="756" t="s">
        <v>392</v>
      </c>
      <c r="AI113" s="758"/>
      <c r="AJ113" s="56" t="e">
        <f>AVERAGE($AE$121:$AE$122)</f>
        <v>#NUM!</v>
      </c>
      <c r="AK113" s="56" t="e">
        <f>AVERAGE($AE$121:$AE$122)</f>
        <v>#NUM!</v>
      </c>
      <c r="AL113" s="56" t="e">
        <f>AVERAGE($AE$121:$AE$122)</f>
        <v>#NUM!</v>
      </c>
      <c r="AM113" s="56" t="e">
        <f>AVERAGE($AE$121:$AE$122)</f>
        <v>#NUM!</v>
      </c>
    </row>
    <row r="114" spans="1:49" hidden="1" x14ac:dyDescent="0.25">
      <c r="A114" s="759" t="s">
        <v>393</v>
      </c>
      <c r="B114" s="756"/>
      <c r="C114" s="53">
        <v>-3.1534817573315839</v>
      </c>
      <c r="F114" s="756" t="s">
        <v>393</v>
      </c>
      <c r="G114" s="758"/>
      <c r="H114" s="44">
        <f>-3*(H112-H111)/C123</f>
        <v>-2.3600327093961879</v>
      </c>
      <c r="I114" s="44">
        <f>-6*(I112-I111)/C123</f>
        <v>-4.7200654187923758</v>
      </c>
      <c r="J114" s="44">
        <f>-3*(J112-J111)/C123</f>
        <v>-2.3600327093961879</v>
      </c>
      <c r="K114" s="44">
        <f>-4*(K112-K111)/C123</f>
        <v>-3.1467102791949175</v>
      </c>
      <c r="O114" s="759" t="s">
        <v>393</v>
      </c>
      <c r="P114" s="756"/>
      <c r="Q114" s="53"/>
      <c r="T114" s="756" t="s">
        <v>393</v>
      </c>
      <c r="U114" s="758"/>
      <c r="V114" s="44" t="e">
        <f>-3*(V112-V111)/Q123</f>
        <v>#NUM!</v>
      </c>
      <c r="W114" s="44" t="e">
        <f>-6*(W112-W111)/Q123</f>
        <v>#NUM!</v>
      </c>
      <c r="X114" s="44" t="e">
        <f>-3*(X112-X111)/Q123</f>
        <v>#NUM!</v>
      </c>
      <c r="Y114" s="44" t="e">
        <f>-4*(Y112-Y111)/Q123</f>
        <v>#NUM!</v>
      </c>
      <c r="AC114" s="759" t="s">
        <v>393</v>
      </c>
      <c r="AD114" s="756"/>
      <c r="AE114" s="53"/>
      <c r="AH114" s="756" t="s">
        <v>393</v>
      </c>
      <c r="AI114" s="758"/>
      <c r="AJ114" s="44" t="e">
        <f>-3*(AJ112-AJ111)/AE123</f>
        <v>#NUM!</v>
      </c>
      <c r="AK114" s="44" t="e">
        <f>-6*(AK112-AK111)/AE123</f>
        <v>#NUM!</v>
      </c>
      <c r="AL114" s="44" t="e">
        <f>-3*(AL112-AL111)/AE123</f>
        <v>#NUM!</v>
      </c>
      <c r="AM114" s="44" t="e">
        <f>-4*(AM112-AM111)/AE123</f>
        <v>#NUM!</v>
      </c>
    </row>
    <row r="115" spans="1:49" hidden="1" x14ac:dyDescent="0.25">
      <c r="A115" s="759" t="s">
        <v>394</v>
      </c>
      <c r="B115" s="756"/>
      <c r="C115" s="53">
        <v>-0.5220758993549639</v>
      </c>
      <c r="F115" s="756" t="s">
        <v>394</v>
      </c>
      <c r="G115" s="758"/>
      <c r="H115" s="44">
        <f>LOG(1)</f>
        <v>0</v>
      </c>
      <c r="I115" s="44">
        <f>LOG(0.25)</f>
        <v>-0.6020599913279624</v>
      </c>
      <c r="J115" s="121">
        <f>LOG(2)</f>
        <v>0.3010299956639812</v>
      </c>
      <c r="K115" s="45">
        <f>LOG(0.5)</f>
        <v>-0.3010299956639812</v>
      </c>
      <c r="O115" s="759" t="s">
        <v>394</v>
      </c>
      <c r="P115" s="756"/>
      <c r="Q115" s="53"/>
      <c r="T115" s="756" t="s">
        <v>394</v>
      </c>
      <c r="U115" s="758"/>
      <c r="V115" s="44">
        <f>LOG(1)</f>
        <v>0</v>
      </c>
      <c r="W115" s="44">
        <f>LOG(0.25)</f>
        <v>-0.6020599913279624</v>
      </c>
      <c r="X115" s="121">
        <f>LOG(2)</f>
        <v>0.3010299956639812</v>
      </c>
      <c r="Y115" s="121">
        <f>LOG(0.5)</f>
        <v>-0.3010299956639812</v>
      </c>
      <c r="AC115" s="759" t="s">
        <v>394</v>
      </c>
      <c r="AD115" s="756"/>
      <c r="AE115" s="53"/>
      <c r="AH115" s="756" t="s">
        <v>394</v>
      </c>
      <c r="AI115" s="758"/>
      <c r="AJ115" s="44">
        <f>LOG(1)</f>
        <v>0</v>
      </c>
      <c r="AK115" s="44">
        <f>LOG(0.25)</f>
        <v>-0.6020599913279624</v>
      </c>
      <c r="AL115" s="121">
        <f>LOG(2)</f>
        <v>0.3010299956639812</v>
      </c>
      <c r="AM115" s="121">
        <f>LOG(0.5)</f>
        <v>-0.3010299956639812</v>
      </c>
    </row>
    <row r="116" spans="1:49" hidden="1" x14ac:dyDescent="0.25">
      <c r="A116" s="759" t="s">
        <v>400</v>
      </c>
      <c r="B116" s="759"/>
      <c r="C116" s="62">
        <f>AVERAGE(B93:K108)</f>
        <v>4.9632692268889347</v>
      </c>
      <c r="O116" s="759" t="s">
        <v>400</v>
      </c>
      <c r="P116" s="759"/>
      <c r="Q116" s="62" t="e">
        <f>AVERAGE(P93:Y108)</f>
        <v>#DIV/0!</v>
      </c>
      <c r="AC116" s="759" t="s">
        <v>400</v>
      </c>
      <c r="AD116" s="759"/>
      <c r="AE116" s="62" t="e">
        <f>AVERAGE(AD93:AM108)</f>
        <v>#DIV/0!</v>
      </c>
    </row>
    <row r="117" spans="1:49" hidden="1" x14ac:dyDescent="0.25">
      <c r="A117" s="58"/>
      <c r="B117" s="58"/>
      <c r="C117" s="58"/>
      <c r="F117" s="738"/>
      <c r="G117" s="738"/>
      <c r="H117" s="756" t="s">
        <v>170</v>
      </c>
      <c r="I117" s="757"/>
      <c r="J117" s="757"/>
      <c r="K117" s="758"/>
      <c r="O117" s="58"/>
      <c r="P117" s="58"/>
      <c r="Q117" s="58"/>
      <c r="T117" s="738"/>
      <c r="U117" s="738"/>
      <c r="V117" s="756" t="s">
        <v>170</v>
      </c>
      <c r="W117" s="757"/>
      <c r="X117" s="757"/>
      <c r="Y117" s="758"/>
      <c r="AC117" s="58"/>
      <c r="AD117" s="58"/>
      <c r="AE117" s="58"/>
      <c r="AH117" s="738"/>
      <c r="AI117" s="738"/>
      <c r="AJ117" s="756" t="s">
        <v>170</v>
      </c>
      <c r="AK117" s="757"/>
      <c r="AL117" s="757"/>
      <c r="AM117" s="758"/>
    </row>
    <row r="118" spans="1:49" hidden="1" x14ac:dyDescent="0.25">
      <c r="A118" s="759" t="s">
        <v>223</v>
      </c>
      <c r="B118" s="759"/>
      <c r="C118" s="759"/>
      <c r="F118" s="756" t="s">
        <v>390</v>
      </c>
      <c r="G118" s="758"/>
      <c r="H118" s="53">
        <v>-2.0042693086356915</v>
      </c>
      <c r="I118" s="53">
        <v>-2.2439342470513646</v>
      </c>
      <c r="J118" s="53">
        <v>-1.983598927829695</v>
      </c>
      <c r="K118" s="53">
        <v>-2.3227404000388288</v>
      </c>
      <c r="O118" s="759" t="s">
        <v>223</v>
      </c>
      <c r="P118" s="759"/>
      <c r="Q118" s="759"/>
      <c r="T118" s="756" t="s">
        <v>390</v>
      </c>
      <c r="U118" s="758"/>
      <c r="V118" s="51"/>
      <c r="W118" s="44"/>
      <c r="X118" s="44"/>
      <c r="Y118" s="44"/>
      <c r="AC118" s="759" t="s">
        <v>223</v>
      </c>
      <c r="AD118" s="759"/>
      <c r="AE118" s="759"/>
      <c r="AH118" s="756" t="s">
        <v>390</v>
      </c>
      <c r="AI118" s="758"/>
      <c r="AJ118" s="51"/>
      <c r="AK118" s="44"/>
      <c r="AL118" s="44"/>
      <c r="AM118" s="44"/>
    </row>
    <row r="119" spans="1:49" hidden="1" x14ac:dyDescent="0.25">
      <c r="A119" s="761" t="s">
        <v>398</v>
      </c>
      <c r="B119" s="761"/>
      <c r="C119" s="54">
        <f>$AL$77+($AL$78-$AL$77)/((1+(10^C121/$AL$79)^$AL$80))^$AL$81</f>
        <v>1.8742513597752104E-2</v>
      </c>
      <c r="F119" s="756" t="s">
        <v>391</v>
      </c>
      <c r="G119" s="758"/>
      <c r="H119" s="53">
        <v>0.45906446062592471</v>
      </c>
      <c r="I119" s="53">
        <v>0.43675558937387149</v>
      </c>
      <c r="J119" s="53">
        <v>0.46842711451293795</v>
      </c>
      <c r="K119" s="53">
        <v>0.43483608911105998</v>
      </c>
      <c r="O119" s="761" t="s">
        <v>398</v>
      </c>
      <c r="P119" s="761"/>
      <c r="Q119" s="54" t="e">
        <f>$AM$77+($AM$78-$AM$77)/((1+(10^Q121/$AM$79)^$AM$80))^$AM$81</f>
        <v>#NUM!</v>
      </c>
      <c r="T119" s="756" t="s">
        <v>391</v>
      </c>
      <c r="U119" s="758"/>
      <c r="V119" s="51"/>
      <c r="W119" s="44"/>
      <c r="X119" s="44"/>
      <c r="Y119" s="44"/>
      <c r="AC119" s="761" t="s">
        <v>398</v>
      </c>
      <c r="AD119" s="761"/>
      <c r="AE119" s="54" t="e">
        <f>$AN$77+($AN$78-$AN$77)/((1+(10^AE121/$AN$79)^$AN$80))^$AN$81</f>
        <v>#NUM!</v>
      </c>
      <c r="AH119" s="756" t="s">
        <v>391</v>
      </c>
      <c r="AI119" s="758"/>
      <c r="AJ119" s="51"/>
      <c r="AK119" s="44"/>
      <c r="AL119" s="44"/>
      <c r="AM119" s="44"/>
    </row>
    <row r="120" spans="1:49" hidden="1" x14ac:dyDescent="0.25">
      <c r="A120" s="761" t="s">
        <v>399</v>
      </c>
      <c r="B120" s="761"/>
      <c r="C120" s="54">
        <f>$AL$77+($AL$78-$AL$77)/((1+(10^C122/$AL$79)^$AL$80))^$AL$81</f>
        <v>2.6697462797913998</v>
      </c>
      <c r="F120" s="756" t="s">
        <v>392</v>
      </c>
      <c r="G120" s="758"/>
      <c r="H120" s="53">
        <v>2.6000726141082211</v>
      </c>
      <c r="I120" s="53">
        <v>2.6422627210598799</v>
      </c>
      <c r="J120" s="53">
        <v>2.5978461256123166</v>
      </c>
      <c r="K120" s="53">
        <v>2.6460883937349733</v>
      </c>
      <c r="O120" s="761" t="s">
        <v>399</v>
      </c>
      <c r="P120" s="761"/>
      <c r="Q120" s="54" t="e">
        <f>$AM$77+($AM$78-$AM$77)/((1+(10^Q122/$AM$79)^$AM$80))^$AM$81</f>
        <v>#NUM!</v>
      </c>
      <c r="T120" s="756" t="s">
        <v>392</v>
      </c>
      <c r="U120" s="758"/>
      <c r="V120" s="51"/>
      <c r="W120" s="44"/>
      <c r="X120" s="44"/>
      <c r="Y120" s="44"/>
      <c r="AC120" s="761" t="s">
        <v>399</v>
      </c>
      <c r="AD120" s="761"/>
      <c r="AE120" s="54" t="e">
        <f>$AN$77+($AN$78-$AN$77)/((1+(10^AE122/$AN$79)^$AN$80))^$AN$81</f>
        <v>#NUM!</v>
      </c>
      <c r="AH120" s="756" t="s">
        <v>392</v>
      </c>
      <c r="AI120" s="758"/>
      <c r="AJ120" s="51"/>
      <c r="AK120" s="44"/>
      <c r="AL120" s="44"/>
      <c r="AM120" s="44"/>
    </row>
    <row r="121" spans="1:49" hidden="1" x14ac:dyDescent="0.25">
      <c r="A121" s="761" t="s">
        <v>224</v>
      </c>
      <c r="B121" s="761"/>
      <c r="C121" s="54">
        <f t="array" ref="C121">LOG10(MIN(IF(ISERROR(Q63:Q78), "", Q63:Q78)))</f>
        <v>0.13727247168202539</v>
      </c>
      <c r="F121" s="756" t="s">
        <v>393</v>
      </c>
      <c r="G121" s="758"/>
      <c r="H121" s="53">
        <v>-1.997093107690614</v>
      </c>
      <c r="I121" s="53">
        <v>-3.0078857116391751</v>
      </c>
      <c r="J121" s="53">
        <v>-1.8196160509381376</v>
      </c>
      <c r="K121" s="53">
        <v>-3.1534817573315839</v>
      </c>
      <c r="O121" s="761" t="s">
        <v>224</v>
      </c>
      <c r="P121" s="761"/>
      <c r="Q121" s="54" t="e">
        <f t="array" ref="Q121">LOG10(MIN(IF(ISERROR(T63:T78), "", T63:T78)))</f>
        <v>#NUM!</v>
      </c>
      <c r="T121" s="756" t="s">
        <v>393</v>
      </c>
      <c r="U121" s="758"/>
      <c r="V121" s="51"/>
      <c r="W121" s="44"/>
      <c r="X121" s="44"/>
      <c r="Y121" s="44"/>
      <c r="AC121" s="761" t="s">
        <v>224</v>
      </c>
      <c r="AD121" s="761"/>
      <c r="AE121" s="54" t="e">
        <f t="array" ref="AE121">LOG10(MIN(IF(ISERROR(W63:W78), "", W63:W78)))</f>
        <v>#NUM!</v>
      </c>
      <c r="AH121" s="756" t="s">
        <v>393</v>
      </c>
      <c r="AI121" s="758"/>
      <c r="AJ121" s="51"/>
      <c r="AK121" s="44"/>
      <c r="AL121" s="44"/>
      <c r="AM121" s="44"/>
    </row>
    <row r="122" spans="1:49" hidden="1" x14ac:dyDescent="0.25">
      <c r="A122" s="761" t="s">
        <v>225</v>
      </c>
      <c r="B122" s="761"/>
      <c r="C122" s="54">
        <f t="array" ref="C122">LOG10(MAX(IF(ISERROR(Q63:Q78), "", Q63:Q78)))</f>
        <v>3</v>
      </c>
      <c r="F122" s="756" t="s">
        <v>394</v>
      </c>
      <c r="G122" s="758"/>
      <c r="H122" s="53">
        <v>-0.29196415443635604</v>
      </c>
      <c r="I122" s="53">
        <v>-0.4974235743195789</v>
      </c>
      <c r="J122" s="53">
        <v>-0.24740936677541672</v>
      </c>
      <c r="K122" s="53">
        <v>-0.5220758993549639</v>
      </c>
      <c r="O122" s="761" t="s">
        <v>225</v>
      </c>
      <c r="P122" s="761"/>
      <c r="Q122" s="54" t="e">
        <f t="array" ref="Q122">LOG10(MAX(IF(ISERROR(T63:T78), "", T63:T78)))</f>
        <v>#NUM!</v>
      </c>
      <c r="T122" s="756" t="s">
        <v>394</v>
      </c>
      <c r="U122" s="758"/>
      <c r="V122" s="44"/>
      <c r="W122" s="44"/>
      <c r="X122" s="44"/>
      <c r="Y122" s="44"/>
      <c r="AC122" s="761" t="s">
        <v>225</v>
      </c>
      <c r="AD122" s="761"/>
      <c r="AE122" s="54" t="e">
        <f t="array" ref="AE122">LOG10(MAX(IF(ISERROR(W63:W78), "", W63:W78)))</f>
        <v>#NUM!</v>
      </c>
      <c r="AH122" s="756" t="s">
        <v>394</v>
      </c>
      <c r="AI122" s="758"/>
      <c r="AJ122" s="44"/>
      <c r="AK122" s="44"/>
      <c r="AL122" s="44"/>
      <c r="AM122" s="44"/>
    </row>
    <row r="123" spans="1:49" hidden="1" x14ac:dyDescent="0.25">
      <c r="A123" s="761" t="s">
        <v>396</v>
      </c>
      <c r="B123" s="761"/>
      <c r="C123" s="54">
        <f>C122-C121</f>
        <v>2.8627275283179747</v>
      </c>
      <c r="F123" s="756" t="s">
        <v>191</v>
      </c>
      <c r="G123" s="758"/>
      <c r="H123" s="62">
        <v>4.7824275850997688</v>
      </c>
      <c r="I123" s="62">
        <v>4.9401074737620343</v>
      </c>
      <c r="J123" s="62">
        <v>4.8463789247016269</v>
      </c>
      <c r="K123" s="62">
        <v>4.9632692268889347</v>
      </c>
      <c r="O123" s="761" t="s">
        <v>396</v>
      </c>
      <c r="P123" s="761"/>
      <c r="Q123" s="54" t="e">
        <f>Q122-Q121</f>
        <v>#NUM!</v>
      </c>
      <c r="T123" s="759" t="s">
        <v>191</v>
      </c>
      <c r="U123" s="759"/>
      <c r="V123" s="57"/>
      <c r="W123" s="57"/>
      <c r="X123" s="57"/>
      <c r="Y123" s="57"/>
      <c r="AC123" s="761" t="s">
        <v>396</v>
      </c>
      <c r="AD123" s="761"/>
      <c r="AE123" s="54" t="e">
        <f>AE122-AE121</f>
        <v>#NUM!</v>
      </c>
      <c r="AH123" s="759" t="s">
        <v>191</v>
      </c>
      <c r="AI123" s="759"/>
      <c r="AJ123" s="57"/>
      <c r="AK123" s="57"/>
      <c r="AL123" s="57"/>
      <c r="AM123" s="57"/>
    </row>
    <row r="124" spans="1:49" hidden="1" x14ac:dyDescent="0.25">
      <c r="A124" s="761" t="s">
        <v>397</v>
      </c>
      <c r="B124" s="761"/>
      <c r="C124" s="54">
        <f>C123/25</f>
        <v>0.11450910113271899</v>
      </c>
      <c r="F124" s="762" t="s">
        <v>401</v>
      </c>
      <c r="G124" s="763"/>
      <c r="H124" s="60">
        <f t="array" ref="H124">MATCH(MIN(IF(ISERROR(H123:K123),"",H123:K123)),IF(ISERROR(H123:K123),"",H123:K123),0)</f>
        <v>1</v>
      </c>
      <c r="I124" s="58"/>
      <c r="J124" s="58"/>
      <c r="K124" s="58"/>
      <c r="O124" s="761" t="s">
        <v>397</v>
      </c>
      <c r="P124" s="761"/>
      <c r="Q124" s="54" t="e">
        <f>Q123/25</f>
        <v>#NUM!</v>
      </c>
      <c r="T124" s="762" t="s">
        <v>401</v>
      </c>
      <c r="U124" s="763"/>
      <c r="V124" s="60">
        <f t="array" ref="V124">MATCH(MIN(IF(ISERROR(V123:Y123),"",V123:Y123)),IF(ISERROR(V123:Y123),"",V123:Y123),0)</f>
        <v>1</v>
      </c>
      <c r="W124" s="58"/>
      <c r="X124" s="58"/>
      <c r="Y124" s="58"/>
      <c r="AC124" s="761" t="s">
        <v>397</v>
      </c>
      <c r="AD124" s="761"/>
      <c r="AE124" s="54" t="e">
        <f>AE123/25</f>
        <v>#NUM!</v>
      </c>
      <c r="AH124" s="762" t="s">
        <v>401</v>
      </c>
      <c r="AI124" s="763"/>
      <c r="AJ124" s="60">
        <f t="array" ref="AJ124">MATCH(MIN(IF(ISERROR(AJ123:AM123),"",AJ123:AM123)),IF(ISERROR(AJ123:AM123),"",AJ123:AM123),0)</f>
        <v>1</v>
      </c>
      <c r="AK124" s="58"/>
      <c r="AL124" s="58"/>
      <c r="AM124" s="58"/>
    </row>
    <row r="125" spans="1:49" hidden="1" x14ac:dyDescent="0.25">
      <c r="D125" s="31"/>
      <c r="E125" s="31"/>
      <c r="F125" s="31"/>
      <c r="G125" s="31"/>
      <c r="H125" s="55"/>
      <c r="Q125" s="52"/>
      <c r="R125" s="55"/>
      <c r="S125" s="55"/>
    </row>
    <row r="126" spans="1:49" hidden="1" x14ac:dyDescent="0.25">
      <c r="A126" s="762" t="s">
        <v>562</v>
      </c>
      <c r="B126" s="767"/>
      <c r="C126" s="767"/>
      <c r="D126" s="767"/>
      <c r="E126" s="767"/>
      <c r="F126" s="767"/>
      <c r="G126" s="767"/>
      <c r="H126" s="767"/>
      <c r="I126" s="767"/>
      <c r="J126" s="767"/>
      <c r="K126" s="767"/>
      <c r="L126" s="767"/>
      <c r="M126" s="767"/>
      <c r="N126" s="767"/>
      <c r="O126" s="767"/>
      <c r="P126" s="767"/>
      <c r="Q126" s="767"/>
      <c r="R126" s="767"/>
      <c r="S126" s="767"/>
      <c r="T126" s="767"/>
      <c r="U126" s="767"/>
      <c r="V126" s="767"/>
      <c r="W126" s="767"/>
      <c r="X126" s="767"/>
      <c r="Y126" s="767"/>
      <c r="Z126" s="767"/>
      <c r="AA126" s="767"/>
      <c r="AB126" s="767"/>
      <c r="AC126" s="767"/>
      <c r="AD126" s="767"/>
      <c r="AE126" s="767"/>
      <c r="AF126" s="767"/>
      <c r="AG126" s="767"/>
      <c r="AH126" s="767"/>
      <c r="AI126" s="767"/>
      <c r="AJ126" s="767"/>
      <c r="AK126" s="763"/>
    </row>
    <row r="127" spans="1:49" hidden="1" x14ac:dyDescent="0.25">
      <c r="A127" s="9" t="s">
        <v>408</v>
      </c>
      <c r="B127" s="9">
        <v>1</v>
      </c>
      <c r="C127" s="9">
        <v>2</v>
      </c>
      <c r="D127" s="9">
        <v>3</v>
      </c>
      <c r="E127" s="9">
        <v>4</v>
      </c>
      <c r="F127" s="9">
        <v>5</v>
      </c>
      <c r="G127" s="9">
        <v>6</v>
      </c>
      <c r="H127" s="9">
        <v>7</v>
      </c>
      <c r="I127" s="9">
        <v>8</v>
      </c>
      <c r="J127" s="9">
        <v>9</v>
      </c>
      <c r="K127" s="9">
        <v>10</v>
      </c>
      <c r="L127" s="9">
        <v>11</v>
      </c>
      <c r="M127" s="9">
        <v>12</v>
      </c>
      <c r="N127" s="9">
        <v>13</v>
      </c>
      <c r="O127" s="9">
        <v>14</v>
      </c>
      <c r="P127" s="9">
        <v>15</v>
      </c>
      <c r="Q127" s="9">
        <v>16</v>
      </c>
      <c r="R127" s="9">
        <v>17</v>
      </c>
      <c r="S127" s="9">
        <v>18</v>
      </c>
      <c r="T127" s="9">
        <v>19</v>
      </c>
      <c r="U127" s="9">
        <v>20</v>
      </c>
      <c r="V127" s="9">
        <v>21</v>
      </c>
      <c r="W127" s="9">
        <v>22</v>
      </c>
      <c r="X127" s="9">
        <v>23</v>
      </c>
      <c r="Y127" s="9">
        <v>24</v>
      </c>
      <c r="Z127" s="9">
        <v>25</v>
      </c>
      <c r="AA127" s="9">
        <v>26</v>
      </c>
      <c r="AB127" s="9">
        <v>27</v>
      </c>
      <c r="AC127" s="9">
        <v>28</v>
      </c>
      <c r="AD127" s="9">
        <v>29</v>
      </c>
      <c r="AE127" s="9">
        <v>30</v>
      </c>
      <c r="AF127" s="9">
        <v>31</v>
      </c>
      <c r="AG127" s="9">
        <v>32</v>
      </c>
      <c r="AH127" s="9">
        <v>33</v>
      </c>
      <c r="AI127" s="9">
        <v>34</v>
      </c>
      <c r="AJ127" s="9">
        <v>35</v>
      </c>
      <c r="AK127" s="9">
        <v>36</v>
      </c>
      <c r="AL127" s="368">
        <v>37</v>
      </c>
      <c r="AM127" s="368">
        <v>38</v>
      </c>
      <c r="AN127" s="368">
        <v>39</v>
      </c>
      <c r="AO127" s="368">
        <v>40</v>
      </c>
      <c r="AP127" s="368">
        <v>41</v>
      </c>
      <c r="AQ127" s="368">
        <v>42</v>
      </c>
      <c r="AR127" s="368">
        <v>43</v>
      </c>
      <c r="AS127" s="368">
        <v>44</v>
      </c>
      <c r="AT127" s="368">
        <v>45</v>
      </c>
      <c r="AU127" s="368">
        <v>46</v>
      </c>
      <c r="AV127" s="368">
        <v>47</v>
      </c>
      <c r="AW127" s="368">
        <v>48</v>
      </c>
    </row>
    <row r="128" spans="1:49" hidden="1" x14ac:dyDescent="0.25">
      <c r="A128" s="13" t="s">
        <v>407</v>
      </c>
      <c r="B128" s="13">
        <f>IF(AND(B127&lt;='Sample Setup'!$Q$5,B127&gt;='Sample Setup'!$O$5),1,IF(AND(B127&lt;='Sample Setup'!$Q$6,B127&gt;='Sample Setup'!$O$6),2,IF(AND(B127&lt;='Sample Setup'!$Q$7,B127&gt;='Sample Setup'!$O$7),3,NA())))</f>
        <v>1</v>
      </c>
      <c r="C128" s="13">
        <f>IF(AND(C127&lt;='Sample Setup'!$Q$5,C127&gt;='Sample Setup'!$O$5),1,IF(AND(C127&lt;='Sample Setup'!$Q$6,C127&gt;='Sample Setup'!$O$6),2,IF(AND(C127&lt;='Sample Setup'!$Q$7,C127&gt;='Sample Setup'!$O$7),3,NA())))</f>
        <v>1</v>
      </c>
      <c r="D128" s="13">
        <f>IF(AND(D127&lt;='Sample Setup'!$Q$5,D127&gt;='Sample Setup'!$O$5),1,IF(AND(D127&lt;='Sample Setup'!$Q$6,D127&gt;='Sample Setup'!$O$6),2,IF(AND(D127&lt;='Sample Setup'!$Q$7,D127&gt;='Sample Setup'!$O$7),3,NA())))</f>
        <v>1</v>
      </c>
      <c r="E128" s="13">
        <f>IF(AND(E127&lt;='Sample Setup'!$Q$5,E127&gt;='Sample Setup'!$O$5),1,IF(AND(E127&lt;='Sample Setup'!$Q$6,E127&gt;='Sample Setup'!$O$6),2,IF(AND(E127&lt;='Sample Setup'!$Q$7,E127&gt;='Sample Setup'!$O$7),3,NA())))</f>
        <v>1</v>
      </c>
      <c r="F128" s="13">
        <f>IF(AND(F127&lt;='Sample Setup'!$Q$5,F127&gt;='Sample Setup'!$O$5),1,IF(AND(F127&lt;='Sample Setup'!$Q$6,F127&gt;='Sample Setup'!$O$6),2,IF(AND(F127&lt;='Sample Setup'!$Q$7,F127&gt;='Sample Setup'!$O$7),3,NA())))</f>
        <v>1</v>
      </c>
      <c r="G128" s="13">
        <f>IF(AND(G127&lt;='Sample Setup'!$Q$5,G127&gt;='Sample Setup'!$O$5),1,IF(AND(G127&lt;='Sample Setup'!$Q$6,G127&gt;='Sample Setup'!$O$6),2,IF(AND(G127&lt;='Sample Setup'!$Q$7,G127&gt;='Sample Setup'!$O$7),3,NA())))</f>
        <v>1</v>
      </c>
      <c r="H128" s="13">
        <f>IF(AND(H127&lt;='Sample Setup'!$Q$5,H127&gt;='Sample Setup'!$O$5),1,IF(AND(H127&lt;='Sample Setup'!$Q$6,H127&gt;='Sample Setup'!$O$6),2,IF(AND(H127&lt;='Sample Setup'!$Q$7,H127&gt;='Sample Setup'!$O$7),3,NA())))</f>
        <v>1</v>
      </c>
      <c r="I128" s="13">
        <f>IF(AND(I127&lt;='Sample Setup'!$Q$5,I127&gt;='Sample Setup'!$O$5),1,IF(AND(I127&lt;='Sample Setup'!$Q$6,I127&gt;='Sample Setup'!$O$6),2,IF(AND(I127&lt;='Sample Setup'!$Q$7,I127&gt;='Sample Setup'!$O$7),3,NA())))</f>
        <v>1</v>
      </c>
      <c r="J128" s="13">
        <f>IF(AND(J127&lt;='Sample Setup'!$Q$5,J127&gt;='Sample Setup'!$O$5),1,IF(AND(J127&lt;='Sample Setup'!$Q$6,J127&gt;='Sample Setup'!$O$6),2,IF(AND(J127&lt;='Sample Setup'!$Q$7,J127&gt;='Sample Setup'!$O$7),3,NA())))</f>
        <v>1</v>
      </c>
      <c r="K128" s="13">
        <f>IF(AND(K127&lt;='Sample Setup'!$Q$5,K127&gt;='Sample Setup'!$O$5),1,IF(AND(K127&lt;='Sample Setup'!$Q$6,K127&gt;='Sample Setup'!$O$6),2,IF(AND(K127&lt;='Sample Setup'!$Q$7,K127&gt;='Sample Setup'!$O$7),3,NA())))</f>
        <v>1</v>
      </c>
      <c r="L128" s="13">
        <f>IF(AND(L127&lt;='Sample Setup'!$Q$5,L127&gt;='Sample Setup'!$O$5),1,IF(AND(L127&lt;='Sample Setup'!$Q$6,L127&gt;='Sample Setup'!$O$6),2,IF(AND(L127&lt;='Sample Setup'!$Q$7,L127&gt;='Sample Setup'!$O$7),3,NA())))</f>
        <v>1</v>
      </c>
      <c r="M128" s="13">
        <f>IF(AND(M127&lt;='Sample Setup'!$Q$5,M127&gt;='Sample Setup'!$O$5),1,IF(AND(M127&lt;='Sample Setup'!$Q$6,M127&gt;='Sample Setup'!$O$6),2,IF(AND(M127&lt;='Sample Setup'!$Q$7,M127&gt;='Sample Setup'!$O$7),3,NA())))</f>
        <v>1</v>
      </c>
      <c r="N128" s="13">
        <f>IF(AND(N127&lt;='Sample Setup'!$Q$5,N127&gt;='Sample Setup'!$O$5),1,IF(AND(N127&lt;='Sample Setup'!$Q$6,N127&gt;='Sample Setup'!$O$6),2,IF(AND(N127&lt;='Sample Setup'!$Q$7,N127&gt;='Sample Setup'!$O$7),3,NA())))</f>
        <v>1</v>
      </c>
      <c r="O128" s="13">
        <f>IF(AND(O127&lt;='Sample Setup'!$Q$5,O127&gt;='Sample Setup'!$O$5),1,IF(AND(O127&lt;='Sample Setup'!$Q$6,O127&gt;='Sample Setup'!$O$6),2,IF(AND(O127&lt;='Sample Setup'!$Q$7,O127&gt;='Sample Setup'!$O$7),3,NA())))</f>
        <v>1</v>
      </c>
      <c r="P128" s="13">
        <f>IF(AND(P127&lt;='Sample Setup'!$Q$5,P127&gt;='Sample Setup'!$O$5),1,IF(AND(P127&lt;='Sample Setup'!$Q$6,P127&gt;='Sample Setup'!$O$6),2,IF(AND(P127&lt;='Sample Setup'!$Q$7,P127&gt;='Sample Setup'!$O$7),3,NA())))</f>
        <v>1</v>
      </c>
      <c r="Q128" s="13">
        <f>IF(AND(Q127&lt;='Sample Setup'!$Q$5,Q127&gt;='Sample Setup'!$O$5),1,IF(AND(Q127&lt;='Sample Setup'!$Q$6,Q127&gt;='Sample Setup'!$O$6),2,IF(AND(Q127&lt;='Sample Setup'!$Q$7,Q127&gt;='Sample Setup'!$O$7),3,NA())))</f>
        <v>1</v>
      </c>
      <c r="R128" s="13">
        <f>IF(AND(R127&lt;='Sample Setup'!$Q$5,R127&gt;='Sample Setup'!$O$5),1,IF(AND(R127&lt;='Sample Setup'!$Q$6,R127&gt;='Sample Setup'!$O$6),2,IF(AND(R127&lt;='Sample Setup'!$Q$7,R127&gt;='Sample Setup'!$O$7),3,NA())))</f>
        <v>1</v>
      </c>
      <c r="S128" s="13">
        <f>IF(AND(S127&lt;='Sample Setup'!$Q$5,S127&gt;='Sample Setup'!$O$5),1,IF(AND(S127&lt;='Sample Setup'!$Q$6,S127&gt;='Sample Setup'!$O$6),2,IF(AND(S127&lt;='Sample Setup'!$Q$7,S127&gt;='Sample Setup'!$O$7),3,NA())))</f>
        <v>1</v>
      </c>
      <c r="T128" s="13">
        <f>IF(AND(T127&lt;='Sample Setup'!$Q$5,T127&gt;='Sample Setup'!$O$5),1,IF(AND(T127&lt;='Sample Setup'!$Q$6,T127&gt;='Sample Setup'!$O$6),2,IF(AND(T127&lt;='Sample Setup'!$Q$7,T127&gt;='Sample Setup'!$O$7),3,NA())))</f>
        <v>1</v>
      </c>
      <c r="U128" s="13">
        <f>IF(AND(U127&lt;='Sample Setup'!$Q$5,U127&gt;='Sample Setup'!$O$5),1,IF(AND(U127&lt;='Sample Setup'!$Q$6,U127&gt;='Sample Setup'!$O$6),2,IF(AND(U127&lt;='Sample Setup'!$Q$7,U127&gt;='Sample Setup'!$O$7),3,NA())))</f>
        <v>1</v>
      </c>
      <c r="V128" s="13">
        <f>IF(AND(V127&lt;='Sample Setup'!$Q$5,V127&gt;='Sample Setup'!$O$5),1,IF(AND(V127&lt;='Sample Setup'!$Q$6,V127&gt;='Sample Setup'!$O$6),2,IF(AND(V127&lt;='Sample Setup'!$Q$7,V127&gt;='Sample Setup'!$O$7),3,NA())))</f>
        <v>1</v>
      </c>
      <c r="W128" s="13">
        <f>IF(AND(W127&lt;='Sample Setup'!$Q$5,W127&gt;='Sample Setup'!$O$5),1,IF(AND(W127&lt;='Sample Setup'!$Q$6,W127&gt;='Sample Setup'!$O$6),2,IF(AND(W127&lt;='Sample Setup'!$Q$7,W127&gt;='Sample Setup'!$O$7),3,NA())))</f>
        <v>1</v>
      </c>
      <c r="X128" s="13">
        <f>IF(AND(X127&lt;='Sample Setup'!$Q$5,X127&gt;='Sample Setup'!$O$5),1,IF(AND(X127&lt;='Sample Setup'!$Q$6,X127&gt;='Sample Setup'!$O$6),2,IF(AND(X127&lt;='Sample Setup'!$Q$7,X127&gt;='Sample Setup'!$O$7),3,NA())))</f>
        <v>1</v>
      </c>
      <c r="Y128" s="13">
        <f>IF(AND(Y127&lt;='Sample Setup'!$Q$5,Y127&gt;='Sample Setup'!$O$5),1,IF(AND(Y127&lt;='Sample Setup'!$Q$6,Y127&gt;='Sample Setup'!$O$6),2,IF(AND(Y127&lt;='Sample Setup'!$Q$7,Y127&gt;='Sample Setup'!$O$7),3,NA())))</f>
        <v>1</v>
      </c>
      <c r="Z128" s="13">
        <f>IF(AND(Z127&lt;='Sample Setup'!$Q$5,Z127&gt;='Sample Setup'!$O$5),1,IF(AND(Z127&lt;='Sample Setup'!$Q$6,Z127&gt;='Sample Setup'!$O$6),2,IF(AND(Z127&lt;='Sample Setup'!$Q$7,Z127&gt;='Sample Setup'!$O$7),3,NA())))</f>
        <v>1</v>
      </c>
      <c r="AA128" s="13">
        <f>IF(AND(AA127&lt;='Sample Setup'!$Q$5,AA127&gt;='Sample Setup'!$O$5),1,IF(AND(AA127&lt;='Sample Setup'!$Q$6,AA127&gt;='Sample Setup'!$O$6),2,IF(AND(AA127&lt;='Sample Setup'!$Q$7,AA127&gt;='Sample Setup'!$O$7),3,NA())))</f>
        <v>1</v>
      </c>
      <c r="AB128" s="13">
        <f>IF(AND(AB127&lt;='Sample Setup'!$Q$5,AB127&gt;='Sample Setup'!$O$5),1,IF(AND(AB127&lt;='Sample Setup'!$Q$6,AB127&gt;='Sample Setup'!$O$6),2,IF(AND(AB127&lt;='Sample Setup'!$Q$7,AB127&gt;='Sample Setup'!$O$7),3,NA())))</f>
        <v>1</v>
      </c>
      <c r="AC128" s="13">
        <f>IF(AND(AC127&lt;='Sample Setup'!$Q$5,AC127&gt;='Sample Setup'!$O$5),1,IF(AND(AC127&lt;='Sample Setup'!$Q$6,AC127&gt;='Sample Setup'!$O$6),2,IF(AND(AC127&lt;='Sample Setup'!$Q$7,AC127&gt;='Sample Setup'!$O$7),3,NA())))</f>
        <v>1</v>
      </c>
      <c r="AD128" s="13">
        <f>IF(AND(AD127&lt;='Sample Setup'!$Q$5,AD127&gt;='Sample Setup'!$O$5),1,IF(AND(AD127&lt;='Sample Setup'!$Q$6,AD127&gt;='Sample Setup'!$O$6),2,IF(AND(AD127&lt;='Sample Setup'!$Q$7,AD127&gt;='Sample Setup'!$O$7),3,NA())))</f>
        <v>1</v>
      </c>
      <c r="AE128" s="13">
        <f>IF(AND(AE127&lt;='Sample Setup'!$Q$5,AE127&gt;='Sample Setup'!$O$5),1,IF(AND(AE127&lt;='Sample Setup'!$Q$6,AE127&gt;='Sample Setup'!$O$6),2,IF(AND(AE127&lt;='Sample Setup'!$Q$7,AE127&gt;='Sample Setup'!$O$7),3,NA())))</f>
        <v>1</v>
      </c>
      <c r="AF128" s="13">
        <f>IF(AND(AF127&lt;='Sample Setup'!$Q$5,AF127&gt;='Sample Setup'!$O$5),1,IF(AND(AF127&lt;='Sample Setup'!$Q$6,AF127&gt;='Sample Setup'!$O$6),2,IF(AND(AF127&lt;='Sample Setup'!$Q$7,AF127&gt;='Sample Setup'!$O$7),3,NA())))</f>
        <v>1</v>
      </c>
      <c r="AG128" s="13">
        <f>IF(AND(AG127&lt;='Sample Setup'!$Q$5,AG127&gt;='Sample Setup'!$O$5),1,IF(AND(AG127&lt;='Sample Setup'!$Q$6,AG127&gt;='Sample Setup'!$O$6),2,IF(AND(AG127&lt;='Sample Setup'!$Q$7,AG127&gt;='Sample Setup'!$O$7),3,NA())))</f>
        <v>1</v>
      </c>
      <c r="AH128" s="13">
        <f>IF(AND(AH127&lt;='Sample Setup'!$Q$5,AH127&gt;='Sample Setup'!$O$5),1,IF(AND(AH127&lt;='Sample Setup'!$Q$6,AH127&gt;='Sample Setup'!$O$6),2,IF(AND(AH127&lt;='Sample Setup'!$Q$7,AH127&gt;='Sample Setup'!$O$7),3,NA())))</f>
        <v>1</v>
      </c>
      <c r="AI128" s="13">
        <f>IF(AND(AI127&lt;='Sample Setup'!$Q$5,AI127&gt;='Sample Setup'!$O$5),1,IF(AND(AI127&lt;='Sample Setup'!$Q$6,AI127&gt;='Sample Setup'!$O$6),2,IF(AND(AI127&lt;='Sample Setup'!$Q$7,AI127&gt;='Sample Setup'!$O$7),3,NA())))</f>
        <v>1</v>
      </c>
      <c r="AJ128" s="13">
        <f>IF(AND(AJ127&lt;='Sample Setup'!$Q$5,AJ127&gt;='Sample Setup'!$O$5),1,IF(AND(AJ127&lt;='Sample Setup'!$Q$6,AJ127&gt;='Sample Setup'!$O$6),2,IF(AND(AJ127&lt;='Sample Setup'!$Q$7,AJ127&gt;='Sample Setup'!$O$7),3,NA())))</f>
        <v>1</v>
      </c>
      <c r="AK128" s="13">
        <f>IF(AND(AK127&lt;='Sample Setup'!$Q$5,AK127&gt;='Sample Setup'!$O$5),1,IF(AND(AK127&lt;='Sample Setup'!$Q$6,AK127&gt;='Sample Setup'!$O$6),2,IF(AND(AK127&lt;='Sample Setup'!$Q$7,AK127&gt;='Sample Setup'!$O$7),3,NA())))</f>
        <v>1</v>
      </c>
      <c r="AL128" s="369">
        <f>IF(AND(AL127&lt;='Sample Setup'!$Q$5,AL127&gt;='Sample Setup'!$O$5),1,IF(AND(AL127&lt;='Sample Setup'!$Q$6,AL127&gt;='Sample Setup'!$O$6),2,IF(AND(AL127&lt;='Sample Setup'!$Q$7,AL127&gt;='Sample Setup'!$O$7),3,NA())))</f>
        <v>1</v>
      </c>
      <c r="AM128" s="369">
        <f>IF(AND(AM127&lt;='Sample Setup'!$Q$5,AM127&gt;='Sample Setup'!$O$5),1,IF(AND(AM127&lt;='Sample Setup'!$Q$6,AM127&gt;='Sample Setup'!$O$6),2,IF(AND(AM127&lt;='Sample Setup'!$Q$7,AM127&gt;='Sample Setup'!$O$7),3,NA())))</f>
        <v>1</v>
      </c>
      <c r="AN128" s="369">
        <f>IF(AND(AN127&lt;='Sample Setup'!$Q$5,AN127&gt;='Sample Setup'!$O$5),1,IF(AND(AN127&lt;='Sample Setup'!$Q$6,AN127&gt;='Sample Setup'!$O$6),2,IF(AND(AN127&lt;='Sample Setup'!$Q$7,AN127&gt;='Sample Setup'!$O$7),3,NA())))</f>
        <v>1</v>
      </c>
      <c r="AO128" s="369">
        <f>IF(AND(AO127&lt;='Sample Setup'!$Q$5,AO127&gt;='Sample Setup'!$O$5),1,IF(AND(AO127&lt;='Sample Setup'!$Q$6,AO127&gt;='Sample Setup'!$O$6),2,IF(AND(AO127&lt;='Sample Setup'!$Q$7,AO127&gt;='Sample Setup'!$O$7),3,NA())))</f>
        <v>1</v>
      </c>
      <c r="AP128" s="369">
        <f>IF(AND(AP127&lt;='Sample Setup'!$Q$5,AP127&gt;='Sample Setup'!$O$5),1,IF(AND(AP127&lt;='Sample Setup'!$Q$6,AP127&gt;='Sample Setup'!$O$6),2,IF(AND(AP127&lt;='Sample Setup'!$Q$7,AP127&gt;='Sample Setup'!$O$7),3,NA())))</f>
        <v>1</v>
      </c>
      <c r="AQ128" s="369">
        <f>IF(AND(AQ127&lt;='Sample Setup'!$Q$5,AQ127&gt;='Sample Setup'!$O$5),1,IF(AND(AQ127&lt;='Sample Setup'!$Q$6,AQ127&gt;='Sample Setup'!$O$6),2,IF(AND(AQ127&lt;='Sample Setup'!$Q$7,AQ127&gt;='Sample Setup'!$O$7),3,NA())))</f>
        <v>1</v>
      </c>
      <c r="AR128" s="369">
        <f>IF(AND(AR127&lt;='Sample Setup'!$Q$5,AR127&gt;='Sample Setup'!$O$5),1,IF(AND(AR127&lt;='Sample Setup'!$Q$6,AR127&gt;='Sample Setup'!$O$6),2,IF(AND(AR127&lt;='Sample Setup'!$Q$7,AR127&gt;='Sample Setup'!$O$7),3,NA())))</f>
        <v>1</v>
      </c>
      <c r="AS128" s="369">
        <f>IF(AND(AS127&lt;='Sample Setup'!$Q$5,AS127&gt;='Sample Setup'!$O$5),1,IF(AND(AS127&lt;='Sample Setup'!$Q$6,AS127&gt;='Sample Setup'!$O$6),2,IF(AND(AS127&lt;='Sample Setup'!$Q$7,AS127&gt;='Sample Setup'!$O$7),3,NA())))</f>
        <v>1</v>
      </c>
      <c r="AT128" s="369">
        <f>IF(AND(AT127&lt;='Sample Setup'!$Q$5,AT127&gt;='Sample Setup'!$O$5),1,IF(AND(AT127&lt;='Sample Setup'!$Q$6,AT127&gt;='Sample Setup'!$O$6),2,IF(AND(AT127&lt;='Sample Setup'!$Q$7,AT127&gt;='Sample Setup'!$O$7),3,NA())))</f>
        <v>1</v>
      </c>
      <c r="AU128" s="369">
        <f>IF(AND(AU127&lt;='Sample Setup'!$Q$5,AU127&gt;='Sample Setup'!$O$5),1,IF(AND(AU127&lt;='Sample Setup'!$Q$6,AU127&gt;='Sample Setup'!$O$6),2,IF(AND(AU127&lt;='Sample Setup'!$Q$7,AU127&gt;='Sample Setup'!$O$7),3,NA())))</f>
        <v>1</v>
      </c>
      <c r="AV128" s="369">
        <f>IF(AND(AV127&lt;='Sample Setup'!$Q$5,AV127&gt;='Sample Setup'!$O$5),1,IF(AND(AV127&lt;='Sample Setup'!$Q$6,AV127&gt;='Sample Setup'!$O$6),2,IF(AND(AV127&lt;='Sample Setup'!$Q$7,AV127&gt;='Sample Setup'!$O$7),3,NA())))</f>
        <v>1</v>
      </c>
      <c r="AW128" s="369">
        <f>IF(AND(AW127&lt;='Sample Setup'!$Q$5,AW127&gt;='Sample Setup'!$O$5),1,IF(AND(AW127&lt;='Sample Setup'!$Q$6,AW127&gt;='Sample Setup'!$O$6),2,IF(AND(AW127&lt;='Sample Setup'!$Q$7,AW127&gt;='Sample Setup'!$O$7),3,NA())))</f>
        <v>1</v>
      </c>
    </row>
    <row r="129" spans="1:49" hidden="1" x14ac:dyDescent="0.25">
      <c r="A129" s="9" t="s">
        <v>12</v>
      </c>
      <c r="B129" s="14">
        <f>sigconc(B3,Report!B$27)</f>
        <v>964.71885857114819</v>
      </c>
      <c r="C129" s="14">
        <f>sigconc(C3,Report!C$27)</f>
        <v>55.395353586132316</v>
      </c>
      <c r="D129" s="14">
        <f>sigconc(D3,Report!D$27)</f>
        <v>31.921253513763681</v>
      </c>
      <c r="E129" s="14">
        <f>sigconc(E3,Report!E$27)</f>
        <v>82.683419241760177</v>
      </c>
      <c r="F129" s="14">
        <f>sigconc(F3,Report!F$27)</f>
        <v>66.517732781915669</v>
      </c>
      <c r="G129" s="14">
        <f>sigconc(G3,Report!G$27)</f>
        <v>65.78274277740185</v>
      </c>
      <c r="H129" s="14">
        <f>sigconc(H3,Report!H$27)</f>
        <v>71.381889883480142</v>
      </c>
      <c r="I129" s="14">
        <f>sigconc(I3,Report!I$27)</f>
        <v>34.810905992708015</v>
      </c>
      <c r="J129" s="14">
        <f>sigconc(J3,Report!J$27)</f>
        <v>33.654994341217964</v>
      </c>
      <c r="K129" s="14">
        <f>sigconc(K3,Report!K$27)</f>
        <v>39.002574555113561</v>
      </c>
      <c r="L129" s="14">
        <f>sigconc(L3,Report!L$27)</f>
        <v>41.895662704286352</v>
      </c>
      <c r="M129" s="14">
        <f>sigconc(M3,Report!M$27)</f>
        <v>93.238364265339612</v>
      </c>
      <c r="N129" s="14">
        <f>sigconc(N3,Report!N$27)</f>
        <v>84.482134545558438</v>
      </c>
      <c r="O129" s="14">
        <f>sigconc(O3,Report!O$27)</f>
        <v>80.440809372543583</v>
      </c>
      <c r="P129" s="14">
        <f>sigconc(P3,Report!P$27)</f>
        <v>36.255986995569643</v>
      </c>
      <c r="Q129" s="14">
        <f>sigconc(Q3,Report!Q$27)</f>
        <v>36.255986995569643</v>
      </c>
      <c r="R129" s="14">
        <f>sigconc(R3,Report!R$27)</f>
        <v>31.054388001374441</v>
      </c>
      <c r="S129" s="14">
        <f>sigconc(S3,Report!S$27)</f>
        <v>30.765427429613318</v>
      </c>
      <c r="T129" s="14">
        <f>sigconc(T3,Report!T$27)</f>
        <v>64.314253894342116</v>
      </c>
      <c r="U129" s="14">
        <f>sigconc(U3,Report!U$27)</f>
        <v>61.675774139685515</v>
      </c>
      <c r="V129" s="14">
        <f>sigconc(V3,Report!V$27)</f>
        <v>76.122410545870508</v>
      </c>
      <c r="W129" s="14">
        <f>sigconc(W3,Report!W$27)</f>
        <v>78.949188599957139</v>
      </c>
      <c r="X129" s="14">
        <f>sigconc(X3,Report!X$27)</f>
        <v>73.600941977502472</v>
      </c>
      <c r="Y129" s="14">
        <f>sigconc(Y3,Report!Y$27)</f>
        <v>0.33464541743734305</v>
      </c>
      <c r="Z129" s="14">
        <f>sigconc(Z3,Report!Z$27)</f>
        <v>872.01757856902702</v>
      </c>
      <c r="AA129" s="14">
        <f>sigconc(AA3,Report!AA$27)</f>
        <v>56.999163415427368</v>
      </c>
      <c r="AB129" s="14">
        <f>sigconc(AB3,Report!AB$27)</f>
        <v>87.790933111483895</v>
      </c>
      <c r="AC129" s="14">
        <f>sigconc(AC3,Report!AC$27)</f>
        <v>64.167512136214611</v>
      </c>
      <c r="AD129" s="14">
        <f>sigconc(AD3,Report!AD$27)</f>
        <v>77.757820214173961</v>
      </c>
      <c r="AE129" s="14">
        <f>sigconc(AE3,Report!AE$27)</f>
        <v>82.683419241760177</v>
      </c>
      <c r="AF129" s="14" t="e">
        <f>sigconc(AF3,Report!AF$27)</f>
        <v>#VALUE!</v>
      </c>
      <c r="AG129" s="14">
        <f>sigconc(AG3,Report!AG$27)</f>
        <v>1.6552427638263877E-2</v>
      </c>
      <c r="AH129" s="14">
        <f>sigconc(AH3,Report!AH$27)</f>
        <v>1.6552427638262725E-2</v>
      </c>
      <c r="AI129" s="14" t="e">
        <f>sigconc(AI3,Report!AI$27)</f>
        <v>#VALUE!</v>
      </c>
      <c r="AJ129" s="14" t="e">
        <f>sigconc(AJ3,Report!AJ$27)</f>
        <v>#VALUE!</v>
      </c>
      <c r="AK129" s="14" t="e">
        <f>sigconc(AK3,Report!AK$27)</f>
        <v>#VALUE!</v>
      </c>
      <c r="AL129" s="14" t="e">
        <f>sigconc(AL3,Report!AL$27)</f>
        <v>#VALUE!</v>
      </c>
      <c r="AM129" s="14" t="e">
        <f>sigconc(AM3,Report!AM$27)</f>
        <v>#VALUE!</v>
      </c>
      <c r="AN129" s="14">
        <f>sigconc(AN3,Report!AN$27)</f>
        <v>1.6552427638263877E-2</v>
      </c>
      <c r="AO129" s="14" t="e">
        <f>sigconc(AO3,Report!AO$27)</f>
        <v>#VALUE!</v>
      </c>
      <c r="AP129" s="14" t="e">
        <f>sigconc(AP3,Report!AP$27)</f>
        <v>#VALUE!</v>
      </c>
      <c r="AQ129" s="14" t="e">
        <f>sigconc(AQ3,Report!AQ$27)</f>
        <v>#VALUE!</v>
      </c>
      <c r="AR129" s="14" t="e">
        <f>sigconc(AR3,Report!AR$27)</f>
        <v>#VALUE!</v>
      </c>
      <c r="AS129" s="14">
        <f>sigconc(AS3,Report!AS$27)</f>
        <v>90.358056307030452</v>
      </c>
      <c r="AT129" s="14">
        <f>sigconc(AT3,Report!AT$27)</f>
        <v>32.788114156016725</v>
      </c>
      <c r="AU129" s="14">
        <f>sigconc(AU3,Report!AU$27)</f>
        <v>77.609017513443305</v>
      </c>
      <c r="AV129" s="14">
        <f>sigconc(AV3,Report!AV$27)</f>
        <v>60.212484076989604</v>
      </c>
      <c r="AW129" s="14">
        <f>sigconc(AW3,Report!AW$27)</f>
        <v>0.33464541743734305</v>
      </c>
    </row>
    <row r="130" spans="1:49" hidden="1" x14ac:dyDescent="0.25">
      <c r="A130" s="9" t="s">
        <v>13</v>
      </c>
      <c r="B130" s="14">
        <f>sigconc(B4,Report!B$27)</f>
        <v>345.49032178858175</v>
      </c>
      <c r="C130" s="14">
        <f>sigconc(C4,Report!C$27)</f>
        <v>49.432197131166589</v>
      </c>
      <c r="D130" s="14">
        <f>sigconc(D4,Report!D$27)</f>
        <v>78.949188599957125</v>
      </c>
      <c r="E130" s="14">
        <f>sigconc(E4,Report!E$27)</f>
        <v>77.311490175235676</v>
      </c>
      <c r="F130" s="14">
        <f>sigconc(F4,Report!F$27)</f>
        <v>56.561580031216806</v>
      </c>
      <c r="G130" s="14">
        <f>sigconc(G4,Report!G$27)</f>
        <v>62.40808501550741</v>
      </c>
      <c r="H130" s="14">
        <f>sigconc(H4,Report!H$27)</f>
        <v>68.873172033464172</v>
      </c>
      <c r="I130" s="14">
        <f>sigconc(I4,Report!I$27)</f>
        <v>31.343345248280443</v>
      </c>
      <c r="J130" s="14">
        <f>sigconc(J4,Report!J$27)</f>
        <v>31.776776935741228</v>
      </c>
      <c r="K130" s="14">
        <f>sigconc(K4,Report!K$27)</f>
        <v>35.677923220981846</v>
      </c>
      <c r="L130" s="14">
        <f>sigconc(L4,Report!L$27)</f>
        <v>39.870258465615805</v>
      </c>
      <c r="M130" s="14">
        <f>sigconc(M4,Report!M$27)</f>
        <v>86.887067285695068</v>
      </c>
      <c r="N130" s="14">
        <f>sigconc(N4,Report!N$27)</f>
        <v>86.736531253539923</v>
      </c>
      <c r="O130" s="14">
        <f>sigconc(O4,Report!O$27)</f>
        <v>77.162765386054303</v>
      </c>
      <c r="P130" s="14">
        <f>sigconc(P4,Report!P$27)</f>
        <v>34.377426593632016</v>
      </c>
      <c r="Q130" s="14">
        <f>sigconc(Q4,Report!Q$27)</f>
        <v>28.59801981350012</v>
      </c>
      <c r="R130" s="14">
        <f>sigconc(R4,Report!R$27)</f>
        <v>30.765427429613318</v>
      </c>
      <c r="S130" s="14">
        <f>sigconc(S4,Report!S$27)</f>
        <v>29.465038057718775</v>
      </c>
      <c r="T130" s="14">
        <f>sigconc(T4,Report!T$27)</f>
        <v>62.40808501550741</v>
      </c>
      <c r="U130" s="14">
        <f>sigconc(U4,Report!U$27)</f>
        <v>62.847690100232896</v>
      </c>
      <c r="V130" s="14">
        <f>sigconc(V4,Report!V$27)</f>
        <v>77.609017513443305</v>
      </c>
      <c r="W130" s="14">
        <f>sigconc(W4,Report!W$27)</f>
        <v>75.231665068185848</v>
      </c>
      <c r="X130" s="14">
        <f>sigconc(X4,Report!X$27)</f>
        <v>76.716745628395117</v>
      </c>
      <c r="Y130" s="14">
        <f>sigconc(Y4,Report!Y$27)</f>
        <v>0.79943837504430948</v>
      </c>
      <c r="Z130" s="14">
        <f>sigconc(Z4,Report!Z$27)</f>
        <v>347.0893201575002</v>
      </c>
      <c r="AA130" s="14">
        <f>sigconc(AA4,Report!AA$27)</f>
        <v>52.920166929635492</v>
      </c>
      <c r="AB130" s="14">
        <f>sigconc(AB4,Report!AB$27)</f>
        <v>85.383080361526325</v>
      </c>
      <c r="AC130" s="14">
        <f>sigconc(AC4,Report!AC$27)</f>
        <v>71.086410667312975</v>
      </c>
      <c r="AD130" s="14">
        <f>sigconc(AD4,Report!AD$27)</f>
        <v>31.921253513763681</v>
      </c>
      <c r="AE130" s="14">
        <f>sigconc(AE4,Report!AE$27)</f>
        <v>71.529663763648998</v>
      </c>
      <c r="AF130" s="14">
        <f>sigconc(AF4,Report!AF$27)</f>
        <v>1.6552427638263877E-2</v>
      </c>
      <c r="AG130" s="14" t="e">
        <f>sigconc(AG4,Report!AG$27)</f>
        <v>#VALUE!</v>
      </c>
      <c r="AH130" s="14" t="e">
        <f>sigconc(AH4,Report!AH$27)</f>
        <v>#VALUE!</v>
      </c>
      <c r="AI130" s="14" t="e">
        <f>sigconc(AI4,Report!AI$27)</f>
        <v>#VALUE!</v>
      </c>
      <c r="AJ130" s="14" t="e">
        <f>sigconc(AJ4,Report!AJ$27)</f>
        <v>#VALUE!</v>
      </c>
      <c r="AK130" s="14" t="e">
        <f>sigconc(AK4,Report!AK$27)</f>
        <v>#VALUE!</v>
      </c>
      <c r="AL130" s="14">
        <f>sigconc(AL4,Report!AL$27)</f>
        <v>1.6552427638263877E-2</v>
      </c>
      <c r="AM130" s="14">
        <f>sigconc(AM4,Report!AM$27)</f>
        <v>0.1773198067525851</v>
      </c>
      <c r="AN130" s="14" t="e">
        <f>sigconc(AN4,Report!AN$27)</f>
        <v>#VALUE!</v>
      </c>
      <c r="AO130" s="14">
        <f>sigconc(AO4,Report!AO$27)</f>
        <v>0.33464541743734305</v>
      </c>
      <c r="AP130" s="14">
        <f>sigconc(AP4,Report!AP$27)</f>
        <v>1.1060166416540134</v>
      </c>
      <c r="AQ130" s="14">
        <f>sigconc(AQ4,Report!AQ$27)</f>
        <v>2.6196405224279293</v>
      </c>
      <c r="AR130" s="14" t="e">
        <f>sigconc(AR4,Report!AR$27)</f>
        <v>#VALUE!</v>
      </c>
      <c r="AS130" s="14">
        <f>sigconc(AS4,Report!AS$27)</f>
        <v>86.134693619155414</v>
      </c>
      <c r="AT130" s="14">
        <f>sigconc(AT4,Report!AT$27)</f>
        <v>34.088449215190153</v>
      </c>
      <c r="AU130" s="14">
        <f>sigconc(AU4,Report!AU$27)</f>
        <v>70.495724301880941</v>
      </c>
      <c r="AV130" s="14">
        <f>sigconc(AV4,Report!AV$27)</f>
        <v>93.39029580586174</v>
      </c>
      <c r="AW130" s="14">
        <f>sigconc(AW4,Report!AW$27)</f>
        <v>0.95297014171901717</v>
      </c>
    </row>
    <row r="131" spans="1:49" hidden="1" x14ac:dyDescent="0.25">
      <c r="A131" s="9" t="s">
        <v>14</v>
      </c>
      <c r="B131" s="14">
        <f>sigconc(B5,Report!B$27)</f>
        <v>105.66254343028558</v>
      </c>
      <c r="C131" s="14">
        <f>sigconc(C5,Report!C$27)</f>
        <v>323.15727564060643</v>
      </c>
      <c r="D131" s="14">
        <f>sigconc(D5,Report!D$27)</f>
        <v>72.41679160154554</v>
      </c>
      <c r="E131" s="14">
        <f>sigconc(E5,Report!E$27)</f>
        <v>81.187645949640739</v>
      </c>
      <c r="F131" s="14">
        <f>sigconc(F5,Report!F$27)</f>
        <v>54.521297609255392</v>
      </c>
      <c r="G131" s="14">
        <f>sigconc(G5,Report!G$27)</f>
        <v>59.627651662758019</v>
      </c>
      <c r="H131" s="14">
        <f>sigconc(H5,Report!H$27)</f>
        <v>32.354682902209575</v>
      </c>
      <c r="I131" s="14">
        <f>sigconc(I5,Report!I$27)</f>
        <v>30.620945600970369</v>
      </c>
      <c r="J131" s="14">
        <f>sigconc(J5,Report!J$27)</f>
        <v>31.632300109166327</v>
      </c>
      <c r="K131" s="14">
        <f>sigconc(K5,Report!K$27)</f>
        <v>38.279641883769209</v>
      </c>
      <c r="L131" s="14">
        <f>sigconc(L5,Report!L$27)</f>
        <v>37.990500845265196</v>
      </c>
      <c r="M131" s="14">
        <f>sigconc(M5,Report!M$27)</f>
        <v>85.984310445467443</v>
      </c>
      <c r="N131" s="14">
        <f>sigconc(N5,Report!N$27)</f>
        <v>82.384037913854812</v>
      </c>
      <c r="O131" s="14">
        <f>sigconc(O5,Report!O$27)</f>
        <v>36.689566938198595</v>
      </c>
      <c r="P131" s="14">
        <f>sigconc(P5,Report!P$27)</f>
        <v>36.545037029753765</v>
      </c>
      <c r="Q131" s="14">
        <f>sigconc(Q5,Report!Q$27)</f>
        <v>37.845936802158512</v>
      </c>
      <c r="R131" s="14">
        <f>sigconc(R5,Report!R$27)</f>
        <v>28.308991671707691</v>
      </c>
      <c r="S131" s="14">
        <f>sigconc(S5,Report!S$27)</f>
        <v>28.453507271563087</v>
      </c>
      <c r="T131" s="14">
        <f>sigconc(T5,Report!T$27)</f>
        <v>63.727401610355784</v>
      </c>
      <c r="U131" s="14">
        <f>sigconc(U5,Report!U$27)</f>
        <v>58.458788886742383</v>
      </c>
      <c r="V131" s="14">
        <f>sigconc(V5,Report!V$27)</f>
        <v>75.528480081633546</v>
      </c>
      <c r="W131" s="14">
        <f>sigconc(W5,Report!W$27)</f>
        <v>76.122410545870508</v>
      </c>
      <c r="X131" s="14">
        <f>sigconc(X5,Report!X$27)</f>
        <v>12.794037042698385</v>
      </c>
      <c r="Y131" s="14">
        <f>sigconc(Y5,Report!Y$27)</f>
        <v>4.1153122799283022</v>
      </c>
      <c r="Z131" s="14">
        <f>sigconc(Z5,Report!Z$27)</f>
        <v>111.11124477957884</v>
      </c>
      <c r="AA131" s="14">
        <f>sigconc(AA5,Report!AA$27)</f>
        <v>325.51738785604988</v>
      </c>
      <c r="AB131" s="14">
        <f>sigconc(AB5,Report!AB$27)</f>
        <v>91.569351456654076</v>
      </c>
      <c r="AC131" s="14">
        <f>sigconc(AC5,Report!AC$27)</f>
        <v>65.929700460567361</v>
      </c>
      <c r="AD131" s="14">
        <f>sigconc(AD5,Report!AD$27)</f>
        <v>34.810905992708015</v>
      </c>
      <c r="AE131" s="14">
        <f>sigconc(AE5,Report!AE$27)</f>
        <v>25.99621724612312</v>
      </c>
      <c r="AF131" s="14">
        <f>sigconc(AF5,Report!AF$27)</f>
        <v>0.79943837504430848</v>
      </c>
      <c r="AG131" s="14">
        <f>sigconc(AG5,Report!AG$27)</f>
        <v>0.1773198067525851</v>
      </c>
      <c r="AH131" s="14">
        <f>sigconc(AH5,Report!AH$27)</f>
        <v>0.95297014171901839</v>
      </c>
      <c r="AI131" s="14" t="e">
        <f>sigconc(AI5,Report!AI$27)</f>
        <v>#VALUE!</v>
      </c>
      <c r="AJ131" s="14" t="e">
        <f>sigconc(AJ5,Report!AJ$27)</f>
        <v>#VALUE!</v>
      </c>
      <c r="AK131" s="14" t="e">
        <f>sigconc(AK5,Report!AK$27)</f>
        <v>#VALUE!</v>
      </c>
      <c r="AL131" s="14">
        <f>sigconc(AL5,Report!AL$27)</f>
        <v>0.1773198067525851</v>
      </c>
      <c r="AM131" s="14" t="e">
        <f>sigconc(AM5,Report!AM$27)</f>
        <v>#VALUE!</v>
      </c>
      <c r="AN131" s="14" t="e">
        <f>sigconc(AN5,Report!AN$27)</f>
        <v>#VALUE!</v>
      </c>
      <c r="AO131" s="14" t="e">
        <f>sigconc(AO5,Report!AO$27)</f>
        <v>#VALUE!</v>
      </c>
      <c r="AP131" s="14">
        <f>sigconc(AP5,Report!AP$27)</f>
        <v>0.1773198067525851</v>
      </c>
      <c r="AQ131" s="14" t="e">
        <f>sigconc(AQ5,Report!AQ$27)</f>
        <v>#VALUE!</v>
      </c>
      <c r="AR131" s="14" t="e">
        <f>sigconc(AR5,Report!AR$27)</f>
        <v>#VALUE!</v>
      </c>
      <c r="AS131" s="14">
        <f>sigconc(AS5,Report!AS$27)</f>
        <v>35.38890784643506</v>
      </c>
      <c r="AT131" s="14">
        <f>sigconc(AT5,Report!AT$27)</f>
        <v>63.434089458599452</v>
      </c>
      <c r="AU131" s="14">
        <f>sigconc(AU5,Report!AU$27)</f>
        <v>86.887067285695068</v>
      </c>
      <c r="AV131" s="14">
        <f>sigconc(AV5,Report!AV$27)</f>
        <v>11.772089866971736</v>
      </c>
      <c r="AW131" s="14">
        <f>sigconc(AW5,Report!AW$27)</f>
        <v>3.3690998749626382</v>
      </c>
    </row>
    <row r="132" spans="1:49" hidden="1" x14ac:dyDescent="0.25">
      <c r="A132" s="9" t="s">
        <v>15</v>
      </c>
      <c r="B132" s="14">
        <f>sigconc(B6,Report!B$27)</f>
        <v>36.255986995569643</v>
      </c>
      <c r="C132" s="14">
        <f>sigconc(C6,Report!C$27)</f>
        <v>296.3067396937023</v>
      </c>
      <c r="D132" s="14">
        <f>sigconc(D6,Report!D$27)</f>
        <v>71.086410667312975</v>
      </c>
      <c r="E132" s="14">
        <f>sigconc(E6,Report!E$27)</f>
        <v>78.353292998802999</v>
      </c>
      <c r="F132" s="14">
        <f>sigconc(F6,Report!F$27)</f>
        <v>63.287461614754861</v>
      </c>
      <c r="G132" s="14">
        <f>sigconc(G6,Report!G$27)</f>
        <v>65.048252965808459</v>
      </c>
      <c r="H132" s="14">
        <f>sigconc(H6,Report!H$27)</f>
        <v>31.487822918657422</v>
      </c>
      <c r="I132" s="14">
        <f>sigconc(I6,Report!I$27)</f>
        <v>29.754025467508455</v>
      </c>
      <c r="J132" s="14">
        <f>sigconc(J6,Report!J$27)</f>
        <v>32.354682902209589</v>
      </c>
      <c r="K132" s="14">
        <f>sigconc(K6,Report!K$27)</f>
        <v>35.24440392696517</v>
      </c>
      <c r="L132" s="14">
        <f>sigconc(L6,Report!L$27)</f>
        <v>39.147175586141501</v>
      </c>
      <c r="M132" s="14">
        <f>sigconc(M6,Report!M$27)</f>
        <v>80.291524839052371</v>
      </c>
      <c r="N132" s="14">
        <f>sigconc(N6,Report!N$27)</f>
        <v>82.83315282812012</v>
      </c>
      <c r="O132" s="14">
        <f>sigconc(O6,Report!O$27)</f>
        <v>37.26772152284321</v>
      </c>
      <c r="P132" s="14">
        <f>sigconc(P6,Report!P$27)</f>
        <v>37.845936802158512</v>
      </c>
      <c r="Q132" s="14">
        <f>sigconc(Q6,Report!Q$27)</f>
        <v>36.834100241706246</v>
      </c>
      <c r="R132" s="14">
        <f>sigconc(R6,Report!R$27)</f>
        <v>31.487822918657422</v>
      </c>
      <c r="S132" s="14">
        <f>sigconc(S6,Report!S$27)</f>
        <v>30.187492509030278</v>
      </c>
      <c r="T132" s="14">
        <f>sigconc(T6,Report!T$27)</f>
        <v>65.635805101984914</v>
      </c>
      <c r="U132" s="14">
        <f>sigconc(U6,Report!U$27)</f>
        <v>64.75459497813695</v>
      </c>
      <c r="V132" s="14">
        <f>sigconc(V6,Report!V$27)</f>
        <v>78.353292998802999</v>
      </c>
      <c r="W132" s="14">
        <f>sigconc(W6,Report!W$27)</f>
        <v>74.341813645178917</v>
      </c>
      <c r="X132" s="14">
        <f>sigconc(X6,Report!X$27)</f>
        <v>12.356233268708062</v>
      </c>
      <c r="Y132" s="14">
        <f>sigconc(Y6,Report!Y$27)</f>
        <v>12.064221024322917</v>
      </c>
      <c r="Z132" s="14">
        <f>sigconc(Z6,Report!Z$27)</f>
        <v>38.424219073475605</v>
      </c>
      <c r="AA132" s="14">
        <f>sigconc(AA6,Report!AA$27)</f>
        <v>312.21558503847518</v>
      </c>
      <c r="AB132" s="14">
        <f>sigconc(AB6,Report!AB$27)</f>
        <v>85.533342645982685</v>
      </c>
      <c r="AC132" s="14">
        <f>sigconc(AC6,Report!AC$27)</f>
        <v>65.635805101984914</v>
      </c>
      <c r="AD132" s="14">
        <f>sigconc(AD6,Report!AD$27)</f>
        <v>40.882809246450229</v>
      </c>
      <c r="AE132" s="14">
        <f>sigconc(AE6,Report!AE$27)</f>
        <v>0.6453228117128299</v>
      </c>
      <c r="AF132" s="14" t="e">
        <f>sigconc(AF6,Report!AF$27)</f>
        <v>#VALUE!</v>
      </c>
      <c r="AG132" s="14" t="e">
        <f>sigconc(AG6,Report!AG$27)</f>
        <v>#VALUE!</v>
      </c>
      <c r="AH132" s="14" t="e">
        <f>sigconc(AH6,Report!AH$27)</f>
        <v>#VALUE!</v>
      </c>
      <c r="AI132" s="14" t="e">
        <f>sigconc(AI6,Report!AI$27)</f>
        <v>#VALUE!</v>
      </c>
      <c r="AJ132" s="14" t="e">
        <f>sigconc(AJ6,Report!AJ$27)</f>
        <v>#VALUE!</v>
      </c>
      <c r="AK132" s="14" t="e">
        <f>sigconc(AK6,Report!AK$27)</f>
        <v>#VALUE!</v>
      </c>
      <c r="AL132" s="14">
        <f>sigconc(AL6,Report!AL$27)</f>
        <v>1.6552427638263877E-2</v>
      </c>
      <c r="AM132" s="14" t="e">
        <f>sigconc(AM6,Report!AM$27)</f>
        <v>#VALUE!</v>
      </c>
      <c r="AN132" s="14" t="e">
        <f>sigconc(AN6,Report!AN$27)</f>
        <v>#VALUE!</v>
      </c>
      <c r="AO132" s="14" t="e">
        <f>sigconc(AO6,Report!AO$27)</f>
        <v>#VALUE!</v>
      </c>
      <c r="AP132" s="14" t="e">
        <f>sigconc(AP6,Report!AP$27)</f>
        <v>#VALUE!</v>
      </c>
      <c r="AQ132" s="14" t="e">
        <f>sigconc(AQ6,Report!AQ$27)</f>
        <v>#VALUE!</v>
      </c>
      <c r="AR132" s="14" t="e">
        <f>sigconc(AR6,Report!AR$27)</f>
        <v>#VALUE!</v>
      </c>
      <c r="AS132" s="14">
        <f>sigconc(AS6,Report!AS$27)</f>
        <v>28.308991671707691</v>
      </c>
      <c r="AT132" s="14">
        <f>sigconc(AT6,Report!AT$27)</f>
        <v>31.054388001374441</v>
      </c>
      <c r="AU132" s="14">
        <f>sigconc(AU6,Report!AU$27)</f>
        <v>85.082645800811221</v>
      </c>
      <c r="AV132" s="14">
        <f>sigconc(AV6,Report!AV$27)</f>
        <v>11.772089866971733</v>
      </c>
      <c r="AW132" s="14">
        <f>sigconc(AW6,Report!AW$27)</f>
        <v>11.918170556799927</v>
      </c>
    </row>
    <row r="133" spans="1:49" hidden="1" x14ac:dyDescent="0.25">
      <c r="A133" s="9" t="s">
        <v>16</v>
      </c>
      <c r="B133" s="14">
        <f>sigconc(B7,Report!B$27)</f>
        <v>15.70695005026819</v>
      </c>
      <c r="C133" s="14">
        <f>sigconc(C7,Report!C$27)</f>
        <v>12.210241766319003</v>
      </c>
      <c r="D133" s="14">
        <f>sigconc(D7,Report!D$27)</f>
        <v>72.120989523245854</v>
      </c>
      <c r="E133" s="14">
        <f>sigconc(E7,Report!E$27)</f>
        <v>77.014066415718688</v>
      </c>
      <c r="F133" s="14">
        <f>sigconc(F7,Report!F$27)</f>
        <v>67.842005412573798</v>
      </c>
      <c r="G133" s="14">
        <f>sigconc(G7,Report!G$27)</f>
        <v>67.694780756702215</v>
      </c>
      <c r="H133" s="14">
        <f>sigconc(H7,Report!H$27)</f>
        <v>31.19886698154065</v>
      </c>
      <c r="I133" s="14">
        <f>sigconc(I7,Report!I$27)</f>
        <v>31.487822918657415</v>
      </c>
      <c r="J133" s="14">
        <f>sigconc(J7,Report!J$27)</f>
        <v>36.978637040468783</v>
      </c>
      <c r="K133" s="14">
        <f>sigconc(K7,Report!K$27)</f>
        <v>36.834100241706246</v>
      </c>
      <c r="L133" s="14">
        <f>sigconc(L7,Report!L$27)</f>
        <v>52.774690507334959</v>
      </c>
      <c r="M133" s="14">
        <f>sigconc(M7,Report!M$27)</f>
        <v>93.998364732533162</v>
      </c>
      <c r="N133" s="14">
        <f>sigconc(N7,Report!N$27)</f>
        <v>79.993037943248936</v>
      </c>
      <c r="O133" s="14">
        <f>sigconc(O7,Report!O$27)</f>
        <v>36.834100241706246</v>
      </c>
      <c r="P133" s="14">
        <f>sigconc(P7,Report!P$27)</f>
        <v>36.689566938198595</v>
      </c>
      <c r="Q133" s="14">
        <f>sigconc(Q7,Report!Q$27)</f>
        <v>32.643636676255007</v>
      </c>
      <c r="R133" s="14">
        <f>sigconc(R7,Report!R$27)</f>
        <v>30.620945600970376</v>
      </c>
      <c r="S133" s="14">
        <f>sigconc(S7,Report!S$27)</f>
        <v>31.921253513763677</v>
      </c>
      <c r="T133" s="14">
        <f>sigconc(T7,Report!T$27)</f>
        <v>67.106091270327866</v>
      </c>
      <c r="U133" s="14">
        <f>sigconc(U7,Report!U$27)</f>
        <v>67.842005412573798</v>
      </c>
      <c r="V133" s="14">
        <f>sigconc(V7,Report!V$27)</f>
        <v>77.460240859084664</v>
      </c>
      <c r="W133" s="14">
        <f>sigconc(W7,Report!W$27)</f>
        <v>71.086410667312975</v>
      </c>
      <c r="X133" s="14">
        <f>sigconc(X7,Report!X$27)</f>
        <v>326.11060827999569</v>
      </c>
      <c r="Y133" s="14">
        <f>sigconc(Y7,Report!Y$27)</f>
        <v>38.857978484030909</v>
      </c>
      <c r="Z133" s="14">
        <f>sigconc(Z7,Report!Z$27)</f>
        <v>12.794037042698383</v>
      </c>
      <c r="AA133" s="14">
        <f>sigconc(AA7,Report!AA$27)</f>
        <v>12.210241766319005</v>
      </c>
      <c r="AB133" s="14">
        <f>sigconc(AB7,Report!AB$27)</f>
        <v>88.243287155844286</v>
      </c>
      <c r="AC133" s="14">
        <f>sigconc(AC7,Report!AC$27)</f>
        <v>34.810905992708015</v>
      </c>
      <c r="AD133" s="14">
        <f>sigconc(AD7,Report!AD$27)</f>
        <v>30.620945600970376</v>
      </c>
      <c r="AE133" s="14">
        <f>sigconc(AE7,Report!AE$27)</f>
        <v>1.1060166416540134</v>
      </c>
      <c r="AF133" s="14">
        <f>sigconc(AF7,Report!AF$27)</f>
        <v>0.1773198067525851</v>
      </c>
      <c r="AG133" s="14">
        <f>sigconc(AG7,Report!AG$27)</f>
        <v>0.6453228117128299</v>
      </c>
      <c r="AH133" s="14" t="e">
        <f>sigconc(AH7,Report!AH$27)</f>
        <v>#VALUE!</v>
      </c>
      <c r="AI133" s="14">
        <f>sigconc(AI7,Report!AI$27)</f>
        <v>1.8659192735965164</v>
      </c>
      <c r="AJ133" s="14">
        <f>sigconc(AJ7,Report!AJ$27)</f>
        <v>1.6552427638263877E-2</v>
      </c>
      <c r="AK133" s="14">
        <f>sigconc(AK7,Report!AK$27)</f>
        <v>0.64532281171283101</v>
      </c>
      <c r="AL133" s="14">
        <f>sigconc(AL7,Report!AL$27)</f>
        <v>0.334645417437342</v>
      </c>
      <c r="AM133" s="14" t="e">
        <f>sigconc(AM7,Report!AM$27)</f>
        <v>#VALUE!</v>
      </c>
      <c r="AN133" s="14" t="e">
        <f>sigconc(AN7,Report!AN$27)</f>
        <v>#VALUE!</v>
      </c>
      <c r="AO133" s="14" t="e">
        <f>sigconc(AO7,Report!AO$27)</f>
        <v>#VALUE!</v>
      </c>
      <c r="AP133" s="14">
        <f>sigconc(AP7,Report!AP$27)</f>
        <v>0.17731980675258402</v>
      </c>
      <c r="AQ133" s="14" t="e">
        <f>sigconc(AQ7,Report!AQ$27)</f>
        <v>#VALUE!</v>
      </c>
      <c r="AR133" s="14" t="e">
        <f>sigconc(AR7,Report!AR$27)</f>
        <v>#VALUE!</v>
      </c>
      <c r="AS133" s="14">
        <f>sigconc(AS7,Report!AS$27)</f>
        <v>39.581009390300764</v>
      </c>
      <c r="AT133" s="14">
        <f>sigconc(AT7,Report!AT$27)</f>
        <v>63.434089458599452</v>
      </c>
      <c r="AU133" s="14">
        <f>sigconc(AU7,Report!AU$27)</f>
        <v>86.736531253539923</v>
      </c>
      <c r="AV133" s="14">
        <f>sigconc(AV7,Report!AV$27)</f>
        <v>317.34431639672528</v>
      </c>
      <c r="AW133" s="14">
        <f>sigconc(AW7,Report!AW$27)</f>
        <v>38.713387277337141</v>
      </c>
    </row>
    <row r="134" spans="1:49" hidden="1" x14ac:dyDescent="0.25">
      <c r="A134" s="9" t="s">
        <v>17</v>
      </c>
      <c r="B134" s="14">
        <f>sigconc(B8,Report!B$27)</f>
        <v>4.1153122799283004</v>
      </c>
      <c r="C134" s="14">
        <f>sigconc(C8,Report!C$27)</f>
        <v>12.356233268708054</v>
      </c>
      <c r="D134" s="14">
        <f>sigconc(D8,Report!D$27)</f>
        <v>74.045392362002403</v>
      </c>
      <c r="E134" s="14">
        <f>sigconc(E8,Report!E$27)</f>
        <v>75.083294851475003</v>
      </c>
      <c r="F134" s="14">
        <f>sigconc(F8,Report!F$27)</f>
        <v>57.582824197595933</v>
      </c>
      <c r="G134" s="14">
        <f>sigconc(G8,Report!G$27)</f>
        <v>64.020789553378023</v>
      </c>
      <c r="H134" s="14">
        <f>sigconc(H8,Report!H$27)</f>
        <v>29.89851623452704</v>
      </c>
      <c r="I134" s="14">
        <f>sigconc(I8,Report!I$27)</f>
        <v>27.297285793713083</v>
      </c>
      <c r="J134" s="14">
        <f>sigconc(J8,Report!J$27)</f>
        <v>37.701376946437577</v>
      </c>
      <c r="K134" s="14">
        <f>sigconc(K8,Report!K$27)</f>
        <v>34.810905992708015</v>
      </c>
      <c r="L134" s="14">
        <f>sigconc(L8,Report!L$27)</f>
        <v>38.135069173367128</v>
      </c>
      <c r="M134" s="14">
        <f>sigconc(M8,Report!M$27)</f>
        <v>72.712687282896667</v>
      </c>
      <c r="N134" s="14">
        <f>sigconc(N8,Report!N$27)</f>
        <v>85.833957610426978</v>
      </c>
      <c r="O134" s="14">
        <f>sigconc(O8,Report!O$27)</f>
        <v>37.26772152284321</v>
      </c>
      <c r="P134" s="14">
        <f>sigconc(P8,Report!P$27)</f>
        <v>39.725631211150841</v>
      </c>
      <c r="Q134" s="14">
        <f>sigconc(Q8,Report!Q$27)</f>
        <v>31.487822918657415</v>
      </c>
      <c r="R134" s="14">
        <f>sigconc(R8,Report!R$27)</f>
        <v>32.93259218007573</v>
      </c>
      <c r="S134" s="14">
        <f>sigconc(S8,Report!S$27)</f>
        <v>30.620945600970376</v>
      </c>
      <c r="T134" s="14">
        <f>sigconc(T8,Report!T$27)</f>
        <v>58.020734702032001</v>
      </c>
      <c r="U134" s="14">
        <f>sigconc(U8,Report!U$27)</f>
        <v>57.582824197595933</v>
      </c>
      <c r="V134" s="14">
        <f>sigconc(V8,Report!V$27)</f>
        <v>80.739460992317888</v>
      </c>
      <c r="W134" s="14">
        <f>sigconc(W8,Report!W$27)</f>
        <v>71.234138876485659</v>
      </c>
      <c r="X134" s="14">
        <f>sigconc(X8,Report!X$27)</f>
        <v>327.0028577975649</v>
      </c>
      <c r="Y134" s="14">
        <f>sigconc(Y8,Report!Y$27)</f>
        <v>109.70517096546133</v>
      </c>
      <c r="Z134" s="14">
        <f>sigconc(Z8,Report!Z$27)</f>
        <v>3.8171707846194711</v>
      </c>
      <c r="AA134" s="14">
        <f>sigconc(AA8,Report!AA$27)</f>
        <v>12.648130446397499</v>
      </c>
      <c r="AB134" s="14">
        <f>sigconc(AB8,Report!AB$27)</f>
        <v>88.09247107118324</v>
      </c>
      <c r="AC134" s="14">
        <f>sigconc(AC8,Report!AC$27)</f>
        <v>69.610365879695053</v>
      </c>
      <c r="AD134" s="14">
        <f>sigconc(AD8,Report!AD$27)</f>
        <v>38.135069173367128</v>
      </c>
      <c r="AE134" s="14">
        <f>sigconc(AE8,Report!AE$27)</f>
        <v>1.2586480955833492</v>
      </c>
      <c r="AF134" s="14">
        <f>sigconc(AF8,Report!AF$27)</f>
        <v>0.6453228117128299</v>
      </c>
      <c r="AG134" s="14">
        <f>sigconc(AG8,Report!AG$27)</f>
        <v>0.1773198067525851</v>
      </c>
      <c r="AH134" s="14" t="e">
        <f>sigconc(AH8,Report!AH$27)</f>
        <v>#VALUE!</v>
      </c>
      <c r="AI134" s="14" t="e">
        <f>sigconc(AI8,Report!AI$27)</f>
        <v>#VALUE!</v>
      </c>
      <c r="AJ134" s="14" t="e">
        <f>sigconc(AJ8,Report!AJ$27)</f>
        <v>#VALUE!</v>
      </c>
      <c r="AK134" s="14" t="e">
        <f>sigconc(AK8,Report!AK$27)</f>
        <v>#VALUE!</v>
      </c>
      <c r="AL134" s="14" t="e">
        <f>sigconc(AL8,Report!AL$27)</f>
        <v>#VALUE!</v>
      </c>
      <c r="AM134" s="14" t="e">
        <f>sigconc(AM8,Report!AM$27)</f>
        <v>#VALUE!</v>
      </c>
      <c r="AN134" s="14" t="e">
        <f>sigconc(AN8,Report!AN$27)</f>
        <v>#VALUE!</v>
      </c>
      <c r="AO134" s="14" t="e">
        <f>sigconc(AO8,Report!AO$27)</f>
        <v>#VALUE!</v>
      </c>
      <c r="AP134" s="14" t="e">
        <f>sigconc(AP8,Report!AP$27)</f>
        <v>#VALUE!</v>
      </c>
      <c r="AQ134" s="14" t="e">
        <f>sigconc(AQ8,Report!AQ$27)</f>
        <v>#VALUE!</v>
      </c>
      <c r="AR134" s="14">
        <f>sigconc(AR8,Report!AR$27)</f>
        <v>23.247947682779369</v>
      </c>
      <c r="AS134" s="14">
        <f>sigconc(AS8,Report!AS$27)</f>
        <v>39.725631211150841</v>
      </c>
      <c r="AT134" s="14">
        <f>sigconc(AT8,Report!AT$27)</f>
        <v>63.287461614754861</v>
      </c>
      <c r="AU134" s="14">
        <f>sigconc(AU8,Report!AU$27)</f>
        <v>86.285107209117982</v>
      </c>
      <c r="AV134" s="14">
        <f>sigconc(AV8,Report!AV$27)</f>
        <v>316.48287557008217</v>
      </c>
      <c r="AW134" s="14">
        <f>sigconc(AW8,Report!AW$27)</f>
        <v>106.74816701444526</v>
      </c>
    </row>
    <row r="135" spans="1:49" hidden="1" x14ac:dyDescent="0.25">
      <c r="A135" s="9" t="s">
        <v>18</v>
      </c>
      <c r="B135" s="14">
        <f>sigconc(B9,Report!B$27)</f>
        <v>1.4109170950072489</v>
      </c>
      <c r="C135" s="14">
        <f>sigconc(C9,Report!C$27)</f>
        <v>79.545511883471917</v>
      </c>
      <c r="D135" s="14">
        <f>sigconc(D9,Report!D$27)</f>
        <v>74.786628620168315</v>
      </c>
      <c r="E135" s="14">
        <f>sigconc(E9,Report!E$27)</f>
        <v>78.055504058305715</v>
      </c>
      <c r="F135" s="14">
        <f>sigconc(F9,Report!F$27)</f>
        <v>61.236602821588633</v>
      </c>
      <c r="G135" s="14">
        <f>sigconc(G9,Report!G$27)</f>
        <v>67.106091270327866</v>
      </c>
      <c r="H135" s="14">
        <f>sigconc(H9,Report!H$27)</f>
        <v>31.343345248280443</v>
      </c>
      <c r="I135" s="14">
        <f>sigconc(I9,Report!I$27)</f>
        <v>30.909908190140907</v>
      </c>
      <c r="J135" s="14">
        <f>sigconc(J9,Report!J$27)</f>
        <v>30.043005207507235</v>
      </c>
      <c r="K135" s="14">
        <f>sigconc(K9,Report!K$27)</f>
        <v>32.065729958070627</v>
      </c>
      <c r="L135" s="14">
        <f>sigconc(L9,Report!L$27)</f>
        <v>76.865393188426623</v>
      </c>
      <c r="M135" s="14">
        <f>sigconc(M9,Report!M$27)</f>
        <v>83.732160101226256</v>
      </c>
      <c r="N135" s="14">
        <f>sigconc(N9,Report!N$27)</f>
        <v>93.238364265339612</v>
      </c>
      <c r="O135" s="14">
        <f>sigconc(O9,Report!O$27)</f>
        <v>39.002574555113561</v>
      </c>
      <c r="P135" s="14">
        <f>sigconc(P9,Report!P$27)</f>
        <v>36.834100241706246</v>
      </c>
      <c r="Q135" s="14">
        <f>sigconc(Q9,Report!Q$27)</f>
        <v>31.487822918657422</v>
      </c>
      <c r="R135" s="14">
        <f>sigconc(R9,Report!R$27)</f>
        <v>31.054388001374441</v>
      </c>
      <c r="S135" s="14">
        <f>sigconc(S9,Report!S$27)</f>
        <v>66.370694312192683</v>
      </c>
      <c r="T135" s="14">
        <f>sigconc(T9,Report!T$27)</f>
        <v>67.694780756702215</v>
      </c>
      <c r="U135" s="14">
        <f>sigconc(U9,Report!U$27)</f>
        <v>64.75459497813695</v>
      </c>
      <c r="V135" s="14">
        <f>sigconc(V9,Report!V$27)</f>
        <v>75.825395039168697</v>
      </c>
      <c r="W135" s="14">
        <f>sigconc(W9,Report!W$27)</f>
        <v>75.825395039168697</v>
      </c>
      <c r="X135" s="14">
        <f>sigconc(X9,Report!X$27)</f>
        <v>52.338339765858095</v>
      </c>
      <c r="Y135" s="14">
        <f>sigconc(Y9,Report!Y$27)</f>
        <v>333.33157820192019</v>
      </c>
      <c r="Z135" s="14">
        <f>sigconc(Z9,Report!Z$27)</f>
        <v>1.7145229928147128</v>
      </c>
      <c r="AA135" s="14">
        <f>sigconc(AA9,Report!AA$27)</f>
        <v>89.450956683992956</v>
      </c>
      <c r="AB135" s="14">
        <f>sigconc(AB9,Report!AB$27)</f>
        <v>74.045392362002431</v>
      </c>
      <c r="AC135" s="14">
        <f>sigconc(AC9,Report!AC$27)</f>
        <v>33.077070859667842</v>
      </c>
      <c r="AD135" s="14">
        <f>sigconc(AD9,Report!AD$27)</f>
        <v>94.302605976120901</v>
      </c>
      <c r="AE135" s="14">
        <f>sigconc(AE9,Report!AE$27)</f>
        <v>1.1060166416540114</v>
      </c>
      <c r="AF135" s="14">
        <f>sigconc(AF9,Report!AF$27)</f>
        <v>0.95297014171901628</v>
      </c>
      <c r="AG135" s="14">
        <f>sigconc(AG9,Report!AG$27)</f>
        <v>1.6552427638265026E-2</v>
      </c>
      <c r="AH135" s="14">
        <f>sigconc(AH9,Report!AH$27)</f>
        <v>1.6552427638263877E-2</v>
      </c>
      <c r="AI135" s="14">
        <f>sigconc(AI9,Report!AI$27)</f>
        <v>0.334645417437342</v>
      </c>
      <c r="AJ135" s="14">
        <f>sigconc(AJ9,Report!AJ$27)</f>
        <v>1.6552427638263877E-2</v>
      </c>
      <c r="AK135" s="14" t="e">
        <f>sigconc(AK9,Report!AK$27)</f>
        <v>#VALUE!</v>
      </c>
      <c r="AL135" s="14">
        <f>sigconc(AL9,Report!AL$27)</f>
        <v>0.6453228117128299</v>
      </c>
      <c r="AM135" s="14" t="e">
        <f>sigconc(AM9,Report!AM$27)</f>
        <v>#VALUE!</v>
      </c>
      <c r="AN135" s="14" t="e">
        <f>sigconc(AN9,Report!AN$27)</f>
        <v>#VALUE!</v>
      </c>
      <c r="AO135" s="14" t="e">
        <f>sigconc(AO9,Report!AO$27)</f>
        <v>#VALUE!</v>
      </c>
      <c r="AP135" s="14" t="e">
        <f>sigconc(AP9,Report!AP$27)</f>
        <v>#VALUE!</v>
      </c>
      <c r="AQ135" s="14" t="e">
        <f>sigconc(AQ9,Report!AQ$27)</f>
        <v>#VALUE!</v>
      </c>
      <c r="AR135" s="14">
        <f>sigconc(AR9,Report!AR$27)</f>
        <v>69.462883473788509</v>
      </c>
      <c r="AS135" s="14">
        <f>sigconc(AS9,Report!AS$27)</f>
        <v>30.620945600970376</v>
      </c>
      <c r="AT135" s="14">
        <f>sigconc(AT9,Report!AT$27)</f>
        <v>70.200515947098225</v>
      </c>
      <c r="AU135" s="14">
        <f>sigconc(AU9,Report!AU$27)</f>
        <v>89.299886345056535</v>
      </c>
      <c r="AV135" s="14">
        <f>sigconc(AV9,Report!AV$27)</f>
        <v>52.629227225828068</v>
      </c>
      <c r="AW135" s="14">
        <f>sigconc(AW9,Report!AW$27)</f>
        <v>324.33478987813834</v>
      </c>
    </row>
    <row r="136" spans="1:49" hidden="1" x14ac:dyDescent="0.25">
      <c r="A136" s="9" t="s">
        <v>19</v>
      </c>
      <c r="B136" s="14">
        <f>sigconc(B10,Report!B$27)</f>
        <v>0.33464541743734305</v>
      </c>
      <c r="C136" s="14">
        <f>sigconc(C10,Report!C$27)</f>
        <v>71.825280444937235</v>
      </c>
      <c r="D136" s="14">
        <f>sigconc(D10,Report!D$27)</f>
        <v>75.528480081633546</v>
      </c>
      <c r="E136" s="14">
        <f>sigconc(E10,Report!E$27)</f>
        <v>75.825395039168697</v>
      </c>
      <c r="F136" s="14">
        <f>sigconc(F10,Report!F$27)</f>
        <v>59.043088239444337</v>
      </c>
      <c r="G136" s="14">
        <f>sigconc(G10,Report!G$27)</f>
        <v>63.287461614754861</v>
      </c>
      <c r="H136" s="14">
        <f>sigconc(H10,Report!H$27)</f>
        <v>30.043005207507235</v>
      </c>
      <c r="I136" s="14">
        <f>sigconc(I10,Report!I$27)</f>
        <v>29.898516234527044</v>
      </c>
      <c r="J136" s="14">
        <f>sigconc(J10,Report!J$27)</f>
        <v>36.834100241706246</v>
      </c>
      <c r="K136" s="14">
        <f>sigconc(K10,Report!K$27)</f>
        <v>34.955403104512563</v>
      </c>
      <c r="L136" s="14">
        <f>sigconc(L10,Report!L$27)</f>
        <v>82.683419241760177</v>
      </c>
      <c r="M136" s="14">
        <f>sigconc(M10,Report!M$27)</f>
        <v>78.949188599957125</v>
      </c>
      <c r="N136" s="14">
        <f>sigconc(N10,Report!N$27)</f>
        <v>100.57104709668199</v>
      </c>
      <c r="O136" s="14">
        <f>sigconc(O10,Report!O$27)</f>
        <v>41.606243280932112</v>
      </c>
      <c r="P136" s="14">
        <f>sigconc(P10,Report!P$27)</f>
        <v>42.329843191327534</v>
      </c>
      <c r="Q136" s="14">
        <f>sigconc(Q10,Report!Q$27)</f>
        <v>33.366030627971739</v>
      </c>
      <c r="R136" s="14">
        <f>sigconc(R10,Report!R$27)</f>
        <v>32.643636676255007</v>
      </c>
      <c r="S136" s="14">
        <f>sigconc(S10,Report!S$27)</f>
        <v>64.461014903538015</v>
      </c>
      <c r="T136" s="14">
        <f>sigconc(T10,Report!T$27)</f>
        <v>71.677460592348112</v>
      </c>
      <c r="U136" s="14">
        <f>sigconc(U10,Report!U$27)</f>
        <v>61.822200243661158</v>
      </c>
      <c r="V136" s="14">
        <f>sigconc(V10,Report!V$27)</f>
        <v>79.545511883471931</v>
      </c>
      <c r="W136" s="14">
        <f>sigconc(W10,Report!W$27)</f>
        <v>33.654994341217979</v>
      </c>
      <c r="X136" s="14">
        <f>sigconc(X10,Report!X$27)</f>
        <v>55.249641638658503</v>
      </c>
      <c r="Y136" s="14">
        <f>sigconc(Y10,Report!Y$27)</f>
        <v>1028.5880668544912</v>
      </c>
      <c r="Z136" s="14">
        <f>sigconc(Z10,Report!Z$27)</f>
        <v>0.6453228117128299</v>
      </c>
      <c r="AA136" s="14">
        <f>sigconc(AA10,Report!AA$27)</f>
        <v>59.189204146257318</v>
      </c>
      <c r="AB136" s="14">
        <f>sigconc(AB10,Report!AB$27)</f>
        <v>73.897218103947907</v>
      </c>
      <c r="AC136" s="14">
        <f>sigconc(AC10,Report!AC$27)</f>
        <v>31.776776935741228</v>
      </c>
      <c r="AD136" s="14">
        <f>sigconc(AD10,Report!AD$27)</f>
        <v>97.505636939416846</v>
      </c>
      <c r="AE136" s="14" t="e">
        <f>sigconc(AE10,Report!AE$27)</f>
        <v>#VALUE!</v>
      </c>
      <c r="AF136" s="14" t="e">
        <f>sigconc(AF10,Report!AF$27)</f>
        <v>#VALUE!</v>
      </c>
      <c r="AG136" s="14">
        <f>sigconc(AG10,Report!AG$27)</f>
        <v>0.334645417437342</v>
      </c>
      <c r="AH136" s="14">
        <f>sigconc(AH10,Report!AH$27)</f>
        <v>1.6552427638262725E-2</v>
      </c>
      <c r="AI136" s="14">
        <f>sigconc(AI10,Report!AI$27)</f>
        <v>1.6552427638263877E-2</v>
      </c>
      <c r="AJ136" s="14">
        <f>sigconc(AJ10,Report!AJ$27)</f>
        <v>0.79943837504430948</v>
      </c>
      <c r="AK136" s="14">
        <f>sigconc(AK10,Report!AK$27)</f>
        <v>0.334645417437342</v>
      </c>
      <c r="AL136" s="14">
        <f>sigconc(AL10,Report!AL$27)</f>
        <v>1.6552427638263877E-2</v>
      </c>
      <c r="AM136" s="14" t="e">
        <f>sigconc(AM10,Report!AM$27)</f>
        <v>#VALUE!</v>
      </c>
      <c r="AN136" s="14">
        <f>sigconc(AN10,Report!AN$27)</f>
        <v>1.6552427638263877E-2</v>
      </c>
      <c r="AO136" s="14" t="e">
        <f>sigconc(AO10,Report!AO$27)</f>
        <v>#VALUE!</v>
      </c>
      <c r="AP136" s="14" t="e">
        <f>sigconc(AP10,Report!AP$27)</f>
        <v>#VALUE!</v>
      </c>
      <c r="AQ136" s="14" t="e">
        <f>sigconc(AQ10,Report!AQ$27)</f>
        <v>#VALUE!</v>
      </c>
      <c r="AR136" s="14">
        <f>sigconc(AR10,Report!AR$27)</f>
        <v>80.440809372543583</v>
      </c>
      <c r="AS136" s="14">
        <f>sigconc(AS10,Report!AS$27)</f>
        <v>73.749068000937896</v>
      </c>
      <c r="AT136" s="14">
        <f>sigconc(AT10,Report!AT$27)</f>
        <v>59.335336634487525</v>
      </c>
      <c r="AU136" s="14">
        <f>sigconc(AU10,Report!AU$27)</f>
        <v>83.28252619866592</v>
      </c>
      <c r="AV136" s="14">
        <f>sigconc(AV10,Report!AV$27)</f>
        <v>55.249641638658503</v>
      </c>
      <c r="AW136" s="14">
        <f>sigconc(AW10,Report!AW$27)</f>
        <v>1006.1064529054263</v>
      </c>
    </row>
    <row r="137" spans="1:49" hidden="1" x14ac:dyDescent="0.25">
      <c r="A137" s="63"/>
      <c r="B137" s="64"/>
      <c r="C137" s="64"/>
      <c r="D137" s="64"/>
      <c r="E137" s="64"/>
      <c r="F137" s="64"/>
      <c r="G137" s="64"/>
      <c r="H137" s="64"/>
      <c r="I137" s="64"/>
      <c r="J137" s="64"/>
      <c r="K137" s="64"/>
      <c r="L137" s="64"/>
      <c r="M137" s="64"/>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row>
    <row r="138" spans="1:49" ht="15.75" hidden="1" x14ac:dyDescent="0.25">
      <c r="A138" s="760" t="s">
        <v>402</v>
      </c>
      <c r="B138" s="760"/>
      <c r="C138" s="760"/>
      <c r="D138" s="760"/>
      <c r="E138" s="760"/>
      <c r="F138" s="760"/>
      <c r="G138" s="760"/>
      <c r="H138" s="760"/>
      <c r="I138" s="760"/>
      <c r="J138" s="760"/>
      <c r="K138" s="760"/>
      <c r="L138" s="760"/>
      <c r="M138" s="760"/>
      <c r="N138" s="760"/>
      <c r="O138" s="760"/>
      <c r="P138" s="760"/>
      <c r="Q138" s="760"/>
      <c r="R138" s="760"/>
      <c r="S138" s="760"/>
      <c r="T138" s="760"/>
      <c r="U138" s="760"/>
      <c r="V138" s="760"/>
      <c r="W138" s="760"/>
      <c r="X138" s="760"/>
      <c r="Y138" s="760"/>
      <c r="AA138" s="760" t="s">
        <v>403</v>
      </c>
      <c r="AB138" s="760"/>
      <c r="AC138" s="760"/>
      <c r="AD138" s="760"/>
      <c r="AE138" s="760"/>
      <c r="AF138" s="49"/>
      <c r="AG138" s="49"/>
    </row>
    <row r="139" spans="1:49" hidden="1" x14ac:dyDescent="0.25">
      <c r="A139" s="20" t="s">
        <v>42</v>
      </c>
      <c r="B139" s="24" t="s">
        <v>55</v>
      </c>
      <c r="C139" s="24" t="s">
        <v>56</v>
      </c>
      <c r="D139" s="24" t="s">
        <v>57</v>
      </c>
      <c r="E139" s="24" t="s">
        <v>58</v>
      </c>
      <c r="F139" s="24" t="s">
        <v>59</v>
      </c>
      <c r="G139" s="24" t="s">
        <v>60</v>
      </c>
      <c r="H139" s="24" t="s">
        <v>61</v>
      </c>
      <c r="I139" s="24" t="s">
        <v>62</v>
      </c>
      <c r="J139" s="24" t="s">
        <v>63</v>
      </c>
      <c r="K139" s="24" t="s">
        <v>73</v>
      </c>
      <c r="L139" s="24" t="s">
        <v>74</v>
      </c>
      <c r="M139" s="24" t="s">
        <v>75</v>
      </c>
      <c r="N139" s="24" t="s">
        <v>76</v>
      </c>
      <c r="O139" s="24" t="s">
        <v>77</v>
      </c>
      <c r="P139" s="24" t="s">
        <v>78</v>
      </c>
      <c r="Q139" s="24" t="s">
        <v>79</v>
      </c>
      <c r="R139" s="24" t="s">
        <v>80</v>
      </c>
      <c r="S139" s="24" t="s">
        <v>81</v>
      </c>
      <c r="T139" s="24" t="s">
        <v>82</v>
      </c>
      <c r="U139" s="24" t="s">
        <v>83</v>
      </c>
      <c r="V139" s="3" t="s">
        <v>38</v>
      </c>
      <c r="W139" s="3" t="s">
        <v>20</v>
      </c>
      <c r="X139" s="3" t="s">
        <v>39</v>
      </c>
      <c r="Y139" s="4" t="s">
        <v>193</v>
      </c>
      <c r="AA139" s="6" t="s">
        <v>42</v>
      </c>
      <c r="AB139" s="9" t="s">
        <v>38</v>
      </c>
      <c r="AC139" s="4" t="s">
        <v>20</v>
      </c>
      <c r="AD139" s="4" t="s">
        <v>193</v>
      </c>
      <c r="AE139" s="4" t="s">
        <v>407</v>
      </c>
    </row>
    <row r="140" spans="1:49" hidden="1" x14ac:dyDescent="0.25">
      <c r="A140" s="6" t="s">
        <v>84</v>
      </c>
      <c r="B140" s="241">
        <v>0.39</v>
      </c>
      <c r="C140" s="21">
        <v>0.34899999999999998</v>
      </c>
      <c r="D140" s="21">
        <v>0.36899999999999999</v>
      </c>
      <c r="E140" s="21">
        <v>0.38900000000000001</v>
      </c>
      <c r="F140" s="21">
        <v>0.40100000000000002</v>
      </c>
      <c r="G140" s="21">
        <v>0.373</v>
      </c>
      <c r="H140" s="21">
        <v>0.371</v>
      </c>
      <c r="I140" s="21">
        <v>0.38900000000000001</v>
      </c>
      <c r="J140" s="21"/>
      <c r="K140" s="21"/>
      <c r="L140" s="21"/>
      <c r="M140" s="21"/>
      <c r="N140" s="21"/>
      <c r="O140" s="21"/>
      <c r="P140" s="21"/>
      <c r="Q140" s="21"/>
      <c r="R140" s="21"/>
      <c r="S140" s="21"/>
      <c r="T140" s="21"/>
      <c r="U140" s="21"/>
      <c r="V140" s="115">
        <f>IF(ISERROR(AVERAGE(B140:U140)),IF(ISERROR(MATCH("Low",B140:U140,0)),IF(ISERROR(MATCH("High",B140:U140,0)),AVERAGE(B140:U140),"High"),"Low"),AVERAGE(B140:U140))</f>
        <v>0.37887499999999996</v>
      </c>
      <c r="W140" s="115">
        <f>STDEV(B140:U140)</f>
        <v>1.6496211686323637E-2</v>
      </c>
      <c r="X140" s="116">
        <f>W140/V140</f>
        <v>4.3539984655423657E-2</v>
      </c>
      <c r="Y140" s="7">
        <f>COUNTIF('Sample Setup'!$B$27:$AW$34,Calculations!A140)</f>
        <v>8</v>
      </c>
      <c r="AA140" s="20" t="s">
        <v>84</v>
      </c>
      <c r="AB140" s="117">
        <f>SigConcAvg(B140:U140,Report!B41)</f>
        <v>53.776716416420612</v>
      </c>
      <c r="AC140" s="113">
        <f>SigConcDev(B140:U140,Report!B41)</f>
        <v>2.4005163743261337</v>
      </c>
      <c r="AD140" s="7">
        <f t="array" ref="AD140">SUM(IF(B140:U140&gt;HLOOKUP("Section "&amp;Report!$B41,$AL$76:$AN$83,8),0,IF(B140:U140&lt;HLOOKUP("Section "&amp;Report!$B41,$AL$76:$AN$83,7),0,1)))</f>
        <v>8</v>
      </c>
      <c r="AE140" s="114">
        <f ca="1">IF(BioScale_Internal!$N$28,IF(COUNTIF(INDIRECT("'Sample Setup'!R27C"&amp;1+'Sample Setup'!$O$5,0):INDIRECT("'Sample Setup'!R34C"&amp;1+'Sample Setup'!$Q$5,0),AA140)&gt;0,1,IF(COUNTIF(INDIRECT("'Sample Setup'!R27C"&amp;1+'Sample Setup'!$O$6,0):INDIRECT("'Sample Setup'!R34C"&amp;1+'Sample Setup'!$Q$6,0),AA140)&gt;0,2,IF(COUNTIF(INDIRECT("'Sample Setup'!R27C"&amp;1+'Sample Setup'!$O$7,0):INDIRECT("'Sample Setup'!R34C"&amp;1+'Sample Setup'!$Q$7,0),AA140)&gt;0,3,NA()))),NA())</f>
        <v>1</v>
      </c>
    </row>
    <row r="141" spans="1:49" hidden="1" x14ac:dyDescent="0.25">
      <c r="A141" s="6" t="s">
        <v>85</v>
      </c>
      <c r="B141" s="21">
        <v>1.8</v>
      </c>
      <c r="C141" s="21">
        <v>1.704</v>
      </c>
      <c r="D141" s="21">
        <v>1.81</v>
      </c>
      <c r="E141" s="241">
        <v>1.8129999999999999</v>
      </c>
      <c r="F141" s="21">
        <v>1.8080000000000001</v>
      </c>
      <c r="G141" s="21">
        <v>1.762</v>
      </c>
      <c r="H141" s="21">
        <v>1.78</v>
      </c>
      <c r="I141" s="21">
        <v>1.7769999999999999</v>
      </c>
      <c r="J141" s="21"/>
      <c r="K141" s="21"/>
      <c r="L141" s="21"/>
      <c r="M141" s="21"/>
      <c r="N141" s="21"/>
      <c r="O141" s="21"/>
      <c r="P141" s="21"/>
      <c r="Q141" s="21"/>
      <c r="R141" s="21"/>
      <c r="S141" s="21"/>
      <c r="T141" s="21"/>
      <c r="U141" s="21"/>
      <c r="V141" s="115">
        <f t="shared" ref="V141:V160" si="67">IF(ISERROR(AVERAGE(B141:U141)),IF(ISERROR(MATCH("Low",B141:U141,0)),IF(ISERROR(MATCH("High",B141:U141,0)),AVERAGE(B141:U141),"High"),"Low"),AVERAGE(B141:U141))</f>
        <v>1.7817499999999999</v>
      </c>
      <c r="W141" s="115">
        <f t="shared" ref="W141:W160" si="68">STDEV(B141:U141)</f>
        <v>3.636619309193638E-2</v>
      </c>
      <c r="X141" s="116">
        <f t="shared" ref="X141:X160" si="69">W141/V141</f>
        <v>2.0410379173248987E-2</v>
      </c>
      <c r="Y141" s="7">
        <f>COUNTIF('Sample Setup'!$B$27:$AW$34,Calculations!A141)</f>
        <v>8</v>
      </c>
      <c r="AA141" s="6" t="s">
        <v>85</v>
      </c>
      <c r="AB141" s="117">
        <f>SigConcAvg(B141:U141,Report!B42)</f>
        <v>318.01720578415024</v>
      </c>
      <c r="AC141" s="113">
        <f>SigConcDev(B141:U141,Report!B42)</f>
        <v>10.258990800975379</v>
      </c>
      <c r="AD141" s="7">
        <f t="array" ref="AD141">SUM(IF(B141:U141&gt;HLOOKUP("Section "&amp;Report!$B42,$AL$76:$AN$83,8),0,IF(B141:U141&lt;HLOOKUP("Section "&amp;Report!$B42,$AL$76:$AN$83,7),0,1)))</f>
        <v>8</v>
      </c>
      <c r="AE141" s="114">
        <f ca="1">IF(BioScale_Internal!$N$28,IF(COUNTIF(INDIRECT("'Sample Setup'!R27C"&amp;1+'Sample Setup'!$O$5,0):INDIRECT("'Sample Setup'!R34C"&amp;1+'Sample Setup'!$Q$5,0),AA141)&gt;0,1,IF(COUNTIF(INDIRECT("'Sample Setup'!R27C"&amp;1+'Sample Setup'!$O$6,0):INDIRECT("'Sample Setup'!R34C"&amp;1+'Sample Setup'!$Q$6,0),AA141)&gt;0,2,IF(COUNTIF(INDIRECT("'Sample Setup'!R27C"&amp;1+'Sample Setup'!$O$7,0):INDIRECT("'Sample Setup'!R34C"&amp;1+'Sample Setup'!$Q$7,0),AA141)&gt;0,3,NA()))),NA())</f>
        <v>1</v>
      </c>
    </row>
    <row r="142" spans="1:49" hidden="1" x14ac:dyDescent="0.25">
      <c r="A142" s="6" t="s">
        <v>86</v>
      </c>
      <c r="B142" s="21">
        <v>9.1999999999999998E-2</v>
      </c>
      <c r="C142" s="21">
        <v>9.2999999999999999E-2</v>
      </c>
      <c r="D142" s="21">
        <v>9.6000000000000002E-2</v>
      </c>
      <c r="E142" s="21">
        <v>9.2999999999999999E-2</v>
      </c>
      <c r="F142" s="21">
        <v>9.1999999999999998E-2</v>
      </c>
      <c r="G142" s="21">
        <v>9.5000000000000001E-2</v>
      </c>
      <c r="H142" s="21">
        <v>8.8999999999999996E-2</v>
      </c>
      <c r="I142" s="21">
        <v>8.8999999999999996E-2</v>
      </c>
      <c r="J142" s="21"/>
      <c r="K142" s="21"/>
      <c r="L142" s="21"/>
      <c r="M142" s="21"/>
      <c r="N142" s="21"/>
      <c r="O142" s="21"/>
      <c r="P142" s="21"/>
      <c r="Q142" s="21"/>
      <c r="R142" s="21"/>
      <c r="S142" s="21"/>
      <c r="T142" s="21"/>
      <c r="U142" s="21"/>
      <c r="V142" s="115">
        <f t="shared" si="67"/>
        <v>9.2374999999999985E-2</v>
      </c>
      <c r="W142" s="115">
        <f t="shared" si="68"/>
        <v>2.5035688811888427E-3</v>
      </c>
      <c r="X142" s="116">
        <f t="shared" si="69"/>
        <v>2.7102234167132266E-2</v>
      </c>
      <c r="Y142" s="7">
        <f>COUNTIF('Sample Setup'!$B$27:$AW$34,Calculations!A142)</f>
        <v>8</v>
      </c>
      <c r="AA142" s="6" t="s">
        <v>86</v>
      </c>
      <c r="AB142" s="117">
        <f>SigConcAvg(B142:U142,Report!B43)</f>
        <v>12.264912161636683</v>
      </c>
      <c r="AC142" s="113">
        <f>SigConcDev(B142:U142,Report!B43)</f>
        <v>0.36551994575498681</v>
      </c>
      <c r="AD142" s="7">
        <f t="array" ref="AD142">SUM(IF(B142:U142&gt;HLOOKUP("Section "&amp;Report!$B43,$AL$76:$AN$83,8),0,IF(B142:U142&lt;HLOOKUP("Section "&amp;Report!$B43,$AL$76:$AN$83,7),0,1)))</f>
        <v>8</v>
      </c>
      <c r="AE142" s="114">
        <f ca="1">IF(BioScale_Internal!$N$28,IF(COUNTIF(INDIRECT("'Sample Setup'!R27C"&amp;1+'Sample Setup'!$O$5,0):INDIRECT("'Sample Setup'!R34C"&amp;1+'Sample Setup'!$Q$5,0),AA142)&gt;0,1,IF(COUNTIF(INDIRECT("'Sample Setup'!R27C"&amp;1+'Sample Setup'!$O$6,0):INDIRECT("'Sample Setup'!R34C"&amp;1+'Sample Setup'!$Q$6,0),AA142)&gt;0,2,IF(COUNTIF(INDIRECT("'Sample Setup'!R27C"&amp;1+'Sample Setup'!$O$7,0):INDIRECT("'Sample Setup'!R34C"&amp;1+'Sample Setup'!$Q$7,0),AA142)&gt;0,3,NA()))),NA())</f>
        <v>1</v>
      </c>
    </row>
    <row r="143" spans="1:49" hidden="1" x14ac:dyDescent="0.25">
      <c r="A143" s="6" t="s">
        <v>89</v>
      </c>
      <c r="B143" s="21">
        <v>0.55400000000000005</v>
      </c>
      <c r="C143" s="21">
        <v>0.53500000000000003</v>
      </c>
      <c r="D143" s="21"/>
      <c r="E143" s="21"/>
      <c r="F143" s="21"/>
      <c r="G143" s="21"/>
      <c r="H143" s="21"/>
      <c r="I143" s="21"/>
      <c r="J143" s="21"/>
      <c r="K143" s="21"/>
      <c r="L143" s="21"/>
      <c r="M143" s="21"/>
      <c r="N143" s="21"/>
      <c r="O143" s="21"/>
      <c r="P143" s="21"/>
      <c r="Q143" s="21"/>
      <c r="R143" s="21"/>
      <c r="S143" s="21"/>
      <c r="T143" s="21"/>
      <c r="U143" s="21"/>
      <c r="V143" s="115">
        <f t="shared" si="67"/>
        <v>0.54449999999999998</v>
      </c>
      <c r="W143" s="115">
        <f t="shared" si="68"/>
        <v>1.3435028842544414E-2</v>
      </c>
      <c r="X143" s="116">
        <f t="shared" si="69"/>
        <v>2.4674065826527852E-2</v>
      </c>
      <c r="Y143" s="7">
        <f>COUNTIF('Sample Setup'!$B$27:$AW$34,Calculations!A143)</f>
        <v>2</v>
      </c>
      <c r="AA143" s="6" t="s">
        <v>89</v>
      </c>
      <c r="AB143" s="117">
        <f>SigConcAvg(B143:U143,Report!B44)</f>
        <v>78.131128755933545</v>
      </c>
      <c r="AC143" s="113">
        <f>SigConcDev(B143:U143,Report!B44)</f>
        <v>2.0002398013564604</v>
      </c>
      <c r="AD143" s="7">
        <f t="array" ref="AD143">SUM(IF(B143:U143&gt;HLOOKUP("Section "&amp;Report!$B44,$AL$76:$AN$83,8),0,IF(B143:U143&lt;HLOOKUP("Section "&amp;Report!$B44,$AL$76:$AN$83,7),0,1)))</f>
        <v>2</v>
      </c>
      <c r="AE143" s="114">
        <f ca="1">IF(BioScale_Internal!$N$28,IF(COUNTIF(INDIRECT("'Sample Setup'!R27C"&amp;1+'Sample Setup'!$O$5,0):INDIRECT("'Sample Setup'!R34C"&amp;1+'Sample Setup'!$Q$5,0),AA143)&gt;0,1,IF(COUNTIF(INDIRECT("'Sample Setup'!R27C"&amp;1+'Sample Setup'!$O$6,0):INDIRECT("'Sample Setup'!R34C"&amp;1+'Sample Setup'!$Q$6,0),AA143)&gt;0,2,IF(COUNTIF(INDIRECT("'Sample Setup'!R27C"&amp;1+'Sample Setup'!$O$7,0):INDIRECT("'Sample Setup'!R34C"&amp;1+'Sample Setup'!$Q$7,0),AA143)&gt;0,3,NA()))),NA())</f>
        <v>1</v>
      </c>
    </row>
    <row r="144" spans="1:49" hidden="1" x14ac:dyDescent="0.25">
      <c r="A144" s="6" t="s">
        <v>87</v>
      </c>
      <c r="B144" s="241">
        <v>0.502</v>
      </c>
      <c r="C144" s="241">
        <v>0.51400000000000001</v>
      </c>
      <c r="D144" s="21"/>
      <c r="E144" s="21"/>
      <c r="F144" s="21"/>
      <c r="G144" s="21"/>
      <c r="H144" s="21"/>
      <c r="I144" s="21"/>
      <c r="J144" s="21"/>
      <c r="K144" s="21"/>
      <c r="L144" s="21"/>
      <c r="M144" s="21"/>
      <c r="N144" s="21"/>
      <c r="O144" s="21"/>
      <c r="P144" s="21"/>
      <c r="Q144" s="21"/>
      <c r="R144" s="21"/>
      <c r="S144" s="21"/>
      <c r="T144" s="21"/>
      <c r="U144" s="21"/>
      <c r="V144" s="115">
        <f t="shared" si="67"/>
        <v>0.50800000000000001</v>
      </c>
      <c r="W144" s="115">
        <f t="shared" si="68"/>
        <v>8.4852813742385784E-3</v>
      </c>
      <c r="X144" s="116">
        <f t="shared" si="69"/>
        <v>1.6703309791808226E-2</v>
      </c>
      <c r="Y144" s="7">
        <f>COUNTIF('Sample Setup'!$B$27:$AW$34,Calculations!A144)</f>
        <v>2</v>
      </c>
      <c r="AA144" s="6" t="s">
        <v>87</v>
      </c>
      <c r="AB144" s="117">
        <f>SigConcAvg(B144:U144,Report!B45)</f>
        <v>72.713111211219854</v>
      </c>
      <c r="AC144" s="113">
        <f>SigConcDev(B144:U144,Report!B45)</f>
        <v>1.2555823107689772</v>
      </c>
      <c r="AD144" s="7">
        <f t="array" ref="AD144">SUM(IF(B144:U144&gt;HLOOKUP("Section "&amp;Report!$B45,$AL$76:$AN$83,8),0,IF(B144:U144&lt;HLOOKUP("Section "&amp;Report!$B45,$AL$76:$AN$83,7),0,1)))</f>
        <v>2</v>
      </c>
      <c r="AE144" s="114">
        <f ca="1">IF(BioScale_Internal!$N$28,IF(COUNTIF(INDIRECT("'Sample Setup'!R27C"&amp;1+'Sample Setup'!$O$5,0):INDIRECT("'Sample Setup'!R34C"&amp;1+'Sample Setup'!$Q$5,0),AA144)&gt;0,1,IF(COUNTIF(INDIRECT("'Sample Setup'!R27C"&amp;1+'Sample Setup'!$O$6,0):INDIRECT("'Sample Setup'!R34C"&amp;1+'Sample Setup'!$Q$6,0),AA144)&gt;0,2,IF(COUNTIF(INDIRECT("'Sample Setup'!R27C"&amp;1+'Sample Setup'!$O$7,0):INDIRECT("'Sample Setup'!R34C"&amp;1+'Sample Setup'!$Q$7,0),AA144)&gt;0,3,NA()))),NA())</f>
        <v>1</v>
      </c>
    </row>
    <row r="145" spans="1:31" hidden="1" x14ac:dyDescent="0.25">
      <c r="A145" s="6" t="s">
        <v>88</v>
      </c>
      <c r="B145" s="241">
        <v>0.22800000000000001</v>
      </c>
      <c r="C145" s="21">
        <v>0.24</v>
      </c>
      <c r="D145" s="21"/>
      <c r="E145" s="21"/>
      <c r="F145" s="21"/>
      <c r="G145" s="21"/>
      <c r="H145" s="21"/>
      <c r="I145" s="21"/>
      <c r="J145" s="21"/>
      <c r="K145" s="21"/>
      <c r="L145" s="21"/>
      <c r="M145" s="21"/>
      <c r="N145" s="21"/>
      <c r="O145" s="21"/>
      <c r="P145" s="21"/>
      <c r="Q145" s="21"/>
      <c r="R145" s="21"/>
      <c r="S145" s="21"/>
      <c r="T145" s="21"/>
      <c r="U145" s="21"/>
      <c r="V145" s="115">
        <f t="shared" si="67"/>
        <v>0.23399999999999999</v>
      </c>
      <c r="W145" s="115">
        <f t="shared" si="68"/>
        <v>8.4852813742385576E-3</v>
      </c>
      <c r="X145" s="116">
        <f t="shared" si="69"/>
        <v>3.6261886214694693E-2</v>
      </c>
      <c r="Y145" s="7">
        <f>COUNTIF('Sample Setup'!$B$27:$AW$34,Calculations!A145)</f>
        <v>2</v>
      </c>
      <c r="AA145" s="6" t="s">
        <v>88</v>
      </c>
      <c r="AB145" s="117">
        <f>SigConcAvg(B145:U145,Report!B46)</f>
        <v>32.788123927490822</v>
      </c>
      <c r="AC145" s="113">
        <f>SigConcDev(B145:U145,Report!B46)</f>
        <v>1.2259398959129002</v>
      </c>
      <c r="AD145" s="7">
        <f t="array" ref="AD145">SUM(IF(B145:U145&gt;HLOOKUP("Section "&amp;Report!$B46,$AL$76:$AN$83,8),0,IF(B145:U145&lt;HLOOKUP("Section "&amp;Report!$B46,$AL$76:$AN$83,7),0,1)))</f>
        <v>2</v>
      </c>
      <c r="AE145" s="114">
        <f ca="1">IF(BioScale_Internal!$N$28,IF(COUNTIF(INDIRECT("'Sample Setup'!R27C"&amp;1+'Sample Setup'!$O$5,0):INDIRECT("'Sample Setup'!R34C"&amp;1+'Sample Setup'!$Q$5,0),AA145)&gt;0,1,IF(COUNTIF(INDIRECT("'Sample Setup'!R27C"&amp;1+'Sample Setup'!$O$6,0):INDIRECT("'Sample Setup'!R34C"&amp;1+'Sample Setup'!$Q$6,0),AA145)&gt;0,2,IF(COUNTIF(INDIRECT("'Sample Setup'!R27C"&amp;1+'Sample Setup'!$O$7,0):INDIRECT("'Sample Setup'!R34C"&amp;1+'Sample Setup'!$Q$7,0),AA145)&gt;0,3,NA()))),NA())</f>
        <v>1</v>
      </c>
    </row>
    <row r="146" spans="1:31" hidden="1" x14ac:dyDescent="0.25">
      <c r="A146" s="6" t="s">
        <v>90</v>
      </c>
      <c r="B146" s="21">
        <v>0.55000000000000004</v>
      </c>
      <c r="C146" s="21">
        <v>0.52900000000000003</v>
      </c>
      <c r="D146" s="21"/>
      <c r="E146" s="21"/>
      <c r="F146" s="21"/>
      <c r="G146" s="21"/>
      <c r="H146" s="21"/>
      <c r="I146" s="21"/>
      <c r="J146" s="21"/>
      <c r="K146" s="21"/>
      <c r="L146" s="21"/>
      <c r="M146" s="21"/>
      <c r="N146" s="21"/>
      <c r="O146" s="21"/>
      <c r="P146" s="21"/>
      <c r="Q146" s="21"/>
      <c r="R146" s="21"/>
      <c r="S146" s="21"/>
      <c r="T146" s="21"/>
      <c r="U146" s="21"/>
      <c r="V146" s="115">
        <f t="shared" si="67"/>
        <v>0.53950000000000009</v>
      </c>
      <c r="W146" s="115">
        <f t="shared" si="68"/>
        <v>1.4849242404917511E-2</v>
      </c>
      <c r="X146" s="116">
        <f t="shared" si="69"/>
        <v>2.7524082307539405E-2</v>
      </c>
      <c r="Y146" s="7">
        <f>COUNTIF('Sample Setup'!$B$27:$AW$34,Calculations!A146)</f>
        <v>2</v>
      </c>
      <c r="AA146" s="6" t="s">
        <v>90</v>
      </c>
      <c r="AB146" s="117">
        <f>SigConcAvg(B146:U146,Report!B47)</f>
        <v>77.387291819562932</v>
      </c>
      <c r="AC146" s="113">
        <f>SigConcDev(B146:U146,Report!B47)</f>
        <v>2.2088556098603691</v>
      </c>
      <c r="AD146" s="7">
        <f t="array" ref="AD146">SUM(IF(B146:U146&gt;HLOOKUP("Section "&amp;Report!$B47,$AL$76:$AN$83,8),0,IF(B146:U146&lt;HLOOKUP("Section "&amp;Report!$B47,$AL$76:$AN$83,7),0,1)))</f>
        <v>2</v>
      </c>
      <c r="AE146" s="114">
        <f ca="1">IF(BioScale_Internal!$N$28,IF(COUNTIF(INDIRECT("'Sample Setup'!R27C"&amp;1+'Sample Setup'!$O$5,0):INDIRECT("'Sample Setup'!R34C"&amp;1+'Sample Setup'!$Q$5,0),AA146)&gt;0,1,IF(COUNTIF(INDIRECT("'Sample Setup'!R27C"&amp;1+'Sample Setup'!$O$6,0):INDIRECT("'Sample Setup'!R34C"&amp;1+'Sample Setup'!$Q$6,0),AA146)&gt;0,2,IF(COUNTIF(INDIRECT("'Sample Setup'!R27C"&amp;1+'Sample Setup'!$O$7,0):INDIRECT("'Sample Setup'!R34C"&amp;1+'Sample Setup'!$Q$7,0),AA146)&gt;0,3,NA()))),NA())</f>
        <v>1</v>
      </c>
    </row>
    <row r="147" spans="1:31" hidden="1" x14ac:dyDescent="0.25">
      <c r="A147" s="6" t="s">
        <v>91</v>
      </c>
      <c r="B147" s="21">
        <v>0.50600000000000001</v>
      </c>
      <c r="C147" s="21">
        <v>0.498</v>
      </c>
      <c r="D147" s="21"/>
      <c r="E147" s="21"/>
      <c r="F147" s="21"/>
      <c r="G147" s="21"/>
      <c r="H147" s="21"/>
      <c r="I147" s="21"/>
      <c r="J147" s="21"/>
      <c r="K147" s="21"/>
      <c r="L147" s="21"/>
      <c r="M147" s="21"/>
      <c r="N147" s="21"/>
      <c r="O147" s="21"/>
      <c r="P147" s="21"/>
      <c r="Q147" s="21"/>
      <c r="R147" s="21"/>
      <c r="S147" s="21"/>
      <c r="T147" s="21"/>
      <c r="U147" s="21"/>
      <c r="V147" s="115">
        <f t="shared" si="67"/>
        <v>0.502</v>
      </c>
      <c r="W147" s="115">
        <f t="shared" si="68"/>
        <v>5.6568542494923853E-3</v>
      </c>
      <c r="X147" s="116">
        <f t="shared" si="69"/>
        <v>1.1268633963132241E-2</v>
      </c>
      <c r="Y147" s="7">
        <f>COUNTIF('Sample Setup'!$B$27:$AW$34,Calculations!A147)</f>
        <v>2</v>
      </c>
      <c r="AA147" s="6" t="s">
        <v>91</v>
      </c>
      <c r="AB147" s="117">
        <f>SigConcAvg(B147:U147,Report!B48)</f>
        <v>71.825465239015585</v>
      </c>
      <c r="AC147" s="113">
        <f>SigConcDev(B147:U147,Report!B48)</f>
        <v>0.83626176167860178</v>
      </c>
      <c r="AD147" s="7">
        <f t="array" ref="AD147">SUM(IF(B147:U147&gt;HLOOKUP("Section "&amp;Report!$B48,$AL$76:$AN$83,8),0,IF(B147:U147&lt;HLOOKUP("Section "&amp;Report!$B48,$AL$76:$AN$83,7),0,1)))</f>
        <v>2</v>
      </c>
      <c r="AE147" s="114">
        <f ca="1">IF(BioScale_Internal!$N$28,IF(COUNTIF(INDIRECT("'Sample Setup'!R27C"&amp;1+'Sample Setup'!$O$5,0):INDIRECT("'Sample Setup'!R34C"&amp;1+'Sample Setup'!$Q$5,0),AA147)&gt;0,1,IF(COUNTIF(INDIRECT("'Sample Setup'!R27C"&amp;1+'Sample Setup'!$O$6,0):INDIRECT("'Sample Setup'!R34C"&amp;1+'Sample Setup'!$Q$6,0),AA147)&gt;0,2,IF(COUNTIF(INDIRECT("'Sample Setup'!R27C"&amp;1+'Sample Setup'!$O$7,0):INDIRECT("'Sample Setup'!R34C"&amp;1+'Sample Setup'!$Q$7,0),AA147)&gt;0,3,NA()))),NA())</f>
        <v>1</v>
      </c>
    </row>
    <row r="148" spans="1:31" hidden="1" x14ac:dyDescent="0.25">
      <c r="A148" s="6" t="s">
        <v>92</v>
      </c>
      <c r="B148" s="21">
        <v>0.497</v>
      </c>
      <c r="C148" s="21">
        <v>0.497</v>
      </c>
      <c r="D148" s="21"/>
      <c r="E148" s="21"/>
      <c r="F148" s="21"/>
      <c r="G148" s="21"/>
      <c r="H148" s="21"/>
      <c r="I148" s="21"/>
      <c r="J148" s="21"/>
      <c r="K148" s="21"/>
      <c r="L148" s="21"/>
      <c r="M148" s="21"/>
      <c r="N148" s="21"/>
      <c r="O148" s="21"/>
      <c r="P148" s="21"/>
      <c r="Q148" s="21"/>
      <c r="R148" s="21"/>
      <c r="S148" s="21"/>
      <c r="T148" s="21"/>
      <c r="U148" s="21"/>
      <c r="V148" s="115">
        <f t="shared" si="67"/>
        <v>0.497</v>
      </c>
      <c r="W148" s="115">
        <f t="shared" si="68"/>
        <v>0</v>
      </c>
      <c r="X148" s="116">
        <f t="shared" si="69"/>
        <v>0</v>
      </c>
      <c r="Y148" s="7">
        <f>COUNTIF('Sample Setup'!$B$27:$AW$34,Calculations!A148)</f>
        <v>2</v>
      </c>
      <c r="AA148" s="6" t="s">
        <v>92</v>
      </c>
      <c r="AB148" s="117">
        <f>SigConcAvg(B148:U148,Report!B49)</f>
        <v>71.086410667312975</v>
      </c>
      <c r="AC148" s="113">
        <f>SigConcDev(B148:U148,Report!B49)</f>
        <v>0</v>
      </c>
      <c r="AD148" s="7">
        <f t="array" ref="AD148">SUM(IF(B148:U148&gt;HLOOKUP("Section "&amp;Report!$B49,$AL$76:$AN$83,8),0,IF(B148:U148&lt;HLOOKUP("Section "&amp;Report!$B49,$AL$76:$AN$83,7),0,1)))</f>
        <v>2</v>
      </c>
      <c r="AE148" s="114">
        <f ca="1">IF(BioScale_Internal!$N$28,IF(COUNTIF(INDIRECT("'Sample Setup'!R27C"&amp;1+'Sample Setup'!$O$5,0):INDIRECT("'Sample Setup'!R34C"&amp;1+'Sample Setup'!$Q$5,0),AA148)&gt;0,1,IF(COUNTIF(INDIRECT("'Sample Setup'!R27C"&amp;1+'Sample Setup'!$O$6,0):INDIRECT("'Sample Setup'!R34C"&amp;1+'Sample Setup'!$Q$6,0),AA148)&gt;0,2,IF(COUNTIF(INDIRECT("'Sample Setup'!R27C"&amp;1+'Sample Setup'!$O$7,0):INDIRECT("'Sample Setup'!R34C"&amp;1+'Sample Setup'!$Q$7,0),AA148)&gt;0,3,NA()))),NA())</f>
        <v>1</v>
      </c>
    </row>
    <row r="149" spans="1:31" hidden="1" x14ac:dyDescent="0.25">
      <c r="A149" s="6" t="s">
        <v>93</v>
      </c>
      <c r="B149" s="21">
        <v>0.504</v>
      </c>
      <c r="C149" s="21">
        <v>0.51900000000000002</v>
      </c>
      <c r="D149" s="21"/>
      <c r="E149" s="21"/>
      <c r="F149" s="21"/>
      <c r="G149" s="21"/>
      <c r="H149" s="21"/>
      <c r="I149" s="21"/>
      <c r="J149" s="21"/>
      <c r="K149" s="21"/>
      <c r="L149" s="21"/>
      <c r="M149" s="21"/>
      <c r="N149" s="21"/>
      <c r="O149" s="21"/>
      <c r="P149" s="21"/>
      <c r="Q149" s="21"/>
      <c r="R149" s="21"/>
      <c r="S149" s="21"/>
      <c r="T149" s="21"/>
      <c r="U149" s="21"/>
      <c r="V149" s="115">
        <f t="shared" si="67"/>
        <v>0.51150000000000007</v>
      </c>
      <c r="W149" s="115">
        <f t="shared" si="68"/>
        <v>1.0606601717798222E-2</v>
      </c>
      <c r="X149" s="116">
        <f t="shared" si="69"/>
        <v>2.0736269243007276E-2</v>
      </c>
      <c r="Y149" s="7">
        <f>COUNTIF('Sample Setup'!$B$27:$AW$34,Calculations!A149)</f>
        <v>2</v>
      </c>
      <c r="AA149" s="6" t="s">
        <v>93</v>
      </c>
      <c r="AB149" s="117">
        <f>SigConcAvg(B149:U149,Report!B50)</f>
        <v>73.231401584212392</v>
      </c>
      <c r="AC149" s="113">
        <f>SigConcDev(B149:U149,Report!B50)</f>
        <v>1.570359796441539</v>
      </c>
      <c r="AD149" s="7">
        <f t="array" ref="AD149">SUM(IF(B149:U149&gt;HLOOKUP("Section "&amp;Report!$B50,$AL$76:$AN$83,8),0,IF(B149:U149&lt;HLOOKUP("Section "&amp;Report!$B50,$AL$76:$AN$83,7),0,1)))</f>
        <v>2</v>
      </c>
      <c r="AE149" s="114">
        <f ca="1">IF(BioScale_Internal!$N$28,IF(COUNTIF(INDIRECT("'Sample Setup'!R27C"&amp;1+'Sample Setup'!$O$5,0):INDIRECT("'Sample Setup'!R34C"&amp;1+'Sample Setup'!$Q$5,0),AA149)&gt;0,1,IF(COUNTIF(INDIRECT("'Sample Setup'!R27C"&amp;1+'Sample Setup'!$O$6,0):INDIRECT("'Sample Setup'!R34C"&amp;1+'Sample Setup'!$Q$6,0),AA149)&gt;0,2,IF(COUNTIF(INDIRECT("'Sample Setup'!R27C"&amp;1+'Sample Setup'!$O$7,0):INDIRECT("'Sample Setup'!R34C"&amp;1+'Sample Setup'!$Q$7,0),AA149)&gt;0,3,NA()))),NA())</f>
        <v>1</v>
      </c>
    </row>
    <row r="150" spans="1:31" hidden="1" x14ac:dyDescent="0.25">
      <c r="A150" s="6" t="s">
        <v>94</v>
      </c>
      <c r="B150" s="21">
        <v>0.51700000000000002</v>
      </c>
      <c r="C150" s="21">
        <v>0.53100000000000003</v>
      </c>
      <c r="D150" s="21"/>
      <c r="E150" s="21"/>
      <c r="F150" s="21"/>
      <c r="G150" s="21"/>
      <c r="H150" s="21"/>
      <c r="I150" s="21"/>
      <c r="J150" s="21"/>
      <c r="K150" s="21"/>
      <c r="L150" s="21"/>
      <c r="M150" s="21"/>
      <c r="N150" s="21"/>
      <c r="O150" s="21"/>
      <c r="P150" s="21"/>
      <c r="Q150" s="21"/>
      <c r="R150" s="21"/>
      <c r="S150" s="21"/>
      <c r="T150" s="21"/>
      <c r="U150" s="21"/>
      <c r="V150" s="115">
        <f t="shared" si="67"/>
        <v>0.52400000000000002</v>
      </c>
      <c r="W150" s="115">
        <f t="shared" si="68"/>
        <v>9.8994949366116736E-3</v>
      </c>
      <c r="X150" s="116">
        <f t="shared" si="69"/>
        <v>1.8892165909564263E-2</v>
      </c>
      <c r="Y150" s="7">
        <f>COUNTIF('Sample Setup'!$B$27:$AW$34,Calculations!A150)</f>
        <v>2</v>
      </c>
      <c r="AA150" s="6" t="s">
        <v>94</v>
      </c>
      <c r="AB150" s="117">
        <f>SigConcAvg(B150:U150,Report!B51)</f>
        <v>75.083901453936477</v>
      </c>
      <c r="AC150" s="113">
        <f>SigConcDev(B150:U150,Report!B51)</f>
        <v>1.4686736424608946</v>
      </c>
      <c r="AD150" s="7">
        <f t="array" ref="AD150">SUM(IF(B150:U150&gt;HLOOKUP("Section "&amp;Report!$B51,$AL$76:$AN$83,8),0,IF(B150:U150&lt;HLOOKUP("Section "&amp;Report!$B51,$AL$76:$AN$83,7),0,1)))</f>
        <v>2</v>
      </c>
      <c r="AE150" s="114">
        <f ca="1">IF(BioScale_Internal!$N$28,IF(COUNTIF(INDIRECT("'Sample Setup'!R27C"&amp;1+'Sample Setup'!$O$5,0):INDIRECT("'Sample Setup'!R34C"&amp;1+'Sample Setup'!$Q$5,0),AA150)&gt;0,1,IF(COUNTIF(INDIRECT("'Sample Setup'!R27C"&amp;1+'Sample Setup'!$O$6,0):INDIRECT("'Sample Setup'!R34C"&amp;1+'Sample Setup'!$Q$6,0),AA150)&gt;0,2,IF(COUNTIF(INDIRECT("'Sample Setup'!R27C"&amp;1+'Sample Setup'!$O$7,0):INDIRECT("'Sample Setup'!R34C"&amp;1+'Sample Setup'!$Q$7,0),AA150)&gt;0,3,NA()))),NA())</f>
        <v>1</v>
      </c>
    </row>
    <row r="151" spans="1:31" hidden="1" x14ac:dyDescent="0.25">
      <c r="A151" s="6" t="s">
        <v>95</v>
      </c>
      <c r="B151" s="21">
        <v>0.52200000000000002</v>
      </c>
      <c r="C151" s="21">
        <v>0.52500000000000002</v>
      </c>
      <c r="D151" s="21"/>
      <c r="E151" s="21"/>
      <c r="F151" s="21"/>
      <c r="G151" s="21"/>
      <c r="H151" s="21"/>
      <c r="I151" s="21"/>
      <c r="J151" s="21"/>
      <c r="K151" s="21"/>
      <c r="L151" s="21"/>
      <c r="M151" s="21"/>
      <c r="N151" s="21"/>
      <c r="O151" s="21"/>
      <c r="P151" s="21"/>
      <c r="Q151" s="21"/>
      <c r="R151" s="21"/>
      <c r="S151" s="21"/>
      <c r="T151" s="21"/>
      <c r="U151" s="21"/>
      <c r="V151" s="115">
        <f t="shared" si="67"/>
        <v>0.52350000000000008</v>
      </c>
      <c r="W151" s="115">
        <f t="shared" si="68"/>
        <v>2.1213203435596446E-3</v>
      </c>
      <c r="X151" s="116">
        <f t="shared" si="69"/>
        <v>4.0521878578025682E-3</v>
      </c>
      <c r="Y151" s="7">
        <f>COUNTIF('Sample Setup'!$B$27:$AW$34,Calculations!A151)</f>
        <v>2</v>
      </c>
      <c r="AA151" s="6" t="s">
        <v>95</v>
      </c>
      <c r="AB151" s="117">
        <f>SigConcAvg(B151:U151,Report!B52)</f>
        <v>75.009146844177081</v>
      </c>
      <c r="AC151" s="113">
        <f>SigConcDev(B151:U151,Report!B52)</f>
        <v>0.31468829026838163</v>
      </c>
      <c r="AD151" s="7">
        <f t="array" ref="AD151">SUM(IF(B151:U151&gt;HLOOKUP("Section "&amp;Report!$B52,$AL$76:$AN$83,8),0,IF(B151:U151&lt;HLOOKUP("Section "&amp;Report!$B52,$AL$76:$AN$83,7),0,1)))</f>
        <v>2</v>
      </c>
      <c r="AE151" s="114">
        <f ca="1">IF(BioScale_Internal!$N$28,IF(COUNTIF(INDIRECT("'Sample Setup'!R27C"&amp;1+'Sample Setup'!$O$5,0):INDIRECT("'Sample Setup'!R34C"&amp;1+'Sample Setup'!$Q$5,0),AA151)&gt;0,1,IF(COUNTIF(INDIRECT("'Sample Setup'!R27C"&amp;1+'Sample Setup'!$O$6,0):INDIRECT("'Sample Setup'!R34C"&amp;1+'Sample Setup'!$Q$6,0),AA151)&gt;0,2,IF(COUNTIF(INDIRECT("'Sample Setup'!R27C"&amp;1+'Sample Setup'!$O$7,0):INDIRECT("'Sample Setup'!R34C"&amp;1+'Sample Setup'!$Q$7,0),AA151)&gt;0,3,NA()))),NA())</f>
        <v>1</v>
      </c>
    </row>
    <row r="152" spans="1:31" hidden="1" x14ac:dyDescent="0.25">
      <c r="A152" s="6" t="s">
        <v>102</v>
      </c>
      <c r="B152" s="241">
        <v>0.52700000000000002</v>
      </c>
      <c r="C152" s="21">
        <v>0.55000000000000004</v>
      </c>
      <c r="D152" s="21"/>
      <c r="E152" s="21"/>
      <c r="F152" s="21"/>
      <c r="G152" s="21"/>
      <c r="H152" s="21"/>
      <c r="I152" s="21"/>
      <c r="J152" s="21"/>
      <c r="K152" s="21"/>
      <c r="L152" s="21"/>
      <c r="M152" s="21"/>
      <c r="N152" s="21"/>
      <c r="O152" s="21"/>
      <c r="P152" s="21"/>
      <c r="Q152" s="21"/>
      <c r="R152" s="21"/>
      <c r="S152" s="21"/>
      <c r="T152" s="21"/>
      <c r="U152" s="21"/>
      <c r="V152" s="115">
        <f t="shared" si="67"/>
        <v>0.53849999999999998</v>
      </c>
      <c r="W152" s="115">
        <f t="shared" si="68"/>
        <v>1.6263455967290608E-2</v>
      </c>
      <c r="X152" s="116">
        <f t="shared" si="69"/>
        <v>3.0201403838979776E-2</v>
      </c>
      <c r="Y152" s="7">
        <f>COUNTIF('Sample Setup'!$B$27:$AW$34,Calculations!A152)</f>
        <v>2</v>
      </c>
      <c r="AA152" s="6" t="s">
        <v>102</v>
      </c>
      <c r="AB152" s="117">
        <f>SigConcAvg(B152:U152,Report!B53)</f>
        <v>77.23883434079535</v>
      </c>
      <c r="AC152" s="113">
        <f>SigConcDev(B152:U152,Report!B53)</f>
        <v>2.4188061897691902</v>
      </c>
      <c r="AD152" s="7">
        <f t="array" ref="AD152">SUM(IF(B152:U152&gt;HLOOKUP("Section "&amp;Report!$B53,$AL$76:$AN$83,8),0,IF(B152:U152&lt;HLOOKUP("Section "&amp;Report!$B53,$AL$76:$AN$83,7),0,1)))</f>
        <v>2</v>
      </c>
      <c r="AE152" s="114">
        <f ca="1">IF(BioScale_Internal!$N$28,IF(COUNTIF(INDIRECT("'Sample Setup'!R27C"&amp;1+'Sample Setup'!$O$5,0):INDIRECT("'Sample Setup'!R34C"&amp;1+'Sample Setup'!$Q$5,0),AA152)&gt;0,1,IF(COUNTIF(INDIRECT("'Sample Setup'!R27C"&amp;1+'Sample Setup'!$O$6,0):INDIRECT("'Sample Setup'!R34C"&amp;1+'Sample Setup'!$Q$6,0),AA152)&gt;0,2,IF(COUNTIF(INDIRECT("'Sample Setup'!R27C"&amp;1+'Sample Setup'!$O$7,0):INDIRECT("'Sample Setup'!R34C"&amp;1+'Sample Setup'!$Q$7,0),AA152)&gt;0,3,NA()))),NA())</f>
        <v>1</v>
      </c>
    </row>
    <row r="153" spans="1:31" hidden="1" x14ac:dyDescent="0.25">
      <c r="A153" s="6" t="s">
        <v>103</v>
      </c>
      <c r="B153" s="21">
        <v>0.57499999999999996</v>
      </c>
      <c r="C153" s="21">
        <v>0.55400000000000005</v>
      </c>
      <c r="D153" s="21"/>
      <c r="E153" s="21"/>
      <c r="F153" s="21"/>
      <c r="G153" s="21"/>
      <c r="H153" s="21"/>
      <c r="I153" s="21"/>
      <c r="J153" s="21"/>
      <c r="K153" s="21"/>
      <c r="L153" s="21"/>
      <c r="M153" s="21"/>
      <c r="N153" s="21"/>
      <c r="O153" s="21"/>
      <c r="P153" s="21"/>
      <c r="Q153" s="21"/>
      <c r="R153" s="21"/>
      <c r="S153" s="21"/>
      <c r="T153" s="21"/>
      <c r="U153" s="21"/>
      <c r="V153" s="115">
        <f t="shared" si="67"/>
        <v>0.5645</v>
      </c>
      <c r="W153" s="115">
        <f t="shared" si="68"/>
        <v>1.4849242404917433E-2</v>
      </c>
      <c r="X153" s="116">
        <f t="shared" si="69"/>
        <v>2.6305123835106171E-2</v>
      </c>
      <c r="Y153" s="7">
        <f>COUNTIF('Sample Setup'!$B$27:$AW$34,Calculations!A153)</f>
        <v>2</v>
      </c>
      <c r="AA153" s="6" t="s">
        <v>103</v>
      </c>
      <c r="AB153" s="117">
        <f>SigConcAvg(B153:U153,Report!B54)</f>
        <v>81.114465562616061</v>
      </c>
      <c r="AC153" s="113">
        <f>SigConcDev(B153:U153,Report!B54)</f>
        <v>2.2188355717807835</v>
      </c>
      <c r="AD153" s="7">
        <f t="array" ref="AD153">SUM(IF(B153:U153&gt;HLOOKUP("Section "&amp;Report!$B54,$AL$76:$AN$83,8),0,IF(B153:U153&lt;HLOOKUP("Section "&amp;Report!$B54,$AL$76:$AN$83,7),0,1)))</f>
        <v>2</v>
      </c>
      <c r="AE153" s="114">
        <f ca="1">IF(BioScale_Internal!$N$28,IF(COUNTIF(INDIRECT("'Sample Setup'!R27C"&amp;1+'Sample Setup'!$O$5,0):INDIRECT("'Sample Setup'!R34C"&amp;1+'Sample Setup'!$Q$5,0),AA153)&gt;0,1,IF(COUNTIF(INDIRECT("'Sample Setup'!R27C"&amp;1+'Sample Setup'!$O$6,0):INDIRECT("'Sample Setup'!R34C"&amp;1+'Sample Setup'!$Q$6,0),AA153)&gt;0,2,IF(COUNTIF(INDIRECT("'Sample Setup'!R27C"&amp;1+'Sample Setup'!$O$7,0):INDIRECT("'Sample Setup'!R34C"&amp;1+'Sample Setup'!$Q$7,0),AA153)&gt;0,3,NA()))),NA())</f>
        <v>1</v>
      </c>
    </row>
    <row r="154" spans="1:31" hidden="1" x14ac:dyDescent="0.25">
      <c r="A154" s="6" t="s">
        <v>104</v>
      </c>
      <c r="B154" s="21">
        <v>0.53900000000000003</v>
      </c>
      <c r="C154" s="21">
        <v>0.52900000000000003</v>
      </c>
      <c r="D154" s="21"/>
      <c r="E154" s="21"/>
      <c r="F154" s="21"/>
      <c r="G154" s="21"/>
      <c r="H154" s="21"/>
      <c r="I154" s="21"/>
      <c r="J154" s="21"/>
      <c r="K154" s="21"/>
      <c r="L154" s="21"/>
      <c r="M154" s="21"/>
      <c r="N154" s="21"/>
      <c r="O154" s="21"/>
      <c r="P154" s="21"/>
      <c r="Q154" s="21"/>
      <c r="R154" s="21"/>
      <c r="S154" s="21"/>
      <c r="T154" s="21"/>
      <c r="U154" s="21"/>
      <c r="V154" s="115">
        <f t="shared" si="67"/>
        <v>0.53400000000000003</v>
      </c>
      <c r="W154" s="115">
        <f t="shared" si="68"/>
        <v>7.0710678118654814E-3</v>
      </c>
      <c r="X154" s="116">
        <f t="shared" si="69"/>
        <v>1.3241700022220002E-2</v>
      </c>
      <c r="Y154" s="7">
        <f>COUNTIF('Sample Setup'!$B$27:$AW$34,Calculations!A154)</f>
        <v>2</v>
      </c>
      <c r="AA154" s="6" t="s">
        <v>104</v>
      </c>
      <c r="AB154" s="117">
        <f>SigConcAvg(B154:U154,Report!B55)</f>
        <v>76.568442607202201</v>
      </c>
      <c r="AC154" s="113">
        <f>SigConcDev(B154:U154,Report!B55)</f>
        <v>1.0508279482013057</v>
      </c>
      <c r="AD154" s="7">
        <f t="array" ref="AD154">SUM(IF(B154:U154&gt;HLOOKUP("Section "&amp;Report!$B55,$AL$76:$AN$83,8),0,IF(B154:U154&lt;HLOOKUP("Section "&amp;Report!$B55,$AL$76:$AN$83,7),0,1)))</f>
        <v>2</v>
      </c>
      <c r="AE154" s="114">
        <f ca="1">IF(BioScale_Internal!$N$28,IF(COUNTIF(INDIRECT("'Sample Setup'!R27C"&amp;1+'Sample Setup'!$O$5,0):INDIRECT("'Sample Setup'!R34C"&amp;1+'Sample Setup'!$Q$5,0),AA154)&gt;0,1,IF(COUNTIF(INDIRECT("'Sample Setup'!R27C"&amp;1+'Sample Setup'!$O$6,0):INDIRECT("'Sample Setup'!R34C"&amp;1+'Sample Setup'!$Q$6,0),AA154)&gt;0,2,IF(COUNTIF(INDIRECT("'Sample Setup'!R27C"&amp;1+'Sample Setup'!$O$7,0):INDIRECT("'Sample Setup'!R34C"&amp;1+'Sample Setup'!$Q$7,0),AA154)&gt;0,3,NA()))),NA())</f>
        <v>1</v>
      </c>
    </row>
    <row r="155" spans="1:31" hidden="1" x14ac:dyDescent="0.25">
      <c r="A155" s="6" t="s">
        <v>105</v>
      </c>
      <c r="B155" s="21">
        <v>0.56499999999999995</v>
      </c>
      <c r="C155" s="241">
        <v>0.56200000000000006</v>
      </c>
      <c r="D155" s="21"/>
      <c r="E155" s="21"/>
      <c r="F155" s="21"/>
      <c r="G155" s="21"/>
      <c r="H155" s="21"/>
      <c r="I155" s="21"/>
      <c r="J155" s="21"/>
      <c r="K155" s="21"/>
      <c r="L155" s="21"/>
      <c r="M155" s="21"/>
      <c r="N155" s="21"/>
      <c r="O155" s="21"/>
      <c r="P155" s="21"/>
      <c r="Q155" s="21"/>
      <c r="R155" s="21"/>
      <c r="S155" s="21"/>
      <c r="T155" s="21"/>
      <c r="U155" s="21"/>
      <c r="V155" s="115">
        <f t="shared" si="67"/>
        <v>0.5635</v>
      </c>
      <c r="W155" s="115">
        <f t="shared" si="68"/>
        <v>2.1213203435595661E-3</v>
      </c>
      <c r="X155" s="116">
        <f t="shared" si="69"/>
        <v>3.7645436442938175E-3</v>
      </c>
      <c r="Y155" s="7">
        <f>COUNTIF('Sample Setup'!$B$27:$AW$34,Calculations!A155)</f>
        <v>2</v>
      </c>
      <c r="AA155" s="6" t="s">
        <v>105</v>
      </c>
      <c r="AB155" s="117">
        <f>SigConcAvg(B155:U155,Report!B56)</f>
        <v>80.963553470979321</v>
      </c>
      <c r="AC155" s="113">
        <f>SigConcDev(B155:U155,Report!B56)</f>
        <v>0.31691462254878172</v>
      </c>
      <c r="AD155" s="7">
        <f t="array" ref="AD155">SUM(IF(B155:U155&gt;HLOOKUP("Section "&amp;Report!$B56,$AL$76:$AN$83,8),0,IF(B155:U155&lt;HLOOKUP("Section "&amp;Report!$B56,$AL$76:$AN$83,7),0,1)))</f>
        <v>2</v>
      </c>
      <c r="AE155" s="114">
        <f ca="1">IF(BioScale_Internal!$N$28,IF(COUNTIF(INDIRECT("'Sample Setup'!R27C"&amp;1+'Sample Setup'!$O$5,0):INDIRECT("'Sample Setup'!R34C"&amp;1+'Sample Setup'!$Q$5,0),AA155)&gt;0,1,IF(COUNTIF(INDIRECT("'Sample Setup'!R27C"&amp;1+'Sample Setup'!$O$6,0):INDIRECT("'Sample Setup'!R34C"&amp;1+'Sample Setup'!$Q$6,0),AA155)&gt;0,2,IF(COUNTIF(INDIRECT("'Sample Setup'!R27C"&amp;1+'Sample Setup'!$O$7,0):INDIRECT("'Sample Setup'!R34C"&amp;1+'Sample Setup'!$Q$7,0),AA155)&gt;0,3,NA()))),NA())</f>
        <v>1</v>
      </c>
    </row>
    <row r="156" spans="1:31" hidden="1" x14ac:dyDescent="0.25">
      <c r="A156" s="6" t="s">
        <v>121</v>
      </c>
      <c r="B156" s="21">
        <v>0.54600000000000004</v>
      </c>
      <c r="C156" s="21">
        <v>0.54</v>
      </c>
      <c r="D156" s="21"/>
      <c r="E156" s="21"/>
      <c r="F156" s="21"/>
      <c r="G156" s="21"/>
      <c r="H156" s="21"/>
      <c r="I156" s="21"/>
      <c r="J156" s="21"/>
      <c r="K156" s="21"/>
      <c r="L156" s="21"/>
      <c r="M156" s="21"/>
      <c r="N156" s="21"/>
      <c r="O156" s="21"/>
      <c r="P156" s="21"/>
      <c r="Q156" s="21"/>
      <c r="R156" s="21"/>
      <c r="S156" s="21"/>
      <c r="T156" s="21"/>
      <c r="U156" s="21"/>
      <c r="V156" s="115">
        <f t="shared" si="67"/>
        <v>0.54300000000000004</v>
      </c>
      <c r="W156" s="115">
        <f t="shared" si="68"/>
        <v>4.2426406871192892E-3</v>
      </c>
      <c r="X156" s="116">
        <f t="shared" si="69"/>
        <v>7.8133345987463892E-3</v>
      </c>
      <c r="Y156" s="7">
        <f>COUNTIF('Sample Setup'!$B$27:$AW$34,Calculations!A156)</f>
        <v>2</v>
      </c>
      <c r="AA156" s="6" t="s">
        <v>121</v>
      </c>
      <c r="AB156" s="117">
        <f>SigConcAvg(B156:U156,Report!B57)</f>
        <v>77.906766928943853</v>
      </c>
      <c r="AC156" s="113">
        <f>SigConcDev(B156:U156,Report!B57)</f>
        <v>0.63148322394799117</v>
      </c>
      <c r="AD156" s="7">
        <f t="array" ref="AD156">SUM(IF(B156:U156&gt;HLOOKUP("Section "&amp;Report!$B57,$AL$76:$AN$83,8),0,IF(B156:U156&lt;HLOOKUP("Section "&amp;Report!$B57,$AL$76:$AN$83,7),0,1)))</f>
        <v>2</v>
      </c>
      <c r="AE156" s="114">
        <f ca="1">IF(BioScale_Internal!$N$28,IF(COUNTIF(INDIRECT("'Sample Setup'!R27C"&amp;1+'Sample Setup'!$O$5,0):INDIRECT("'Sample Setup'!R34C"&amp;1+'Sample Setup'!$Q$5,0),AA156)&gt;0,1,IF(COUNTIF(INDIRECT("'Sample Setup'!R27C"&amp;1+'Sample Setup'!$O$6,0):INDIRECT("'Sample Setup'!R34C"&amp;1+'Sample Setup'!$Q$6,0),AA156)&gt;0,2,IF(COUNTIF(INDIRECT("'Sample Setup'!R27C"&amp;1+'Sample Setup'!$O$7,0):INDIRECT("'Sample Setup'!R34C"&amp;1+'Sample Setup'!$Q$7,0),AA156)&gt;0,3,NA()))),NA())</f>
        <v>1</v>
      </c>
    </row>
    <row r="157" spans="1:31" hidden="1" x14ac:dyDescent="0.25">
      <c r="A157" s="6" t="s">
        <v>122</v>
      </c>
      <c r="B157" s="21">
        <v>0.53700000000000003</v>
      </c>
      <c r="C157" s="21">
        <v>0.54600000000000004</v>
      </c>
      <c r="D157" s="21"/>
      <c r="E157" s="21"/>
      <c r="F157" s="21"/>
      <c r="G157" s="21"/>
      <c r="H157" s="21"/>
      <c r="I157" s="21"/>
      <c r="J157" s="21"/>
      <c r="K157" s="21"/>
      <c r="L157" s="21"/>
      <c r="M157" s="21"/>
      <c r="N157" s="21"/>
      <c r="O157" s="21"/>
      <c r="P157" s="21"/>
      <c r="Q157" s="21"/>
      <c r="R157" s="21"/>
      <c r="S157" s="21"/>
      <c r="T157" s="21"/>
      <c r="U157" s="21"/>
      <c r="V157" s="115">
        <f t="shared" si="67"/>
        <v>0.54150000000000009</v>
      </c>
      <c r="W157" s="115">
        <f t="shared" si="68"/>
        <v>6.3639610306789338E-3</v>
      </c>
      <c r="X157" s="116">
        <f t="shared" si="69"/>
        <v>1.175246727733875E-2</v>
      </c>
      <c r="Y157" s="7">
        <f>COUNTIF('Sample Setup'!$B$27:$AW$34,Calculations!A157)</f>
        <v>2</v>
      </c>
      <c r="AA157" s="6" t="s">
        <v>122</v>
      </c>
      <c r="AB157" s="117">
        <f>SigConcAvg(B157:U157,Report!B58)</f>
        <v>77.683679707260865</v>
      </c>
      <c r="AC157" s="113">
        <f>SigConcDev(B157:U157,Report!B58)</f>
        <v>0.94697619844420589</v>
      </c>
      <c r="AD157" s="7">
        <f t="array" ref="AD157">SUM(IF(B157:U157&gt;HLOOKUP("Section "&amp;Report!$B58,$AL$76:$AN$83,8),0,IF(B157:U157&lt;HLOOKUP("Section "&amp;Report!$B58,$AL$76:$AN$83,7),0,1)))</f>
        <v>2</v>
      </c>
      <c r="AE157" s="114">
        <f ca="1">IF(BioScale_Internal!$N$28,IF(COUNTIF(INDIRECT("'Sample Setup'!R27C"&amp;1+'Sample Setup'!$O$5,0):INDIRECT("'Sample Setup'!R34C"&amp;1+'Sample Setup'!$Q$5,0),AA157)&gt;0,1,IF(COUNTIF(INDIRECT("'Sample Setup'!R27C"&amp;1+'Sample Setup'!$O$6,0):INDIRECT("'Sample Setup'!R34C"&amp;1+'Sample Setup'!$Q$6,0),AA157)&gt;0,2,IF(COUNTIF(INDIRECT("'Sample Setup'!R27C"&amp;1+'Sample Setup'!$O$7,0):INDIRECT("'Sample Setup'!R34C"&amp;1+'Sample Setup'!$Q$7,0),AA157)&gt;0,3,NA()))),NA())</f>
        <v>1</v>
      </c>
    </row>
    <row r="158" spans="1:31" hidden="1" x14ac:dyDescent="0.25">
      <c r="A158" s="6" t="s">
        <v>123</v>
      </c>
      <c r="B158" s="21">
        <v>0.52400000000000002</v>
      </c>
      <c r="C158" s="241">
        <v>0.52700000000000002</v>
      </c>
      <c r="D158" s="21"/>
      <c r="E158" s="21"/>
      <c r="F158" s="21"/>
      <c r="G158" s="21"/>
      <c r="H158" s="21"/>
      <c r="I158" s="21"/>
      <c r="J158" s="21"/>
      <c r="K158" s="21"/>
      <c r="L158" s="21"/>
      <c r="M158" s="21"/>
      <c r="N158" s="21"/>
      <c r="O158" s="21"/>
      <c r="P158" s="21"/>
      <c r="Q158" s="21"/>
      <c r="R158" s="21"/>
      <c r="S158" s="21"/>
      <c r="T158" s="21"/>
      <c r="U158" s="21"/>
      <c r="V158" s="115">
        <f t="shared" si="67"/>
        <v>0.52550000000000008</v>
      </c>
      <c r="W158" s="115">
        <f t="shared" si="68"/>
        <v>2.1213203435596446E-3</v>
      </c>
      <c r="X158" s="116">
        <f t="shared" si="69"/>
        <v>4.0367656395045564E-3</v>
      </c>
      <c r="Y158" s="7">
        <f>COUNTIF('Sample Setup'!$B$27:$AW$34,Calculations!A158)</f>
        <v>2</v>
      </c>
      <c r="AA158" s="6" t="s">
        <v>123</v>
      </c>
      <c r="AB158" s="117">
        <f>SigConcAvg(B158:U158,Report!B59)</f>
        <v>75.305887466554282</v>
      </c>
      <c r="AC158" s="113">
        <f>SigConcDev(B158:U158,Report!B59)</f>
        <v>0.31479349512919985</v>
      </c>
      <c r="AD158" s="7">
        <f t="array" ref="AD158">SUM(IF(B158:U158&gt;HLOOKUP("Section "&amp;Report!$B59,$AL$76:$AN$83,8),0,IF(B158:U158&lt;HLOOKUP("Section "&amp;Report!$B59,$AL$76:$AN$83,7),0,1)))</f>
        <v>2</v>
      </c>
      <c r="AE158" s="114">
        <f ca="1">IF(BioScale_Internal!$N$28,IF(COUNTIF(INDIRECT("'Sample Setup'!R27C"&amp;1+'Sample Setup'!$O$5,0):INDIRECT("'Sample Setup'!R34C"&amp;1+'Sample Setup'!$Q$5,0),AA158)&gt;0,1,IF(COUNTIF(INDIRECT("'Sample Setup'!R27C"&amp;1+'Sample Setup'!$O$6,0):INDIRECT("'Sample Setup'!R34C"&amp;1+'Sample Setup'!$Q$6,0),AA158)&gt;0,2,IF(COUNTIF(INDIRECT("'Sample Setup'!R27C"&amp;1+'Sample Setup'!$O$7,0):INDIRECT("'Sample Setup'!R34C"&amp;1+'Sample Setup'!$Q$7,0),AA158)&gt;0,3,NA()))),NA())</f>
        <v>1</v>
      </c>
    </row>
    <row r="159" spans="1:31" hidden="1" x14ac:dyDescent="0.25">
      <c r="A159" s="6" t="s">
        <v>124</v>
      </c>
      <c r="B159" s="21">
        <v>0.54400000000000004</v>
      </c>
      <c r="C159" s="21">
        <v>0.54100000000000004</v>
      </c>
      <c r="D159" s="21"/>
      <c r="E159" s="21"/>
      <c r="F159" s="21"/>
      <c r="G159" s="21"/>
      <c r="H159" s="21"/>
      <c r="I159" s="21"/>
      <c r="J159" s="21"/>
      <c r="K159" s="21"/>
      <c r="L159" s="21"/>
      <c r="M159" s="21"/>
      <c r="N159" s="21"/>
      <c r="O159" s="21"/>
      <c r="P159" s="21"/>
      <c r="Q159" s="21"/>
      <c r="R159" s="21"/>
      <c r="S159" s="21"/>
      <c r="T159" s="21"/>
      <c r="U159" s="21"/>
      <c r="V159" s="115">
        <f t="shared" si="67"/>
        <v>0.54249999999999998</v>
      </c>
      <c r="W159" s="115">
        <f t="shared" si="68"/>
        <v>2.1213203435596446E-3</v>
      </c>
      <c r="X159" s="116">
        <f t="shared" si="69"/>
        <v>3.9102679143956584E-3</v>
      </c>
      <c r="Y159" s="7">
        <f>COUNTIF('Sample Setup'!$B$27:$AW$34,Calculations!A159)</f>
        <v>2</v>
      </c>
      <c r="AA159" s="6" t="s">
        <v>124</v>
      </c>
      <c r="AB159" s="117">
        <f>SigConcAvg(B159:U159,Report!B60)</f>
        <v>77.832260785874524</v>
      </c>
      <c r="AC159" s="113">
        <f>SigConcDev(B159:U159,Report!B60)</f>
        <v>0.31571366358077152</v>
      </c>
      <c r="AD159" s="7">
        <f t="array" ref="AD159">SUM(IF(B159:U159&gt;HLOOKUP("Section "&amp;Report!$B60,$AL$76:$AN$83,8),0,IF(B159:U159&lt;HLOOKUP("Section "&amp;Report!$B60,$AL$76:$AN$83,7),0,1)))</f>
        <v>2</v>
      </c>
      <c r="AE159" s="114">
        <f ca="1">IF(BioScale_Internal!$N$28,IF(COUNTIF(INDIRECT("'Sample Setup'!R27C"&amp;1+'Sample Setup'!$O$5,0):INDIRECT("'Sample Setup'!R34C"&amp;1+'Sample Setup'!$Q$5,0),AA159)&gt;0,1,IF(COUNTIF(INDIRECT("'Sample Setup'!R27C"&amp;1+'Sample Setup'!$O$6,0):INDIRECT("'Sample Setup'!R34C"&amp;1+'Sample Setup'!$Q$6,0),AA159)&gt;0,2,IF(COUNTIF(INDIRECT("'Sample Setup'!R27C"&amp;1+'Sample Setup'!$O$7,0):INDIRECT("'Sample Setup'!R34C"&amp;1+'Sample Setup'!$Q$7,0),AA159)&gt;0,3,NA()))),NA())</f>
        <v>1</v>
      </c>
    </row>
    <row r="160" spans="1:31" hidden="1" x14ac:dyDescent="0.25">
      <c r="A160" s="6" t="s">
        <v>125</v>
      </c>
      <c r="B160" s="21">
        <v>0.52900000000000003</v>
      </c>
      <c r="C160" s="21">
        <v>0.53100000000000003</v>
      </c>
      <c r="D160" s="21"/>
      <c r="E160" s="21"/>
      <c r="F160" s="21"/>
      <c r="G160" s="21"/>
      <c r="H160" s="21"/>
      <c r="I160" s="21"/>
      <c r="J160" s="21"/>
      <c r="K160" s="21"/>
      <c r="L160" s="21"/>
      <c r="M160" s="21"/>
      <c r="N160" s="21"/>
      <c r="O160" s="21"/>
      <c r="P160" s="21"/>
      <c r="Q160" s="21"/>
      <c r="R160" s="21"/>
      <c r="S160" s="21"/>
      <c r="T160" s="21"/>
      <c r="U160" s="21"/>
      <c r="V160" s="115">
        <f t="shared" si="67"/>
        <v>0.53</v>
      </c>
      <c r="W160" s="115">
        <f t="shared" si="68"/>
        <v>1.4142135623730963E-3</v>
      </c>
      <c r="X160" s="116">
        <f t="shared" si="69"/>
        <v>2.6683274761756534E-3</v>
      </c>
      <c r="Y160" s="7">
        <f>COUNTIF('Sample Setup'!$B$27:$AW$34,Calculations!A160)</f>
        <v>2</v>
      </c>
      <c r="AA160" s="6" t="s">
        <v>125</v>
      </c>
      <c r="AB160" s="117">
        <f>SigConcAvg(B160:U160,Report!B61)</f>
        <v>75.973902792519624</v>
      </c>
      <c r="AC160" s="113">
        <f>SigConcDev(B160:U160,Report!B61)</f>
        <v>0.21002167890640916</v>
      </c>
      <c r="AD160" s="7">
        <f t="array" ref="AD160">SUM(IF(B160:U160&gt;HLOOKUP("Section "&amp;Report!$B61,$AL$76:$AN$83,8),0,IF(B160:U160&lt;HLOOKUP("Section "&amp;Report!$B61,$AL$76:$AN$83,7),0,1)))</f>
        <v>2</v>
      </c>
      <c r="AE160" s="114">
        <f ca="1">IF(BioScale_Internal!$N$28,IF(COUNTIF(INDIRECT("'Sample Setup'!R27C"&amp;1+'Sample Setup'!$O$5,0):INDIRECT("'Sample Setup'!R34C"&amp;1+'Sample Setup'!$Q$5,0),AA160)&gt;0,1,IF(COUNTIF(INDIRECT("'Sample Setup'!R27C"&amp;1+'Sample Setup'!$O$6,0):INDIRECT("'Sample Setup'!R34C"&amp;1+'Sample Setup'!$Q$6,0),AA160)&gt;0,2,IF(COUNTIF(INDIRECT("'Sample Setup'!R27C"&amp;1+'Sample Setup'!$O$7,0):INDIRECT("'Sample Setup'!R34C"&amp;1+'Sample Setup'!$Q$7,0),AA160)&gt;0,3,NA()))),NA())</f>
        <v>1</v>
      </c>
    </row>
    <row r="161" spans="1:31" hidden="1" x14ac:dyDescent="0.25">
      <c r="A161" s="6" t="s">
        <v>126</v>
      </c>
      <c r="B161" s="241">
        <v>0.46600000000000003</v>
      </c>
      <c r="C161" s="241">
        <v>0.434</v>
      </c>
      <c r="D161" s="21"/>
      <c r="E161" s="21"/>
      <c r="F161" s="21"/>
      <c r="G161" s="21"/>
      <c r="H161" s="21"/>
      <c r="I161" s="21"/>
      <c r="J161" s="21"/>
      <c r="K161" s="21"/>
      <c r="L161" s="21"/>
      <c r="M161" s="21"/>
      <c r="N161" s="21"/>
      <c r="O161" s="21"/>
      <c r="P161" s="21"/>
      <c r="Q161" s="21"/>
      <c r="R161" s="21"/>
      <c r="S161" s="21"/>
      <c r="T161" s="21"/>
      <c r="U161" s="21"/>
      <c r="V161" s="115">
        <f t="shared" ref="V161:V224" si="70">IF(ISERROR(AVERAGE(B161:U161)),IF(ISERROR(MATCH("Low",B161:U161,0)),IF(ISERROR(MATCH("High",B161:U161,0)),AVERAGE(B161:U161),"High"),"Low"),AVERAGE(B161:U161))</f>
        <v>0.45</v>
      </c>
      <c r="W161" s="115">
        <f t="shared" ref="W161:W224" si="71">STDEV(B161:U161)</f>
        <v>2.2627416997969541E-2</v>
      </c>
      <c r="X161" s="116">
        <f t="shared" ref="X161:X224" si="72">W161/V161</f>
        <v>5.0283148884376759E-2</v>
      </c>
      <c r="Y161" s="7">
        <f>COUNTIF('Sample Setup'!$B$27:$AW$34,Calculations!A161)</f>
        <v>2</v>
      </c>
      <c r="AA161" s="6" t="s">
        <v>126</v>
      </c>
      <c r="AB161" s="117">
        <f>SigConcAvg(B161:U161,Report!B62)</f>
        <v>64.16996651278842</v>
      </c>
      <c r="AC161" s="113">
        <f>SigConcDev(B161:U161,Report!B62)</f>
        <v>3.3202428990818467</v>
      </c>
      <c r="AD161" s="7">
        <f t="array" ref="AD161">SUM(IF(B161:U161&gt;HLOOKUP("Section "&amp;Report!$B62,$AL$76:$AN$83,8),0,IF(B161:U161&lt;HLOOKUP("Section "&amp;Report!$B62,$AL$76:$AN$83,7),0,1)))</f>
        <v>2</v>
      </c>
      <c r="AE161" s="114">
        <f ca="1">IF(BioScale_Internal!$N$28,IF(COUNTIF(INDIRECT("'Sample Setup'!R27C"&amp;1+'Sample Setup'!$O$5,0):INDIRECT("'Sample Setup'!R34C"&amp;1+'Sample Setup'!$Q$5,0),AA161)&gt;0,1,IF(COUNTIF(INDIRECT("'Sample Setup'!R27C"&amp;1+'Sample Setup'!$O$6,0):INDIRECT("'Sample Setup'!R34C"&amp;1+'Sample Setup'!$Q$6,0),AA161)&gt;0,2,IF(COUNTIF(INDIRECT("'Sample Setup'!R27C"&amp;1+'Sample Setup'!$O$7,0):INDIRECT("'Sample Setup'!R34C"&amp;1+'Sample Setup'!$Q$7,0),AA161)&gt;0,3,NA()))),NA())</f>
        <v>1</v>
      </c>
    </row>
    <row r="162" spans="1:31" hidden="1" x14ac:dyDescent="0.25">
      <c r="A162" s="6" t="s">
        <v>127</v>
      </c>
      <c r="B162" s="241">
        <v>0.39800000000000002</v>
      </c>
      <c r="C162" s="241">
        <v>0.45400000000000001</v>
      </c>
      <c r="D162" s="21"/>
      <c r="E162" s="21"/>
      <c r="F162" s="21"/>
      <c r="G162" s="21"/>
      <c r="H162" s="21"/>
      <c r="I162" s="21"/>
      <c r="J162" s="21"/>
      <c r="K162" s="21"/>
      <c r="L162" s="21"/>
      <c r="M162" s="21"/>
      <c r="N162" s="21"/>
      <c r="O162" s="21"/>
      <c r="P162" s="21"/>
      <c r="Q162" s="21"/>
      <c r="R162" s="21"/>
      <c r="S162" s="21"/>
      <c r="T162" s="21"/>
      <c r="U162" s="21"/>
      <c r="V162" s="115">
        <f t="shared" si="70"/>
        <v>0.42600000000000005</v>
      </c>
      <c r="W162" s="115">
        <f t="shared" si="71"/>
        <v>3.9597979746446653E-2</v>
      </c>
      <c r="X162" s="116">
        <f t="shared" si="72"/>
        <v>9.2953004099640024E-2</v>
      </c>
      <c r="Y162" s="7">
        <f>COUNTIF('Sample Setup'!$B$27:$AW$34,Calculations!A162)</f>
        <v>2</v>
      </c>
      <c r="AA162" s="6" t="s">
        <v>127</v>
      </c>
      <c r="AB162" s="117">
        <f>SigConcAvg(B162:U162,Report!B63)</f>
        <v>60.658087504676878</v>
      </c>
      <c r="AC162" s="113">
        <f>SigConcDev(B162:U162,Report!B63)</f>
        <v>5.7933364273299759</v>
      </c>
      <c r="AD162" s="7">
        <f t="array" ref="AD162">SUM(IF(B162:U162&gt;HLOOKUP("Section "&amp;Report!$B63,$AL$76:$AN$83,8),0,IF(B162:U162&lt;HLOOKUP("Section "&amp;Report!$B63,$AL$76:$AN$83,7),0,1)))</f>
        <v>2</v>
      </c>
      <c r="AE162" s="114">
        <f ca="1">IF(BioScale_Internal!$N$28,IF(COUNTIF(INDIRECT("'Sample Setup'!R27C"&amp;1+'Sample Setup'!$O$5,0):INDIRECT("'Sample Setup'!R34C"&amp;1+'Sample Setup'!$Q$5,0),AA162)&gt;0,1,IF(COUNTIF(INDIRECT("'Sample Setup'!R27C"&amp;1+'Sample Setup'!$O$6,0):INDIRECT("'Sample Setup'!R34C"&amp;1+'Sample Setup'!$Q$6,0),AA162)&gt;0,2,IF(COUNTIF(INDIRECT("'Sample Setup'!R27C"&amp;1+'Sample Setup'!$O$7,0):INDIRECT("'Sample Setup'!R34C"&amp;1+'Sample Setup'!$Q$7,0),AA162)&gt;0,3,NA()))),NA())</f>
        <v>1</v>
      </c>
    </row>
    <row r="163" spans="1:31" hidden="1" x14ac:dyDescent="0.25">
      <c r="A163" s="6" t="s">
        <v>128</v>
      </c>
      <c r="B163" s="21">
        <v>0.38400000000000001</v>
      </c>
      <c r="C163" s="241">
        <v>0.40500000000000003</v>
      </c>
      <c r="D163" s="21"/>
      <c r="E163" s="21"/>
      <c r="F163" s="21"/>
      <c r="G163" s="21"/>
      <c r="H163" s="21"/>
      <c r="I163" s="21"/>
      <c r="J163" s="21"/>
      <c r="K163" s="21"/>
      <c r="L163" s="21"/>
      <c r="M163" s="21"/>
      <c r="N163" s="21"/>
      <c r="O163" s="21"/>
      <c r="P163" s="21"/>
      <c r="Q163" s="21"/>
      <c r="R163" s="21"/>
      <c r="S163" s="21"/>
      <c r="T163" s="21"/>
      <c r="U163" s="21"/>
      <c r="V163" s="115">
        <f t="shared" si="70"/>
        <v>0.39450000000000002</v>
      </c>
      <c r="W163" s="115">
        <f t="shared" si="71"/>
        <v>1.4849242404917511E-2</v>
      </c>
      <c r="X163" s="116">
        <f t="shared" si="72"/>
        <v>3.7640665158219289E-2</v>
      </c>
      <c r="Y163" s="7">
        <f>COUNTIF('Sample Setup'!$B$27:$AW$34,Calculations!A163)</f>
        <v>2</v>
      </c>
      <c r="AA163" s="6" t="s">
        <v>128</v>
      </c>
      <c r="AB163" s="117">
        <f>SigConcAvg(B163:U163,Report!B64)</f>
        <v>56.052060903425662</v>
      </c>
      <c r="AC163" s="113">
        <f>SigConcDev(B163:U163,Report!B64)</f>
        <v>2.1648262113985126</v>
      </c>
      <c r="AD163" s="7">
        <f t="array" ref="AD163">SUM(IF(B163:U163&gt;HLOOKUP("Section "&amp;Report!$B64,$AL$76:$AN$83,8),0,IF(B163:U163&lt;HLOOKUP("Section "&amp;Report!$B64,$AL$76:$AN$83,7),0,1)))</f>
        <v>2</v>
      </c>
      <c r="AE163" s="114">
        <f ca="1">IF(BioScale_Internal!$N$28,IF(COUNTIF(INDIRECT("'Sample Setup'!R27C"&amp;1+'Sample Setup'!$O$5,0):INDIRECT("'Sample Setup'!R34C"&amp;1+'Sample Setup'!$Q$5,0),AA163)&gt;0,1,IF(COUNTIF(INDIRECT("'Sample Setup'!R27C"&amp;1+'Sample Setup'!$O$6,0):INDIRECT("'Sample Setup'!R34C"&amp;1+'Sample Setup'!$Q$6,0),AA163)&gt;0,2,IF(COUNTIF(INDIRECT("'Sample Setup'!R27C"&amp;1+'Sample Setup'!$O$7,0):INDIRECT("'Sample Setup'!R34C"&amp;1+'Sample Setup'!$Q$7,0),AA163)&gt;0,3,NA()))),NA())</f>
        <v>1</v>
      </c>
    </row>
    <row r="164" spans="1:31" hidden="1" x14ac:dyDescent="0.25">
      <c r="A164" s="6" t="s">
        <v>129</v>
      </c>
      <c r="B164" s="21">
        <v>0.44400000000000001</v>
      </c>
      <c r="C164" s="241">
        <v>0.47499999999999998</v>
      </c>
      <c r="D164" s="21"/>
      <c r="E164" s="21"/>
      <c r="F164" s="21"/>
      <c r="G164" s="21"/>
      <c r="H164" s="21"/>
      <c r="I164" s="21"/>
      <c r="J164" s="21"/>
      <c r="K164" s="21"/>
      <c r="L164" s="21"/>
      <c r="M164" s="21"/>
      <c r="N164" s="21"/>
      <c r="O164" s="21"/>
      <c r="P164" s="21"/>
      <c r="Q164" s="21"/>
      <c r="R164" s="21"/>
      <c r="S164" s="21"/>
      <c r="T164" s="21"/>
      <c r="U164" s="21"/>
      <c r="V164" s="115">
        <f t="shared" si="70"/>
        <v>0.45950000000000002</v>
      </c>
      <c r="W164" s="115">
        <f t="shared" si="71"/>
        <v>2.1920310216782955E-2</v>
      </c>
      <c r="X164" s="116">
        <f t="shared" si="72"/>
        <v>4.7704701233477594E-2</v>
      </c>
      <c r="Y164" s="7">
        <f>COUNTIF('Sample Setup'!$B$27:$AW$34,Calculations!A164)</f>
        <v>2</v>
      </c>
      <c r="AA164" s="6" t="s">
        <v>129</v>
      </c>
      <c r="AB164" s="117">
        <f>SigConcAvg(B164:U164,Report!B65)</f>
        <v>65.564733513664322</v>
      </c>
      <c r="AC164" s="113">
        <f>SigConcDev(B164:U164,Report!B65)</f>
        <v>3.2205488046488924</v>
      </c>
      <c r="AD164" s="7">
        <f t="array" ref="AD164">SUM(IF(B164:U164&gt;HLOOKUP("Section "&amp;Report!$B65,$AL$76:$AN$83,8),0,IF(B164:U164&lt;HLOOKUP("Section "&amp;Report!$B65,$AL$76:$AN$83,7),0,1)))</f>
        <v>2</v>
      </c>
      <c r="AE164" s="114">
        <f ca="1">IF(BioScale_Internal!$N$28,IF(COUNTIF(INDIRECT("'Sample Setup'!R27C"&amp;1+'Sample Setup'!$O$5,0):INDIRECT("'Sample Setup'!R34C"&amp;1+'Sample Setup'!$Q$5,0),AA164)&gt;0,1,IF(COUNTIF(INDIRECT("'Sample Setup'!R27C"&amp;1+'Sample Setup'!$O$6,0):INDIRECT("'Sample Setup'!R34C"&amp;1+'Sample Setup'!$Q$6,0),AA164)&gt;0,2,IF(COUNTIF(INDIRECT("'Sample Setup'!R27C"&amp;1+'Sample Setup'!$O$7,0):INDIRECT("'Sample Setup'!R34C"&amp;1+'Sample Setup'!$Q$7,0),AA164)&gt;0,3,NA()))),NA())</f>
        <v>1</v>
      </c>
    </row>
    <row r="165" spans="1:31" hidden="1" x14ac:dyDescent="0.25">
      <c r="A165" s="6" t="s">
        <v>130</v>
      </c>
      <c r="B165" s="21">
        <v>0.47499999999999998</v>
      </c>
      <c r="C165" s="241">
        <v>0.45400000000000001</v>
      </c>
      <c r="D165" s="21"/>
      <c r="E165" s="21"/>
      <c r="F165" s="21"/>
      <c r="G165" s="21"/>
      <c r="H165" s="21"/>
      <c r="I165" s="21"/>
      <c r="J165" s="21"/>
      <c r="K165" s="21"/>
      <c r="L165" s="21"/>
      <c r="M165" s="21"/>
      <c r="N165" s="21"/>
      <c r="O165" s="21"/>
      <c r="P165" s="21"/>
      <c r="Q165" s="21"/>
      <c r="R165" s="21"/>
      <c r="S165" s="21"/>
      <c r="T165" s="21"/>
      <c r="U165" s="21"/>
      <c r="V165" s="115">
        <f t="shared" si="70"/>
        <v>0.46450000000000002</v>
      </c>
      <c r="W165" s="115">
        <f t="shared" si="71"/>
        <v>1.4849242404917471E-2</v>
      </c>
      <c r="X165" s="116">
        <f t="shared" si="72"/>
        <v>3.1968229074095737E-2</v>
      </c>
      <c r="Y165" s="7">
        <f>COUNTIF('Sample Setup'!$B$27:$AW$34,Calculations!A165)</f>
        <v>2</v>
      </c>
      <c r="AA165" s="6" t="s">
        <v>130</v>
      </c>
      <c r="AB165" s="117">
        <f>SigConcAvg(B165:U165,Report!B66)</f>
        <v>66.298300195355367</v>
      </c>
      <c r="AC165" s="113">
        <f>SigConcDev(B165:U165,Report!B66)</f>
        <v>2.1831288544963896</v>
      </c>
      <c r="AD165" s="7">
        <f t="array" ref="AD165">SUM(IF(B165:U165&gt;HLOOKUP("Section "&amp;Report!$B66,$AL$76:$AN$83,8),0,IF(B165:U165&lt;HLOOKUP("Section "&amp;Report!$B66,$AL$76:$AN$83,7),0,1)))</f>
        <v>2</v>
      </c>
      <c r="AE165" s="114">
        <f ca="1">IF(BioScale_Internal!$N$28,IF(COUNTIF(INDIRECT("'Sample Setup'!R27C"&amp;1+'Sample Setup'!$O$5,0):INDIRECT("'Sample Setup'!R34C"&amp;1+'Sample Setup'!$Q$5,0),AA165)&gt;0,1,IF(COUNTIF(INDIRECT("'Sample Setup'!R27C"&amp;1+'Sample Setup'!$O$6,0):INDIRECT("'Sample Setup'!R34C"&amp;1+'Sample Setup'!$Q$6,0),AA165)&gt;0,2,IF(COUNTIF(INDIRECT("'Sample Setup'!R27C"&amp;1+'Sample Setup'!$O$7,0):INDIRECT("'Sample Setup'!R34C"&amp;1+'Sample Setup'!$Q$7,0),AA165)&gt;0,3,NA()))),NA())</f>
        <v>1</v>
      </c>
    </row>
    <row r="166" spans="1:31" hidden="1" x14ac:dyDescent="0.25">
      <c r="A166" s="6" t="s">
        <v>131</v>
      </c>
      <c r="B166" s="241">
        <v>0.40500000000000003</v>
      </c>
      <c r="C166" s="21">
        <v>0.41099999999999998</v>
      </c>
      <c r="D166" s="21"/>
      <c r="E166" s="21"/>
      <c r="F166" s="21"/>
      <c r="G166" s="21"/>
      <c r="H166" s="21"/>
      <c r="I166" s="21"/>
      <c r="J166" s="21"/>
      <c r="K166" s="21"/>
      <c r="L166" s="21"/>
      <c r="M166" s="21"/>
      <c r="N166" s="21"/>
      <c r="O166" s="21"/>
      <c r="P166" s="21"/>
      <c r="Q166" s="21"/>
      <c r="R166" s="21"/>
      <c r="S166" s="21"/>
      <c r="T166" s="21"/>
      <c r="U166" s="21"/>
      <c r="V166" s="115">
        <f t="shared" si="70"/>
        <v>0.40800000000000003</v>
      </c>
      <c r="W166" s="115">
        <f t="shared" si="71"/>
        <v>4.2426406871192493E-3</v>
      </c>
      <c r="X166" s="116">
        <f t="shared" si="72"/>
        <v>1.0398629135096199E-2</v>
      </c>
      <c r="Y166" s="7">
        <f>COUNTIF('Sample Setup'!$B$27:$AW$34,Calculations!A166)</f>
        <v>2</v>
      </c>
      <c r="AA166" s="6" t="s">
        <v>131</v>
      </c>
      <c r="AB166" s="117">
        <f>SigConcAvg(B166:U166,Report!B67)</f>
        <v>58.020806542169154</v>
      </c>
      <c r="AC166" s="113">
        <f>SigConcDev(B166:U166,Report!B67)</f>
        <v>0.61940057177541585</v>
      </c>
      <c r="AD166" s="7">
        <f t="array" ref="AD166">SUM(IF(B166:U166&gt;HLOOKUP("Section "&amp;Report!$B67,$AL$76:$AN$83,8),0,IF(B166:U166&lt;HLOOKUP("Section "&amp;Report!$B67,$AL$76:$AN$83,7),0,1)))</f>
        <v>2</v>
      </c>
      <c r="AE166" s="114">
        <f ca="1">IF(BioScale_Internal!$N$28,IF(COUNTIF(INDIRECT("'Sample Setup'!R27C"&amp;1+'Sample Setup'!$O$5,0):INDIRECT("'Sample Setup'!R34C"&amp;1+'Sample Setup'!$Q$5,0),AA166)&gt;0,1,IF(COUNTIF(INDIRECT("'Sample Setup'!R27C"&amp;1+'Sample Setup'!$O$6,0):INDIRECT("'Sample Setup'!R34C"&amp;1+'Sample Setup'!$Q$6,0),AA166)&gt;0,2,IF(COUNTIF(INDIRECT("'Sample Setup'!R27C"&amp;1+'Sample Setup'!$O$7,0):INDIRECT("'Sample Setup'!R34C"&amp;1+'Sample Setup'!$Q$7,0),AA166)&gt;0,3,NA()))),NA())</f>
        <v>1</v>
      </c>
    </row>
    <row r="167" spans="1:31" hidden="1" x14ac:dyDescent="0.25">
      <c r="A167" s="6" t="s">
        <v>132</v>
      </c>
      <c r="B167" s="21">
        <v>0.43</v>
      </c>
      <c r="C167" s="241">
        <v>0.441</v>
      </c>
      <c r="D167" s="21"/>
      <c r="E167" s="21"/>
      <c r="F167" s="21"/>
      <c r="G167" s="21"/>
      <c r="H167" s="21"/>
      <c r="I167" s="21"/>
      <c r="J167" s="21"/>
      <c r="K167" s="21"/>
      <c r="L167" s="21"/>
      <c r="M167" s="21"/>
      <c r="N167" s="21"/>
      <c r="O167" s="21"/>
      <c r="P167" s="21"/>
      <c r="Q167" s="21"/>
      <c r="R167" s="21"/>
      <c r="S167" s="21"/>
      <c r="T167" s="21"/>
      <c r="U167" s="21"/>
      <c r="V167" s="115">
        <f t="shared" si="70"/>
        <v>0.4355</v>
      </c>
      <c r="W167" s="115">
        <f t="shared" si="71"/>
        <v>7.7781745930520299E-3</v>
      </c>
      <c r="X167" s="116">
        <f t="shared" si="72"/>
        <v>1.7860332016192949E-2</v>
      </c>
      <c r="Y167" s="7">
        <f>COUNTIF('Sample Setup'!$B$27:$AW$34,Calculations!A167)</f>
        <v>2</v>
      </c>
      <c r="AA167" s="6" t="s">
        <v>132</v>
      </c>
      <c r="AB167" s="117">
        <f>SigConcAvg(B167:U167,Report!B68)</f>
        <v>62.042146460910764</v>
      </c>
      <c r="AC167" s="113">
        <f>SigConcDev(B167:U167,Report!B68)</f>
        <v>1.1392107398127391</v>
      </c>
      <c r="AD167" s="7">
        <f t="array" ref="AD167">SUM(IF(B167:U167&gt;HLOOKUP("Section "&amp;Report!$B68,$AL$76:$AN$83,8),0,IF(B167:U167&lt;HLOOKUP("Section "&amp;Report!$B68,$AL$76:$AN$83,7),0,1)))</f>
        <v>2</v>
      </c>
      <c r="AE167" s="114">
        <f ca="1">IF(BioScale_Internal!$N$28,IF(COUNTIF(INDIRECT("'Sample Setup'!R27C"&amp;1+'Sample Setup'!$O$5,0):INDIRECT("'Sample Setup'!R34C"&amp;1+'Sample Setup'!$Q$5,0),AA167)&gt;0,1,IF(COUNTIF(INDIRECT("'Sample Setup'!R27C"&amp;1+'Sample Setup'!$O$6,0):INDIRECT("'Sample Setup'!R34C"&amp;1+'Sample Setup'!$Q$6,0),AA167)&gt;0,2,IF(COUNTIF(INDIRECT("'Sample Setup'!R27C"&amp;1+'Sample Setup'!$O$7,0):INDIRECT("'Sample Setup'!R34C"&amp;1+'Sample Setup'!$Q$7,0),AA167)&gt;0,3,NA()))),NA())</f>
        <v>1</v>
      </c>
    </row>
    <row r="168" spans="1:31" hidden="1" x14ac:dyDescent="0.25">
      <c r="A168" s="6" t="s">
        <v>133</v>
      </c>
      <c r="B168" s="241">
        <v>0.41499999999999998</v>
      </c>
      <c r="C168" s="21">
        <v>0.433</v>
      </c>
      <c r="D168" s="21"/>
      <c r="E168" s="21"/>
      <c r="F168" s="21"/>
      <c r="G168" s="21"/>
      <c r="H168" s="21"/>
      <c r="I168" s="21"/>
      <c r="J168" s="21"/>
      <c r="K168" s="21"/>
      <c r="L168" s="21"/>
      <c r="M168" s="21"/>
      <c r="N168" s="21"/>
      <c r="O168" s="21"/>
      <c r="P168" s="21"/>
      <c r="Q168" s="21"/>
      <c r="R168" s="21"/>
      <c r="S168" s="21"/>
      <c r="T168" s="21"/>
      <c r="U168" s="21"/>
      <c r="V168" s="115">
        <f t="shared" si="70"/>
        <v>0.42399999999999999</v>
      </c>
      <c r="W168" s="115">
        <f t="shared" si="71"/>
        <v>1.2727922061357866E-2</v>
      </c>
      <c r="X168" s="116">
        <f t="shared" si="72"/>
        <v>3.0018684106976098E-2</v>
      </c>
      <c r="Y168" s="7">
        <f>COUNTIF('Sample Setup'!$B$27:$AW$34,Calculations!A168)</f>
        <v>2</v>
      </c>
      <c r="AA168" s="6" t="s">
        <v>133</v>
      </c>
      <c r="AB168" s="117">
        <f>SigConcAvg(B168:U168,Report!B69)</f>
        <v>60.359431189564923</v>
      </c>
      <c r="AC168" s="113">
        <f>SigConcDev(B168:U168,Report!B69)</f>
        <v>1.8615900527947524</v>
      </c>
      <c r="AD168" s="7">
        <f t="array" ref="AD168">SUM(IF(B168:U168&gt;HLOOKUP("Section "&amp;Report!$B69,$AL$76:$AN$83,8),0,IF(B168:U168&lt;HLOOKUP("Section "&amp;Report!$B69,$AL$76:$AN$83,7),0,1)))</f>
        <v>2</v>
      </c>
      <c r="AE168" s="114">
        <f ca="1">IF(BioScale_Internal!$N$28,IF(COUNTIF(INDIRECT("'Sample Setup'!R27C"&amp;1+'Sample Setup'!$O$5,0):INDIRECT("'Sample Setup'!R34C"&amp;1+'Sample Setup'!$Q$5,0),AA168)&gt;0,1,IF(COUNTIF(INDIRECT("'Sample Setup'!R27C"&amp;1+'Sample Setup'!$O$6,0):INDIRECT("'Sample Setup'!R34C"&amp;1+'Sample Setup'!$Q$6,0),AA168)&gt;0,2,IF(COUNTIF(INDIRECT("'Sample Setup'!R27C"&amp;1+'Sample Setup'!$O$7,0):INDIRECT("'Sample Setup'!R34C"&amp;1+'Sample Setup'!$Q$7,0),AA168)&gt;0,3,NA()))),NA())</f>
        <v>1</v>
      </c>
    </row>
    <row r="169" spans="1:31" hidden="1" x14ac:dyDescent="0.25">
      <c r="A169" s="6" t="s">
        <v>134</v>
      </c>
      <c r="B169" s="21">
        <v>0.46100000000000002</v>
      </c>
      <c r="C169" s="21">
        <v>0.501</v>
      </c>
      <c r="D169" s="21"/>
      <c r="E169" s="21"/>
      <c r="F169" s="21"/>
      <c r="G169" s="21"/>
      <c r="H169" s="21"/>
      <c r="I169" s="21"/>
      <c r="J169" s="21"/>
      <c r="K169" s="21"/>
      <c r="L169" s="21"/>
      <c r="M169" s="21"/>
      <c r="N169" s="21"/>
      <c r="O169" s="21"/>
      <c r="P169" s="21"/>
      <c r="Q169" s="21"/>
      <c r="R169" s="21"/>
      <c r="S169" s="21"/>
      <c r="T169" s="21"/>
      <c r="U169" s="21"/>
      <c r="V169" s="115">
        <f t="shared" si="70"/>
        <v>0.48099999999999998</v>
      </c>
      <c r="W169" s="115">
        <f t="shared" si="71"/>
        <v>2.8284271247461888E-2</v>
      </c>
      <c r="X169" s="116">
        <f t="shared" si="72"/>
        <v>5.8803058726531993E-2</v>
      </c>
      <c r="Y169" s="7">
        <f>COUNTIF('Sample Setup'!$B$27:$AW$34,Calculations!A169)</f>
        <v>2</v>
      </c>
      <c r="AA169" s="6" t="s">
        <v>134</v>
      </c>
      <c r="AB169" s="117">
        <f>SigConcAvg(B169:U169,Report!B70)</f>
        <v>68.730101684874995</v>
      </c>
      <c r="AC169" s="113">
        <f>SigConcDev(B169:U169,Report!B70)</f>
        <v>4.1681949401296698</v>
      </c>
      <c r="AD169" s="7">
        <f t="array" ref="AD169">SUM(IF(B169:U169&gt;HLOOKUP("Section "&amp;Report!$B70,$AL$76:$AN$83,8),0,IF(B169:U169&lt;HLOOKUP("Section "&amp;Report!$B70,$AL$76:$AN$83,7),0,1)))</f>
        <v>2</v>
      </c>
      <c r="AE169" s="114">
        <f ca="1">IF(BioScale_Internal!$N$28,IF(COUNTIF(INDIRECT("'Sample Setup'!R27C"&amp;1+'Sample Setup'!$O$5,0):INDIRECT("'Sample Setup'!R34C"&amp;1+'Sample Setup'!$Q$5,0),AA169)&gt;0,1,IF(COUNTIF(INDIRECT("'Sample Setup'!R27C"&amp;1+'Sample Setup'!$O$6,0):INDIRECT("'Sample Setup'!R34C"&amp;1+'Sample Setup'!$Q$6,0),AA169)&gt;0,2,IF(COUNTIF(INDIRECT("'Sample Setup'!R27C"&amp;1+'Sample Setup'!$O$7,0):INDIRECT("'Sample Setup'!R34C"&amp;1+'Sample Setup'!$Q$7,0),AA169)&gt;0,3,NA()))),NA())</f>
        <v>1</v>
      </c>
    </row>
    <row r="170" spans="1:31" hidden="1" x14ac:dyDescent="0.25">
      <c r="A170" s="6" t="s">
        <v>135</v>
      </c>
      <c r="B170" s="21">
        <v>0.438</v>
      </c>
      <c r="C170" s="21">
        <v>0.47399999999999998</v>
      </c>
      <c r="D170" s="21"/>
      <c r="E170" s="21"/>
      <c r="F170" s="21"/>
      <c r="G170" s="21"/>
      <c r="H170" s="21"/>
      <c r="I170" s="21"/>
      <c r="J170" s="21"/>
      <c r="K170" s="21"/>
      <c r="L170" s="21"/>
      <c r="M170" s="21"/>
      <c r="N170" s="21"/>
      <c r="O170" s="21"/>
      <c r="P170" s="21"/>
      <c r="Q170" s="21"/>
      <c r="R170" s="21"/>
      <c r="S170" s="21"/>
      <c r="T170" s="21"/>
      <c r="U170" s="21"/>
      <c r="V170" s="115">
        <f t="shared" si="70"/>
        <v>0.45599999999999996</v>
      </c>
      <c r="W170" s="115">
        <f t="shared" si="71"/>
        <v>2.5455844122715694E-2</v>
      </c>
      <c r="X170" s="116">
        <f t="shared" si="72"/>
        <v>5.5824219567358981E-2</v>
      </c>
      <c r="Y170" s="7">
        <f>COUNTIF('Sample Setup'!$B$27:$AW$34,Calculations!A170)</f>
        <v>2</v>
      </c>
      <c r="AA170" s="6" t="s">
        <v>135</v>
      </c>
      <c r="AB170" s="117">
        <f>SigConcAvg(B170:U170,Report!B71)</f>
        <v>65.051432886104806</v>
      </c>
      <c r="AC170" s="113">
        <f>SigConcDev(B170:U170,Report!B71)</f>
        <v>3.7382584086688677</v>
      </c>
      <c r="AD170" s="7">
        <f t="array" ref="AD170">SUM(IF(B170:U170&gt;HLOOKUP("Section "&amp;Report!$B71,$AL$76:$AN$83,8),0,IF(B170:U170&lt;HLOOKUP("Section "&amp;Report!$B71,$AL$76:$AN$83,7),0,1)))</f>
        <v>2</v>
      </c>
      <c r="AE170" s="114">
        <f ca="1">IF(BioScale_Internal!$N$28,IF(COUNTIF(INDIRECT("'Sample Setup'!R27C"&amp;1+'Sample Setup'!$O$5,0):INDIRECT("'Sample Setup'!R34C"&amp;1+'Sample Setup'!$Q$5,0),AA170)&gt;0,1,IF(COUNTIF(INDIRECT("'Sample Setup'!R27C"&amp;1+'Sample Setup'!$O$6,0):INDIRECT("'Sample Setup'!R34C"&amp;1+'Sample Setup'!$Q$6,0),AA170)&gt;0,2,IF(COUNTIF(INDIRECT("'Sample Setup'!R27C"&amp;1+'Sample Setup'!$O$7,0):INDIRECT("'Sample Setup'!R34C"&amp;1+'Sample Setup'!$Q$7,0),AA170)&gt;0,3,NA()))),NA())</f>
        <v>1</v>
      </c>
    </row>
    <row r="171" spans="1:31" hidden="1" x14ac:dyDescent="0.25">
      <c r="A171" s="6" t="s">
        <v>136</v>
      </c>
      <c r="B171" s="21">
        <v>0.41899999999999998</v>
      </c>
      <c r="C171" s="241">
        <v>0.40799999999999997</v>
      </c>
      <c r="D171" s="21"/>
      <c r="E171" s="241"/>
      <c r="F171" s="21"/>
      <c r="G171" s="21"/>
      <c r="H171" s="21"/>
      <c r="I171" s="21"/>
      <c r="J171" s="21"/>
      <c r="K171" s="21"/>
      <c r="L171" s="21"/>
      <c r="M171" s="21"/>
      <c r="N171" s="21"/>
      <c r="O171" s="21"/>
      <c r="P171" s="21"/>
      <c r="Q171" s="21"/>
      <c r="R171" s="21"/>
      <c r="S171" s="21"/>
      <c r="T171" s="21"/>
      <c r="U171" s="21"/>
      <c r="V171" s="115">
        <f t="shared" si="70"/>
        <v>0.41349999999999998</v>
      </c>
      <c r="W171" s="115">
        <f t="shared" si="71"/>
        <v>7.7781745930520299E-3</v>
      </c>
      <c r="X171" s="116">
        <f t="shared" si="72"/>
        <v>1.8810579426969842E-2</v>
      </c>
      <c r="Y171" s="7">
        <f>COUNTIF('Sample Setup'!$B$27:$AW$34,Calculations!A171)</f>
        <v>2</v>
      </c>
      <c r="AA171" s="6" t="s">
        <v>136</v>
      </c>
      <c r="AB171" s="117">
        <f>SigConcAvg(B171:U171,Report!B72)</f>
        <v>58.824193182395007</v>
      </c>
      <c r="AC171" s="113">
        <f>SigConcDev(B171:U171,Report!B72)</f>
        <v>1.1362618797330544</v>
      </c>
      <c r="AD171" s="7">
        <f t="array" ref="AD171">SUM(IF(B171:U171&gt;HLOOKUP("Section "&amp;Report!$B72,$AL$76:$AN$83,8),0,IF(B171:U171&lt;HLOOKUP("Section "&amp;Report!$B72,$AL$76:$AN$83,7),0,1)))</f>
        <v>2</v>
      </c>
      <c r="AE171" s="114">
        <f ca="1">IF(BioScale_Internal!$N$28,IF(COUNTIF(INDIRECT("'Sample Setup'!R27C"&amp;1+'Sample Setup'!$O$5,0):INDIRECT("'Sample Setup'!R34C"&amp;1+'Sample Setup'!$Q$5,0),AA171)&gt;0,1,IF(COUNTIF(INDIRECT("'Sample Setup'!R27C"&amp;1+'Sample Setup'!$O$6,0):INDIRECT("'Sample Setup'!R34C"&amp;1+'Sample Setup'!$Q$6,0),AA171)&gt;0,2,IF(COUNTIF(INDIRECT("'Sample Setup'!R27C"&amp;1+'Sample Setup'!$O$7,0):INDIRECT("'Sample Setup'!R34C"&amp;1+'Sample Setup'!$Q$7,0),AA171)&gt;0,3,NA()))),NA())</f>
        <v>1</v>
      </c>
    </row>
    <row r="172" spans="1:31" hidden="1" x14ac:dyDescent="0.25">
      <c r="A172" s="6" t="s">
        <v>137</v>
      </c>
      <c r="B172" s="21">
        <v>0.45600000000000002</v>
      </c>
      <c r="C172" s="21">
        <v>0.47</v>
      </c>
      <c r="D172" s="21"/>
      <c r="E172" s="21"/>
      <c r="F172" s="21"/>
      <c r="G172" s="21"/>
      <c r="H172" s="21"/>
      <c r="I172" s="21"/>
      <c r="J172" s="21"/>
      <c r="K172" s="21"/>
      <c r="L172" s="21"/>
      <c r="M172" s="21"/>
      <c r="N172" s="21"/>
      <c r="O172" s="21"/>
      <c r="P172" s="21"/>
      <c r="Q172" s="21"/>
      <c r="R172" s="21"/>
      <c r="S172" s="21"/>
      <c r="T172" s="21"/>
      <c r="U172" s="21"/>
      <c r="V172" s="115">
        <f t="shared" si="70"/>
        <v>0.46299999999999997</v>
      </c>
      <c r="W172" s="115">
        <f t="shared" si="71"/>
        <v>9.8994949366116355E-3</v>
      </c>
      <c r="X172" s="116">
        <f t="shared" si="72"/>
        <v>2.138119856719576E-2</v>
      </c>
      <c r="Y172" s="7">
        <f>COUNTIF('Sample Setup'!$B$27:$AW$34,Calculations!A172)</f>
        <v>2</v>
      </c>
      <c r="AA172" s="6" t="s">
        <v>137</v>
      </c>
      <c r="AB172" s="117">
        <f>SigConcAvg(B172:U172,Report!B73)</f>
        <v>66.077172118068162</v>
      </c>
      <c r="AC172" s="113">
        <f>SigConcDev(B172:U172,Report!B73)</f>
        <v>1.4551114197111006</v>
      </c>
      <c r="AD172" s="7">
        <f t="array" ref="AD172">SUM(IF(B172:U172&gt;HLOOKUP("Section "&amp;Report!$B73,$AL$76:$AN$83,8),0,IF(B172:U172&lt;HLOOKUP("Section "&amp;Report!$B73,$AL$76:$AN$83,7),0,1)))</f>
        <v>2</v>
      </c>
      <c r="AE172" s="114">
        <f ca="1">IF(BioScale_Internal!$N$28,IF(COUNTIF(INDIRECT("'Sample Setup'!R27C"&amp;1+'Sample Setup'!$O$5,0):INDIRECT("'Sample Setup'!R34C"&amp;1+'Sample Setup'!$Q$5,0),AA172)&gt;0,1,IF(COUNTIF(INDIRECT("'Sample Setup'!R27C"&amp;1+'Sample Setup'!$O$6,0):INDIRECT("'Sample Setup'!R34C"&amp;1+'Sample Setup'!$Q$6,0),AA172)&gt;0,2,IF(COUNTIF(INDIRECT("'Sample Setup'!R27C"&amp;1+'Sample Setup'!$O$7,0):INDIRECT("'Sample Setup'!R34C"&amp;1+'Sample Setup'!$Q$7,0),AA172)&gt;0,3,NA()))),NA())</f>
        <v>1</v>
      </c>
    </row>
    <row r="173" spans="1:31" hidden="1" x14ac:dyDescent="0.25">
      <c r="A173" s="6" t="s">
        <v>138</v>
      </c>
      <c r="B173" s="21">
        <v>0.47399999999999998</v>
      </c>
      <c r="C173" s="21">
        <v>0.46</v>
      </c>
      <c r="D173" s="21"/>
      <c r="E173" s="21"/>
      <c r="F173" s="21"/>
      <c r="G173" s="21"/>
      <c r="H173" s="21"/>
      <c r="I173" s="21"/>
      <c r="J173" s="21"/>
      <c r="K173" s="21"/>
      <c r="L173" s="21"/>
      <c r="M173" s="21"/>
      <c r="N173" s="21"/>
      <c r="O173" s="21"/>
      <c r="P173" s="21"/>
      <c r="Q173" s="21"/>
      <c r="R173" s="21"/>
      <c r="S173" s="21"/>
      <c r="T173" s="21"/>
      <c r="U173" s="21"/>
      <c r="V173" s="115">
        <f t="shared" si="70"/>
        <v>0.46699999999999997</v>
      </c>
      <c r="W173" s="115">
        <f t="shared" si="71"/>
        <v>9.8994949366116355E-3</v>
      </c>
      <c r="X173" s="116">
        <f t="shared" si="72"/>
        <v>2.1198061962765816E-2</v>
      </c>
      <c r="Y173" s="7">
        <f>COUNTIF('Sample Setup'!$B$27:$AW$34,Calculations!A173)</f>
        <v>2</v>
      </c>
      <c r="AA173" s="6" t="s">
        <v>138</v>
      </c>
      <c r="AB173" s="117">
        <f>SigConcAvg(B173:U173,Report!B74)</f>
        <v>66.665292929343551</v>
      </c>
      <c r="AC173" s="113">
        <f>SigConcDev(B173:U173,Report!B74)</f>
        <v>1.4559156477485948</v>
      </c>
      <c r="AD173" s="7">
        <f t="array" ref="AD173">SUM(IF(B173:U173&gt;HLOOKUP("Section "&amp;Report!$B74,$AL$76:$AN$83,8),0,IF(B173:U173&lt;HLOOKUP("Section "&amp;Report!$B74,$AL$76:$AN$83,7),0,1)))</f>
        <v>2</v>
      </c>
      <c r="AE173" s="114">
        <f ca="1">IF(BioScale_Internal!$N$28,IF(COUNTIF(INDIRECT("'Sample Setup'!R27C"&amp;1+'Sample Setup'!$O$5,0):INDIRECT("'Sample Setup'!R34C"&amp;1+'Sample Setup'!$Q$5,0),AA173)&gt;0,1,IF(COUNTIF(INDIRECT("'Sample Setup'!R27C"&amp;1+'Sample Setup'!$O$6,0):INDIRECT("'Sample Setup'!R34C"&amp;1+'Sample Setup'!$Q$6,0),AA173)&gt;0,2,IF(COUNTIF(INDIRECT("'Sample Setup'!R27C"&amp;1+'Sample Setup'!$O$7,0):INDIRECT("'Sample Setup'!R34C"&amp;1+'Sample Setup'!$Q$7,0),AA173)&gt;0,3,NA()))),NA())</f>
        <v>1</v>
      </c>
    </row>
    <row r="174" spans="1:31" hidden="1" x14ac:dyDescent="0.25">
      <c r="A174" s="6" t="s">
        <v>139</v>
      </c>
      <c r="B174" s="21">
        <v>0.44900000000000001</v>
      </c>
      <c r="C174" s="241">
        <v>0.44700000000000001</v>
      </c>
      <c r="D174" s="21"/>
      <c r="E174" s="21"/>
      <c r="F174" s="21"/>
      <c r="G174" s="21"/>
      <c r="H174" s="21"/>
      <c r="I174" s="21"/>
      <c r="J174" s="21"/>
      <c r="K174" s="21"/>
      <c r="L174" s="21"/>
      <c r="M174" s="21"/>
      <c r="N174" s="21"/>
      <c r="O174" s="21"/>
      <c r="P174" s="21"/>
      <c r="Q174" s="21"/>
      <c r="R174" s="21"/>
      <c r="S174" s="21"/>
      <c r="T174" s="21"/>
      <c r="U174" s="21"/>
      <c r="V174" s="115">
        <f t="shared" si="70"/>
        <v>0.44800000000000001</v>
      </c>
      <c r="W174" s="115">
        <f t="shared" si="71"/>
        <v>1.4142135623730963E-3</v>
      </c>
      <c r="X174" s="116">
        <f t="shared" si="72"/>
        <v>3.1567267017256614E-3</v>
      </c>
      <c r="Y174" s="7">
        <f>COUNTIF('Sample Setup'!$B$27:$AW$34,Calculations!A174)</f>
        <v>2</v>
      </c>
      <c r="AA174" s="6" t="s">
        <v>139</v>
      </c>
      <c r="AB174" s="117">
        <f>SigConcAvg(B174:U174,Report!B75)</f>
        <v>63.874095581866904</v>
      </c>
      <c r="AC174" s="113">
        <f>SigConcDev(B174:U174,Report!B75)</f>
        <v>0.20745660402939764</v>
      </c>
      <c r="AD174" s="7">
        <f t="array" ref="AD174">SUM(IF(B174:U174&gt;HLOOKUP("Section "&amp;Report!$B75,$AL$76:$AN$83,8),0,IF(B174:U174&lt;HLOOKUP("Section "&amp;Report!$B75,$AL$76:$AN$83,7),0,1)))</f>
        <v>2</v>
      </c>
      <c r="AE174" s="114">
        <f ca="1">IF(BioScale_Internal!$N$28,IF(COUNTIF(INDIRECT("'Sample Setup'!R27C"&amp;1+'Sample Setup'!$O$5,0):INDIRECT("'Sample Setup'!R34C"&amp;1+'Sample Setup'!$Q$5,0),AA174)&gt;0,1,IF(COUNTIF(INDIRECT("'Sample Setup'!R27C"&amp;1+'Sample Setup'!$O$6,0):INDIRECT("'Sample Setup'!R34C"&amp;1+'Sample Setup'!$Q$6,0),AA174)&gt;0,2,IF(COUNTIF(INDIRECT("'Sample Setup'!R27C"&amp;1+'Sample Setup'!$O$7,0):INDIRECT("'Sample Setup'!R34C"&amp;1+'Sample Setup'!$Q$7,0),AA174)&gt;0,3,NA()))),NA())</f>
        <v>1</v>
      </c>
    </row>
    <row r="175" spans="1:31" hidden="1" x14ac:dyDescent="0.25">
      <c r="A175" s="6" t="s">
        <v>140</v>
      </c>
      <c r="B175" s="21">
        <v>0.47</v>
      </c>
      <c r="C175" s="21">
        <v>0.438</v>
      </c>
      <c r="D175" s="241"/>
      <c r="E175" s="21"/>
      <c r="F175" s="21"/>
      <c r="G175" s="21"/>
      <c r="H175" s="21"/>
      <c r="I175" s="21"/>
      <c r="J175" s="21"/>
      <c r="K175" s="21"/>
      <c r="L175" s="21"/>
      <c r="M175" s="21"/>
      <c r="N175" s="21"/>
      <c r="O175" s="21"/>
      <c r="P175" s="21"/>
      <c r="Q175" s="21"/>
      <c r="R175" s="21"/>
      <c r="S175" s="21"/>
      <c r="T175" s="21"/>
      <c r="U175" s="21"/>
      <c r="V175" s="115">
        <f t="shared" si="70"/>
        <v>0.45399999999999996</v>
      </c>
      <c r="W175" s="115">
        <f t="shared" si="71"/>
        <v>2.2627416997969503E-2</v>
      </c>
      <c r="X175" s="116">
        <f t="shared" si="72"/>
        <v>4.9840125546188337E-2</v>
      </c>
      <c r="Y175" s="7">
        <f>COUNTIF('Sample Setup'!$B$27:$AW$34,Calculations!A175)</f>
        <v>2</v>
      </c>
      <c r="AA175" s="6" t="s">
        <v>140</v>
      </c>
      <c r="AB175" s="117">
        <f>SigConcAvg(B175:U175,Report!B76)</f>
        <v>64.757088142917638</v>
      </c>
      <c r="AC175" s="113">
        <f>SigConcDev(B175:U175,Report!B76)</f>
        <v>3.3219920808403596</v>
      </c>
      <c r="AD175" s="7">
        <f t="array" ref="AD175">SUM(IF(B175:U175&gt;HLOOKUP("Section "&amp;Report!$B76,$AL$76:$AN$83,8),0,IF(B175:U175&lt;HLOOKUP("Section "&amp;Report!$B76,$AL$76:$AN$83,7),0,1)))</f>
        <v>2</v>
      </c>
      <c r="AE175" s="114">
        <f ca="1">IF(BioScale_Internal!$N$28,IF(COUNTIF(INDIRECT("'Sample Setup'!R27C"&amp;1+'Sample Setup'!$O$5,0):INDIRECT("'Sample Setup'!R34C"&amp;1+'Sample Setup'!$Q$5,0),AA175)&gt;0,1,IF(COUNTIF(INDIRECT("'Sample Setup'!R27C"&amp;1+'Sample Setup'!$O$6,0):INDIRECT("'Sample Setup'!R34C"&amp;1+'Sample Setup'!$Q$6,0),AA175)&gt;0,2,IF(COUNTIF(INDIRECT("'Sample Setup'!R27C"&amp;1+'Sample Setup'!$O$7,0):INDIRECT("'Sample Setup'!R34C"&amp;1+'Sample Setup'!$Q$7,0),AA175)&gt;0,3,NA()))),NA())</f>
        <v>1</v>
      </c>
    </row>
    <row r="176" spans="1:31" hidden="1" x14ac:dyDescent="0.25">
      <c r="A176" s="6" t="s">
        <v>141</v>
      </c>
      <c r="B176" s="21">
        <v>0.44400000000000001</v>
      </c>
      <c r="C176" s="241">
        <v>0.45100000000000001</v>
      </c>
      <c r="D176" s="21"/>
      <c r="E176" s="21"/>
      <c r="F176" s="21"/>
      <c r="G176" s="21"/>
      <c r="H176" s="21"/>
      <c r="I176" s="21"/>
      <c r="J176" s="21"/>
      <c r="K176" s="21"/>
      <c r="L176" s="21"/>
      <c r="M176" s="21"/>
      <c r="N176" s="21"/>
      <c r="O176" s="21"/>
      <c r="P176" s="21"/>
      <c r="Q176" s="21"/>
      <c r="R176" s="21"/>
      <c r="S176" s="21"/>
      <c r="T176" s="21"/>
      <c r="U176" s="21"/>
      <c r="V176" s="115">
        <f t="shared" si="70"/>
        <v>0.44750000000000001</v>
      </c>
      <c r="W176" s="115">
        <f t="shared" si="71"/>
        <v>4.9497474683058368E-3</v>
      </c>
      <c r="X176" s="116">
        <f t="shared" si="72"/>
        <v>1.1060888197331479E-2</v>
      </c>
      <c r="Y176" s="7">
        <f>COUNTIF('Sample Setup'!$B$27:$AW$34,Calculations!A176)</f>
        <v>2</v>
      </c>
      <c r="AA176" s="6" t="s">
        <v>141</v>
      </c>
      <c r="AB176" s="117">
        <f>SigConcAvg(B176:U176,Report!B77)</f>
        <v>63.800857754548488</v>
      </c>
      <c r="AC176" s="113">
        <f>SigConcDev(B176:U176,Report!B77)</f>
        <v>0.72605178376614155</v>
      </c>
      <c r="AD176" s="7">
        <f t="array" ref="AD176">SUM(IF(B176:U176&gt;HLOOKUP("Section "&amp;Report!$B77,$AL$76:$AN$83,8),0,IF(B176:U176&lt;HLOOKUP("Section "&amp;Report!$B77,$AL$76:$AN$83,7),0,1)))</f>
        <v>2</v>
      </c>
      <c r="AE176" s="114">
        <f ca="1">IF(BioScale_Internal!$N$28,IF(COUNTIF(INDIRECT("'Sample Setup'!R27C"&amp;1+'Sample Setup'!$O$5,0):INDIRECT("'Sample Setup'!R34C"&amp;1+'Sample Setup'!$Q$5,0),AA176)&gt;0,1,IF(COUNTIF(INDIRECT("'Sample Setup'!R27C"&amp;1+'Sample Setup'!$O$6,0):INDIRECT("'Sample Setup'!R34C"&amp;1+'Sample Setup'!$Q$6,0),AA176)&gt;0,2,IF(COUNTIF(INDIRECT("'Sample Setup'!R27C"&amp;1+'Sample Setup'!$O$7,0):INDIRECT("'Sample Setup'!R34C"&amp;1+'Sample Setup'!$Q$7,0),AA176)&gt;0,3,NA()))),NA())</f>
        <v>1</v>
      </c>
    </row>
    <row r="177" spans="1:31" hidden="1" x14ac:dyDescent="0.25">
      <c r="A177" s="6" t="s">
        <v>142</v>
      </c>
      <c r="B177" s="241">
        <v>0.499</v>
      </c>
      <c r="C177" s="21">
        <v>0.45200000000000001</v>
      </c>
      <c r="D177" s="241"/>
      <c r="E177" s="21"/>
      <c r="F177" s="21"/>
      <c r="G177" s="21"/>
      <c r="H177" s="21"/>
      <c r="I177" s="21"/>
      <c r="J177" s="21"/>
      <c r="K177" s="21"/>
      <c r="L177" s="21"/>
      <c r="M177" s="21"/>
      <c r="N177" s="21"/>
      <c r="O177" s="21"/>
      <c r="P177" s="21"/>
      <c r="Q177" s="21"/>
      <c r="R177" s="21"/>
      <c r="S177" s="21"/>
      <c r="T177" s="21"/>
      <c r="U177" s="21"/>
      <c r="V177" s="115">
        <f t="shared" si="70"/>
        <v>0.47550000000000003</v>
      </c>
      <c r="W177" s="115">
        <f t="shared" si="71"/>
        <v>3.3234018715767727E-2</v>
      </c>
      <c r="X177" s="116">
        <f t="shared" si="72"/>
        <v>6.9892783839679756E-2</v>
      </c>
      <c r="Y177" s="7">
        <f>COUNTIF('Sample Setup'!$B$27:$AW$34,Calculations!A177)</f>
        <v>2</v>
      </c>
      <c r="AA177" s="6" t="s">
        <v>142</v>
      </c>
      <c r="AB177" s="117">
        <f>SigConcAvg(B177:U177,Report!B78)</f>
        <v>67.921452393509071</v>
      </c>
      <c r="AC177" s="113">
        <f>SigConcDev(B177:U177,Report!B78)</f>
        <v>4.8937976300613792</v>
      </c>
      <c r="AD177" s="7">
        <f t="array" ref="AD177">SUM(IF(B177:U177&gt;HLOOKUP("Section "&amp;Report!$B78,$AL$76:$AN$83,8),0,IF(B177:U177&lt;HLOOKUP("Section "&amp;Report!$B78,$AL$76:$AN$83,7),0,1)))</f>
        <v>2</v>
      </c>
      <c r="AE177" s="114">
        <f ca="1">IF(BioScale_Internal!$N$28,IF(COUNTIF(INDIRECT("'Sample Setup'!R27C"&amp;1+'Sample Setup'!$O$5,0):INDIRECT("'Sample Setup'!R34C"&amp;1+'Sample Setup'!$Q$5,0),AA177)&gt;0,1,IF(COUNTIF(INDIRECT("'Sample Setup'!R27C"&amp;1+'Sample Setup'!$O$6,0):INDIRECT("'Sample Setup'!R34C"&amp;1+'Sample Setup'!$Q$6,0),AA177)&gt;0,2,IF(COUNTIF(INDIRECT("'Sample Setup'!R27C"&amp;1+'Sample Setup'!$O$7,0):INDIRECT("'Sample Setup'!R34C"&amp;1+'Sample Setup'!$Q$7,0),AA177)&gt;0,3,NA()))),NA())</f>
        <v>1</v>
      </c>
    </row>
    <row r="178" spans="1:31" hidden="1" x14ac:dyDescent="0.25">
      <c r="A178" s="6" t="s">
        <v>143</v>
      </c>
      <c r="B178" s="21">
        <v>0.48199999999999998</v>
      </c>
      <c r="C178" s="241">
        <v>0.46500000000000002</v>
      </c>
      <c r="D178" s="241"/>
      <c r="E178" s="21"/>
      <c r="F178" s="21"/>
      <c r="G178" s="21"/>
      <c r="H178" s="21"/>
      <c r="I178" s="21"/>
      <c r="J178" s="21"/>
      <c r="K178" s="21"/>
      <c r="L178" s="21"/>
      <c r="M178" s="21"/>
      <c r="N178" s="21"/>
      <c r="O178" s="21"/>
      <c r="P178" s="21"/>
      <c r="Q178" s="21"/>
      <c r="R178" s="21"/>
      <c r="S178" s="21"/>
      <c r="T178" s="21"/>
      <c r="U178" s="21"/>
      <c r="V178" s="115">
        <f t="shared" si="70"/>
        <v>0.47350000000000003</v>
      </c>
      <c r="W178" s="115">
        <f t="shared" si="71"/>
        <v>1.2020815280171279E-2</v>
      </c>
      <c r="X178" s="116">
        <f t="shared" si="72"/>
        <v>2.5387149482938284E-2</v>
      </c>
      <c r="Y178" s="7">
        <f>COUNTIF('Sample Setup'!$B$27:$AW$34,Calculations!A178)</f>
        <v>2</v>
      </c>
      <c r="AA178" s="6" t="s">
        <v>143</v>
      </c>
      <c r="AB178" s="117">
        <f>SigConcAvg(B178:U178,Report!B79)</f>
        <v>67.62193317282842</v>
      </c>
      <c r="AC178" s="113">
        <f>SigConcDev(B178:U178,Report!B79)</f>
        <v>1.7695189664793192</v>
      </c>
      <c r="AD178" s="7">
        <f t="array" ref="AD178">SUM(IF(B178:U178&gt;HLOOKUP("Section "&amp;Report!$B79,$AL$76:$AN$83,8),0,IF(B178:U178&lt;HLOOKUP("Section "&amp;Report!$B79,$AL$76:$AN$83,7),0,1)))</f>
        <v>2</v>
      </c>
      <c r="AE178" s="114">
        <f ca="1">IF(BioScale_Internal!$N$28,IF(COUNTIF(INDIRECT("'Sample Setup'!R27C"&amp;1+'Sample Setup'!$O$5,0):INDIRECT("'Sample Setup'!R34C"&amp;1+'Sample Setup'!$Q$5,0),AA178)&gt;0,1,IF(COUNTIF(INDIRECT("'Sample Setup'!R27C"&amp;1+'Sample Setup'!$O$6,0):INDIRECT("'Sample Setup'!R34C"&amp;1+'Sample Setup'!$Q$6,0),AA178)&gt;0,2,IF(COUNTIF(INDIRECT("'Sample Setup'!R27C"&amp;1+'Sample Setup'!$O$7,0):INDIRECT("'Sample Setup'!R34C"&amp;1+'Sample Setup'!$Q$7,0),AA178)&gt;0,3,NA()))),NA())</f>
        <v>1</v>
      </c>
    </row>
    <row r="179" spans="1:31" hidden="1" x14ac:dyDescent="0.25">
      <c r="A179" s="6" t="s">
        <v>144</v>
      </c>
      <c r="B179" s="21">
        <v>0.23100000000000001</v>
      </c>
      <c r="C179" s="21">
        <v>0.219</v>
      </c>
      <c r="D179" s="21"/>
      <c r="E179" s="241"/>
      <c r="F179" s="21"/>
      <c r="G179" s="21"/>
      <c r="H179" s="21"/>
      <c r="I179" s="21"/>
      <c r="J179" s="21"/>
      <c r="K179" s="21"/>
      <c r="L179" s="21"/>
      <c r="M179" s="21"/>
      <c r="N179" s="21"/>
      <c r="O179" s="21"/>
      <c r="P179" s="21"/>
      <c r="Q179" s="21"/>
      <c r="R179" s="21"/>
      <c r="S179" s="21"/>
      <c r="T179" s="21"/>
      <c r="U179" s="21"/>
      <c r="V179" s="115">
        <f t="shared" si="70"/>
        <v>0.22500000000000001</v>
      </c>
      <c r="W179" s="115">
        <f t="shared" si="71"/>
        <v>8.4852813742385784E-3</v>
      </c>
      <c r="X179" s="116">
        <f t="shared" si="72"/>
        <v>3.7712361663282568E-2</v>
      </c>
      <c r="Y179" s="7">
        <f>COUNTIF('Sample Setup'!$B$27:$AW$34,Calculations!A179)</f>
        <v>2</v>
      </c>
      <c r="AA179" s="6" t="s">
        <v>144</v>
      </c>
      <c r="AB179" s="117">
        <f>SigConcAvg(B179:U179,Report!B80)</f>
        <v>31.487814251589974</v>
      </c>
      <c r="AC179" s="113">
        <f>SigConcDev(B179:U179,Report!B80)</f>
        <v>1.2259374025023113</v>
      </c>
      <c r="AD179" s="7">
        <f t="array" ref="AD179">SUM(IF(B179:U179&gt;HLOOKUP("Section "&amp;Report!$B80,$AL$76:$AN$83,8),0,IF(B179:U179&lt;HLOOKUP("Section "&amp;Report!$B80,$AL$76:$AN$83,7),0,1)))</f>
        <v>2</v>
      </c>
      <c r="AE179" s="114">
        <f ca="1">IF(BioScale_Internal!$N$28,IF(COUNTIF(INDIRECT("'Sample Setup'!R27C"&amp;1+'Sample Setup'!$O$5,0):INDIRECT("'Sample Setup'!R34C"&amp;1+'Sample Setup'!$Q$5,0),AA179)&gt;0,1,IF(COUNTIF(INDIRECT("'Sample Setup'!R27C"&amp;1+'Sample Setup'!$O$6,0):INDIRECT("'Sample Setup'!R34C"&amp;1+'Sample Setup'!$Q$6,0),AA179)&gt;0,2,IF(COUNTIF(INDIRECT("'Sample Setup'!R27C"&amp;1+'Sample Setup'!$O$7,0):INDIRECT("'Sample Setup'!R34C"&amp;1+'Sample Setup'!$Q$7,0),AA179)&gt;0,3,NA()))),NA())</f>
        <v>1</v>
      </c>
    </row>
    <row r="180" spans="1:31" hidden="1" x14ac:dyDescent="0.25">
      <c r="A180" s="6" t="s">
        <v>145</v>
      </c>
      <c r="B180" s="21">
        <v>0.22500000000000001</v>
      </c>
      <c r="C180" s="21">
        <v>0.22800000000000001</v>
      </c>
      <c r="D180" s="21"/>
      <c r="E180" s="241"/>
      <c r="F180" s="21"/>
      <c r="G180" s="21"/>
      <c r="H180" s="21"/>
      <c r="I180" s="21"/>
      <c r="J180" s="21"/>
      <c r="K180" s="21"/>
      <c r="L180" s="21"/>
      <c r="M180" s="21"/>
      <c r="N180" s="21"/>
      <c r="O180" s="21"/>
      <c r="P180" s="21"/>
      <c r="Q180" s="21"/>
      <c r="R180" s="21"/>
      <c r="S180" s="21"/>
      <c r="T180" s="21"/>
      <c r="U180" s="21"/>
      <c r="V180" s="115">
        <f t="shared" si="70"/>
        <v>0.22650000000000001</v>
      </c>
      <c r="W180" s="115">
        <f t="shared" si="71"/>
        <v>2.1213203435596446E-3</v>
      </c>
      <c r="X180" s="116">
        <f t="shared" si="72"/>
        <v>9.3656527309476587E-3</v>
      </c>
      <c r="Y180" s="7">
        <f>COUNTIF('Sample Setup'!$B$27:$AW$34,Calculations!A180)</f>
        <v>2</v>
      </c>
      <c r="AA180" s="6" t="s">
        <v>145</v>
      </c>
      <c r="AB180" s="117">
        <f>SigConcAvg(B180:U180,Report!B81)</f>
        <v>31.704538216210551</v>
      </c>
      <c r="AC180" s="113">
        <f>SigConcDev(B180:U180,Report!B81)</f>
        <v>0.30648171297335647</v>
      </c>
      <c r="AD180" s="7">
        <f t="array" ref="AD180">SUM(IF(B180:U180&gt;HLOOKUP("Section "&amp;Report!$B81,$AL$76:$AN$83,8),0,IF(B180:U180&lt;HLOOKUP("Section "&amp;Report!$B81,$AL$76:$AN$83,7),0,1)))</f>
        <v>2</v>
      </c>
      <c r="AE180" s="114">
        <f ca="1">IF(BioScale_Internal!$N$28,IF(COUNTIF(INDIRECT("'Sample Setup'!R27C"&amp;1+'Sample Setup'!$O$5,0):INDIRECT("'Sample Setup'!R34C"&amp;1+'Sample Setup'!$Q$5,0),AA180)&gt;0,1,IF(COUNTIF(INDIRECT("'Sample Setup'!R27C"&amp;1+'Sample Setup'!$O$6,0):INDIRECT("'Sample Setup'!R34C"&amp;1+'Sample Setup'!$Q$6,0),AA180)&gt;0,2,IF(COUNTIF(INDIRECT("'Sample Setup'!R27C"&amp;1+'Sample Setup'!$O$7,0):INDIRECT("'Sample Setup'!R34C"&amp;1+'Sample Setup'!$Q$7,0),AA180)&gt;0,3,NA()))),NA())</f>
        <v>1</v>
      </c>
    </row>
    <row r="181" spans="1:31" hidden="1" x14ac:dyDescent="0.25">
      <c r="A181" s="6" t="s">
        <v>146</v>
      </c>
      <c r="B181" s="21">
        <v>0.223</v>
      </c>
      <c r="C181" s="241">
        <v>0.216</v>
      </c>
      <c r="D181" s="21"/>
      <c r="E181" s="21"/>
      <c r="F181" s="21"/>
      <c r="G181" s="21"/>
      <c r="H181" s="21"/>
      <c r="I181" s="21"/>
      <c r="J181" s="21"/>
      <c r="K181" s="21"/>
      <c r="L181" s="21"/>
      <c r="M181" s="21"/>
      <c r="N181" s="21"/>
      <c r="O181" s="21"/>
      <c r="P181" s="21"/>
      <c r="Q181" s="21"/>
      <c r="R181" s="21"/>
      <c r="S181" s="21"/>
      <c r="T181" s="21"/>
      <c r="U181" s="21"/>
      <c r="V181" s="115">
        <f t="shared" si="70"/>
        <v>0.2195</v>
      </c>
      <c r="W181" s="115">
        <f t="shared" si="71"/>
        <v>4.9497474683058368E-3</v>
      </c>
      <c r="X181" s="116">
        <f t="shared" si="72"/>
        <v>2.2550102361302216E-2</v>
      </c>
      <c r="Y181" s="7">
        <f>COUNTIF('Sample Setup'!$B$27:$AW$34,Calculations!A181)</f>
        <v>2</v>
      </c>
      <c r="AA181" s="6" t="s">
        <v>146</v>
      </c>
      <c r="AB181" s="117">
        <f>SigConcAvg(B181:U181,Report!B82)</f>
        <v>30.693179745285462</v>
      </c>
      <c r="AC181" s="113">
        <f>SigConcDev(B181:U181,Report!B82)</f>
        <v>0.71514974783105156</v>
      </c>
      <c r="AD181" s="7">
        <f t="array" ref="AD181">SUM(IF(B181:U181&gt;HLOOKUP("Section "&amp;Report!$B82,$AL$76:$AN$83,8),0,IF(B181:U181&lt;HLOOKUP("Section "&amp;Report!$B82,$AL$76:$AN$83,7),0,1)))</f>
        <v>2</v>
      </c>
      <c r="AE181" s="114">
        <f ca="1">IF(BioScale_Internal!$N$28,IF(COUNTIF(INDIRECT("'Sample Setup'!R27C"&amp;1+'Sample Setup'!$O$5,0):INDIRECT("'Sample Setup'!R34C"&amp;1+'Sample Setup'!$Q$5,0),AA181)&gt;0,1,IF(COUNTIF(INDIRECT("'Sample Setup'!R27C"&amp;1+'Sample Setup'!$O$6,0):INDIRECT("'Sample Setup'!R34C"&amp;1+'Sample Setup'!$Q$6,0),AA181)&gt;0,2,IF(COUNTIF(INDIRECT("'Sample Setup'!R27C"&amp;1+'Sample Setup'!$O$7,0):INDIRECT("'Sample Setup'!R34C"&amp;1+'Sample Setup'!$Q$7,0),AA181)&gt;0,3,NA()))),NA())</f>
        <v>1</v>
      </c>
    </row>
    <row r="182" spans="1:31" hidden="1" x14ac:dyDescent="0.25">
      <c r="A182" s="6" t="s">
        <v>147</v>
      </c>
      <c r="B182" s="21">
        <v>0.214</v>
      </c>
      <c r="C182" s="241">
        <v>0.20399999999999999</v>
      </c>
      <c r="D182" s="21"/>
      <c r="E182" s="21"/>
      <c r="F182" s="21"/>
      <c r="G182" s="21"/>
      <c r="H182" s="21"/>
      <c r="I182" s="21"/>
      <c r="J182" s="21"/>
      <c r="K182" s="21"/>
      <c r="L182" s="21"/>
      <c r="M182" s="21"/>
      <c r="N182" s="21"/>
      <c r="O182" s="21"/>
      <c r="P182" s="21"/>
      <c r="Q182" s="21"/>
      <c r="R182" s="21"/>
      <c r="S182" s="21"/>
      <c r="T182" s="21"/>
      <c r="U182" s="21"/>
      <c r="V182" s="115">
        <f t="shared" si="70"/>
        <v>0.20899999999999999</v>
      </c>
      <c r="W182" s="115">
        <f t="shared" si="71"/>
        <v>7.0710678118654814E-3</v>
      </c>
      <c r="X182" s="116">
        <f t="shared" si="72"/>
        <v>3.3832860343853979E-2</v>
      </c>
      <c r="Y182" s="7">
        <f>COUNTIF('Sample Setup'!$B$27:$AW$34,Calculations!A182)</f>
        <v>2</v>
      </c>
      <c r="AA182" s="6" t="s">
        <v>147</v>
      </c>
      <c r="AB182" s="117">
        <f>SigConcAvg(B182:U182,Report!B83)</f>
        <v>29.176011753045067</v>
      </c>
      <c r="AC182" s="113">
        <f>SigConcDev(B182:U182,Report!B83)</f>
        <v>1.0217756365871549</v>
      </c>
      <c r="AD182" s="7">
        <f t="array" ref="AD182">SUM(IF(B182:U182&gt;HLOOKUP("Section "&amp;Report!$B83,$AL$76:$AN$83,8),0,IF(B182:U182&lt;HLOOKUP("Section "&amp;Report!$B83,$AL$76:$AN$83,7),0,1)))</f>
        <v>2</v>
      </c>
      <c r="AE182" s="114">
        <f ca="1">IF(BioScale_Internal!$N$28,IF(COUNTIF(INDIRECT("'Sample Setup'!R27C"&amp;1+'Sample Setup'!$O$5,0):INDIRECT("'Sample Setup'!R34C"&amp;1+'Sample Setup'!$Q$5,0),AA182)&gt;0,1,IF(COUNTIF(INDIRECT("'Sample Setup'!R27C"&amp;1+'Sample Setup'!$O$6,0):INDIRECT("'Sample Setup'!R34C"&amp;1+'Sample Setup'!$Q$6,0),AA182)&gt;0,2,IF(COUNTIF(INDIRECT("'Sample Setup'!R27C"&amp;1+'Sample Setup'!$O$7,0):INDIRECT("'Sample Setup'!R34C"&amp;1+'Sample Setup'!$Q$7,0),AA182)&gt;0,3,NA()))),NA())</f>
        <v>1</v>
      </c>
    </row>
    <row r="183" spans="1:31" hidden="1" x14ac:dyDescent="0.25">
      <c r="A183" s="6" t="s">
        <v>148</v>
      </c>
      <c r="B183" s="21">
        <v>0.224</v>
      </c>
      <c r="C183" s="21">
        <v>0.21099999999999999</v>
      </c>
      <c r="D183" s="241"/>
      <c r="E183" s="21"/>
      <c r="F183" s="21"/>
      <c r="G183" s="21"/>
      <c r="H183" s="21"/>
      <c r="I183" s="21"/>
      <c r="J183" s="21"/>
      <c r="K183" s="21"/>
      <c r="L183" s="21"/>
      <c r="M183" s="21"/>
      <c r="N183" s="21"/>
      <c r="O183" s="21"/>
      <c r="P183" s="21"/>
      <c r="Q183" s="21"/>
      <c r="R183" s="21"/>
      <c r="S183" s="21"/>
      <c r="T183" s="21"/>
      <c r="U183" s="21"/>
      <c r="V183" s="115">
        <f t="shared" si="70"/>
        <v>0.2175</v>
      </c>
      <c r="W183" s="115">
        <f t="shared" si="71"/>
        <v>9.1923881554251269E-3</v>
      </c>
      <c r="X183" s="116">
        <f t="shared" si="72"/>
        <v>4.2263853588161503E-2</v>
      </c>
      <c r="Y183" s="7">
        <f>COUNTIF('Sample Setup'!$B$27:$AW$34,Calculations!A183)</f>
        <v>2</v>
      </c>
      <c r="AA183" s="6" t="s">
        <v>148</v>
      </c>
      <c r="AB183" s="117">
        <f>SigConcAvg(B183:U183,Report!B84)</f>
        <v>30.404191652999607</v>
      </c>
      <c r="AC183" s="113">
        <f>SigConcDev(B183:U183,Report!B84)</f>
        <v>1.3281637515976126</v>
      </c>
      <c r="AD183" s="7">
        <f t="array" ref="AD183">SUM(IF(B183:U183&gt;HLOOKUP("Section "&amp;Report!$B84,$AL$76:$AN$83,8),0,IF(B183:U183&lt;HLOOKUP("Section "&amp;Report!$B84,$AL$76:$AN$83,7),0,1)))</f>
        <v>2</v>
      </c>
      <c r="AE183" s="114">
        <f ca="1">IF(BioScale_Internal!$N$28,IF(COUNTIF(INDIRECT("'Sample Setup'!R27C"&amp;1+'Sample Setup'!$O$5,0):INDIRECT("'Sample Setup'!R34C"&amp;1+'Sample Setup'!$Q$5,0),AA183)&gt;0,1,IF(COUNTIF(INDIRECT("'Sample Setup'!R27C"&amp;1+'Sample Setup'!$O$6,0):INDIRECT("'Sample Setup'!R34C"&amp;1+'Sample Setup'!$Q$6,0),AA183)&gt;0,2,IF(COUNTIF(INDIRECT("'Sample Setup'!R27C"&amp;1+'Sample Setup'!$O$7,0):INDIRECT("'Sample Setup'!R34C"&amp;1+'Sample Setup'!$Q$7,0),AA183)&gt;0,3,NA()))),NA())</f>
        <v>1</v>
      </c>
    </row>
    <row r="184" spans="1:31" hidden="1" x14ac:dyDescent="0.25">
      <c r="A184" s="6" t="s">
        <v>149</v>
      </c>
      <c r="B184" s="21">
        <v>0.215</v>
      </c>
      <c r="C184" s="241">
        <v>0.22</v>
      </c>
      <c r="D184" s="21"/>
      <c r="E184" s="21"/>
      <c r="F184" s="21"/>
      <c r="G184" s="21"/>
      <c r="H184" s="21"/>
      <c r="I184" s="21"/>
      <c r="J184" s="21"/>
      <c r="K184" s="21"/>
      <c r="L184" s="21"/>
      <c r="M184" s="21"/>
      <c r="N184" s="21"/>
      <c r="O184" s="21"/>
      <c r="P184" s="21"/>
      <c r="Q184" s="21"/>
      <c r="R184" s="21"/>
      <c r="S184" s="21"/>
      <c r="T184" s="21"/>
      <c r="U184" s="21"/>
      <c r="V184" s="115">
        <f t="shared" si="70"/>
        <v>0.2175</v>
      </c>
      <c r="W184" s="115">
        <f t="shared" si="71"/>
        <v>3.5355339059327407E-3</v>
      </c>
      <c r="X184" s="116">
        <f t="shared" si="72"/>
        <v>1.6255328303139038E-2</v>
      </c>
      <c r="Y184" s="7">
        <f>COUNTIF('Sample Setup'!$B$27:$AW$34,Calculations!A184)</f>
        <v>2</v>
      </c>
      <c r="AA184" s="6" t="s">
        <v>149</v>
      </c>
      <c r="AB184" s="117">
        <f>SigConcAvg(B184:U184,Report!B85)</f>
        <v>30.404216318560273</v>
      </c>
      <c r="AC184" s="113">
        <f>SigConcDev(B184:U184,Report!B85)</f>
        <v>0.51082965213106524</v>
      </c>
      <c r="AD184" s="7">
        <f t="array" ref="AD184">SUM(IF(B184:U184&gt;HLOOKUP("Section "&amp;Report!$B85,$AL$76:$AN$83,8),0,IF(B184:U184&lt;HLOOKUP("Section "&amp;Report!$B85,$AL$76:$AN$83,7),0,1)))</f>
        <v>2</v>
      </c>
      <c r="AE184" s="114">
        <f ca="1">IF(BioScale_Internal!$N$28,IF(COUNTIF(INDIRECT("'Sample Setup'!R27C"&amp;1+'Sample Setup'!$O$5,0):INDIRECT("'Sample Setup'!R34C"&amp;1+'Sample Setup'!$Q$5,0),AA184)&gt;0,1,IF(COUNTIF(INDIRECT("'Sample Setup'!R27C"&amp;1+'Sample Setup'!$O$6,0):INDIRECT("'Sample Setup'!R34C"&amp;1+'Sample Setup'!$Q$6,0),AA184)&gt;0,2,IF(COUNTIF(INDIRECT("'Sample Setup'!R27C"&amp;1+'Sample Setup'!$O$7,0):INDIRECT("'Sample Setup'!R34C"&amp;1+'Sample Setup'!$Q$7,0),AA184)&gt;0,3,NA()))),NA())</f>
        <v>1</v>
      </c>
    </row>
    <row r="185" spans="1:31" hidden="1" x14ac:dyDescent="0.25">
      <c r="A185" s="6" t="s">
        <v>150</v>
      </c>
      <c r="B185" s="241">
        <v>0.248</v>
      </c>
      <c r="C185" s="21">
        <v>0.23300000000000001</v>
      </c>
      <c r="D185" s="241"/>
      <c r="E185" s="21"/>
      <c r="F185" s="21"/>
      <c r="G185" s="21"/>
      <c r="H185" s="21"/>
      <c r="I185" s="21"/>
      <c r="J185" s="21"/>
      <c r="K185" s="21"/>
      <c r="L185" s="21"/>
      <c r="M185" s="21"/>
      <c r="N185" s="21"/>
      <c r="O185" s="21"/>
      <c r="P185" s="21"/>
      <c r="Q185" s="21"/>
      <c r="R185" s="21"/>
      <c r="S185" s="21"/>
      <c r="T185" s="21"/>
      <c r="U185" s="21"/>
      <c r="V185" s="115">
        <f t="shared" si="70"/>
        <v>0.24049999999999999</v>
      </c>
      <c r="W185" s="115">
        <f t="shared" si="71"/>
        <v>1.0606601717798203E-2</v>
      </c>
      <c r="X185" s="116">
        <f t="shared" si="72"/>
        <v>4.4102294044898974E-2</v>
      </c>
      <c r="Y185" s="7">
        <f>COUNTIF('Sample Setup'!$B$27:$AW$34,Calculations!A185)</f>
        <v>2</v>
      </c>
      <c r="AA185" s="6" t="s">
        <v>150</v>
      </c>
      <c r="AB185" s="117">
        <f>SigConcAvg(B185:U185,Report!B86)</f>
        <v>33.727271334481514</v>
      </c>
      <c r="AC185" s="113">
        <f>SigConcDev(B185:U185,Report!B86)</f>
        <v>1.5324908303214562</v>
      </c>
      <c r="AD185" s="7">
        <f t="array" ref="AD185">SUM(IF(B185:U185&gt;HLOOKUP("Section "&amp;Report!$B86,$AL$76:$AN$83,8),0,IF(B185:U185&lt;HLOOKUP("Section "&amp;Report!$B86,$AL$76:$AN$83,7),0,1)))</f>
        <v>2</v>
      </c>
      <c r="AE185" s="114">
        <f ca="1">IF(BioScale_Internal!$N$28,IF(COUNTIF(INDIRECT("'Sample Setup'!R27C"&amp;1+'Sample Setup'!$O$5,0):INDIRECT("'Sample Setup'!R34C"&amp;1+'Sample Setup'!$Q$5,0),AA185)&gt;0,1,IF(COUNTIF(INDIRECT("'Sample Setup'!R27C"&amp;1+'Sample Setup'!$O$6,0):INDIRECT("'Sample Setup'!R34C"&amp;1+'Sample Setup'!$Q$6,0),AA185)&gt;0,2,IF(COUNTIF(INDIRECT("'Sample Setup'!R27C"&amp;1+'Sample Setup'!$O$7,0):INDIRECT("'Sample Setup'!R34C"&amp;1+'Sample Setup'!$Q$7,0),AA185)&gt;0,3,NA()))),NA())</f>
        <v>1</v>
      </c>
    </row>
    <row r="186" spans="1:31" hidden="1" x14ac:dyDescent="0.25">
      <c r="A186" s="6" t="s">
        <v>151</v>
      </c>
      <c r="B186" s="21">
        <v>0.224</v>
      </c>
      <c r="C186" s="21">
        <v>0.222</v>
      </c>
      <c r="D186" s="241"/>
      <c r="E186" s="241"/>
      <c r="F186" s="21"/>
      <c r="G186" s="21"/>
      <c r="H186" s="21"/>
      <c r="I186" s="21"/>
      <c r="J186" s="21"/>
      <c r="K186" s="21"/>
      <c r="L186" s="21"/>
      <c r="M186" s="21"/>
      <c r="N186" s="21"/>
      <c r="O186" s="21"/>
      <c r="P186" s="21"/>
      <c r="Q186" s="21"/>
      <c r="R186" s="21"/>
      <c r="S186" s="21"/>
      <c r="T186" s="21"/>
      <c r="U186" s="21"/>
      <c r="V186" s="115">
        <f t="shared" si="70"/>
        <v>0.223</v>
      </c>
      <c r="W186" s="115">
        <f t="shared" si="71"/>
        <v>1.4142135623730963E-3</v>
      </c>
      <c r="X186" s="116">
        <f t="shared" si="72"/>
        <v>6.3417648536910152E-3</v>
      </c>
      <c r="Y186" s="7">
        <f>COUNTIF('Sample Setup'!$B$27:$AW$34,Calculations!A186)</f>
        <v>2</v>
      </c>
      <c r="AA186" s="6" t="s">
        <v>151</v>
      </c>
      <c r="AB186" s="117">
        <f>SigConcAvg(B186:U186,Report!B87)</f>
        <v>31.198866624827438</v>
      </c>
      <c r="AC186" s="113">
        <f>SigConcDev(B186:U186,Report!B87)</f>
        <v>0.20432362876023408</v>
      </c>
      <c r="AD186" s="7">
        <f t="array" ref="AD186">SUM(IF(B186:U186&gt;HLOOKUP("Section "&amp;Report!$B87,$AL$76:$AN$83,8),0,IF(B186:U186&lt;HLOOKUP("Section "&amp;Report!$B87,$AL$76:$AN$83,7),0,1)))</f>
        <v>2</v>
      </c>
      <c r="AE186" s="114">
        <f ca="1">IF(BioScale_Internal!$N$28,IF(COUNTIF(INDIRECT("'Sample Setup'!R27C"&amp;1+'Sample Setup'!$O$5,0):INDIRECT("'Sample Setup'!R34C"&amp;1+'Sample Setup'!$Q$5,0),AA186)&gt;0,1,IF(COUNTIF(INDIRECT("'Sample Setup'!R27C"&amp;1+'Sample Setup'!$O$6,0):INDIRECT("'Sample Setup'!R34C"&amp;1+'Sample Setup'!$Q$6,0),AA186)&gt;0,2,IF(COUNTIF(INDIRECT("'Sample Setup'!R27C"&amp;1+'Sample Setup'!$O$7,0):INDIRECT("'Sample Setup'!R34C"&amp;1+'Sample Setup'!$Q$7,0),AA186)&gt;0,3,NA()))),NA())</f>
        <v>1</v>
      </c>
    </row>
    <row r="187" spans="1:31" hidden="1" x14ac:dyDescent="0.25">
      <c r="A187" s="6" t="s">
        <v>152</v>
      </c>
      <c r="B187" s="21">
        <v>0.219</v>
      </c>
      <c r="C187" s="21">
        <v>0.23499999999999999</v>
      </c>
      <c r="D187" s="21"/>
      <c r="E187" s="241"/>
      <c r="F187" s="21"/>
      <c r="G187" s="21"/>
      <c r="H187" s="21"/>
      <c r="I187" s="21"/>
      <c r="J187" s="21"/>
      <c r="K187" s="21"/>
      <c r="L187" s="21"/>
      <c r="M187" s="21"/>
      <c r="N187" s="21"/>
      <c r="O187" s="21"/>
      <c r="P187" s="21"/>
      <c r="Q187" s="21"/>
      <c r="R187" s="21"/>
      <c r="S187" s="21"/>
      <c r="T187" s="21"/>
      <c r="U187" s="21"/>
      <c r="V187" s="115">
        <f t="shared" si="70"/>
        <v>0.22699999999999998</v>
      </c>
      <c r="W187" s="115">
        <f t="shared" si="71"/>
        <v>1.1313708498984752E-2</v>
      </c>
      <c r="X187" s="116">
        <f t="shared" si="72"/>
        <v>4.9840125546188337E-2</v>
      </c>
      <c r="Y187" s="7">
        <f>COUNTIF('Sample Setup'!$B$27:$AW$34,Calculations!A187)</f>
        <v>2</v>
      </c>
      <c r="AA187" s="6" t="s">
        <v>152</v>
      </c>
      <c r="AB187" s="117">
        <f>SigConcAvg(B187:U187,Report!B88)</f>
        <v>31.776768890523051</v>
      </c>
      <c r="AC187" s="113">
        <f>SigConcDev(B187:U187,Report!B88)</f>
        <v>1.6345809717920854</v>
      </c>
      <c r="AD187" s="7">
        <f t="array" ref="AD187">SUM(IF(B187:U187&gt;HLOOKUP("Section "&amp;Report!$B88,$AL$76:$AN$83,8),0,IF(B187:U187&lt;HLOOKUP("Section "&amp;Report!$B88,$AL$76:$AN$83,7),0,1)))</f>
        <v>2</v>
      </c>
      <c r="AE187" s="114">
        <f ca="1">IF(BioScale_Internal!$N$28,IF(COUNTIF(INDIRECT("'Sample Setup'!R27C"&amp;1+'Sample Setup'!$O$5,0):INDIRECT("'Sample Setup'!R34C"&amp;1+'Sample Setup'!$Q$5,0),AA187)&gt;0,1,IF(COUNTIF(INDIRECT("'Sample Setup'!R27C"&amp;1+'Sample Setup'!$O$6,0):INDIRECT("'Sample Setup'!R34C"&amp;1+'Sample Setup'!$Q$6,0),AA187)&gt;0,2,IF(COUNTIF(INDIRECT("'Sample Setup'!R27C"&amp;1+'Sample Setup'!$O$7,0):INDIRECT("'Sample Setup'!R34C"&amp;1+'Sample Setup'!$Q$7,0),AA187)&gt;0,3,NA()))),NA())</f>
        <v>1</v>
      </c>
    </row>
    <row r="188" spans="1:31" hidden="1" x14ac:dyDescent="0.25">
      <c r="A188" s="6" t="s">
        <v>204</v>
      </c>
      <c r="B188" s="241">
        <v>0.21299999999999999</v>
      </c>
      <c r="C188" s="21">
        <v>0.219</v>
      </c>
      <c r="D188" s="21"/>
      <c r="E188" s="241"/>
      <c r="F188" s="21"/>
      <c r="G188" s="21"/>
      <c r="H188" s="21"/>
      <c r="I188" s="21"/>
      <c r="J188" s="21"/>
      <c r="K188" s="21"/>
      <c r="L188" s="21"/>
      <c r="M188" s="21"/>
      <c r="N188" s="21"/>
      <c r="O188" s="21"/>
      <c r="P188" s="21"/>
      <c r="Q188" s="21"/>
      <c r="R188" s="21"/>
      <c r="S188" s="21"/>
      <c r="T188" s="21"/>
      <c r="U188" s="21"/>
      <c r="V188" s="115">
        <f t="shared" si="70"/>
        <v>0.216</v>
      </c>
      <c r="W188" s="115">
        <f t="shared" si="71"/>
        <v>4.2426406871192892E-3</v>
      </c>
      <c r="X188" s="116">
        <f t="shared" si="72"/>
        <v>1.9641855032959673E-2</v>
      </c>
      <c r="Y188" s="7">
        <f>COUNTIF('Sample Setup'!$B$27:$AW$34,Calculations!A188)</f>
        <v>2</v>
      </c>
      <c r="AA188" s="6" t="s">
        <v>204</v>
      </c>
      <c r="AB188" s="117">
        <f>SigConcAvg(B188:U188,Report!B89)</f>
        <v>30.187485534239407</v>
      </c>
      <c r="AC188" s="113">
        <f>SigConcDev(B188:U188,Report!B89)</f>
        <v>0.61300510511807116</v>
      </c>
      <c r="AD188" s="7">
        <f t="array" ref="AD188">SUM(IF(B188:U188&gt;HLOOKUP("Section "&amp;Report!$B89,$AL$76:$AN$83,8),0,IF(B188:U188&lt;HLOOKUP("Section "&amp;Report!$B89,$AL$76:$AN$83,7),0,1)))</f>
        <v>2</v>
      </c>
      <c r="AE188" s="114">
        <f ca="1">IF(BioScale_Internal!$N$28,IF(COUNTIF(INDIRECT("'Sample Setup'!R27C"&amp;1+'Sample Setup'!$O$5,0):INDIRECT("'Sample Setup'!R34C"&amp;1+'Sample Setup'!$Q$5,0),AA188)&gt;0,1,IF(COUNTIF(INDIRECT("'Sample Setup'!R27C"&amp;1+'Sample Setup'!$O$6,0):INDIRECT("'Sample Setup'!R34C"&amp;1+'Sample Setup'!$Q$6,0),AA188)&gt;0,2,IF(COUNTIF(INDIRECT("'Sample Setup'!R27C"&amp;1+'Sample Setup'!$O$7,0):INDIRECT("'Sample Setup'!R34C"&amp;1+'Sample Setup'!$Q$7,0),AA188)&gt;0,3,NA()))),NA())</f>
        <v>1</v>
      </c>
    </row>
    <row r="189" spans="1:31" hidden="1" x14ac:dyDescent="0.25">
      <c r="A189" s="6" t="s">
        <v>205</v>
      </c>
      <c r="B189" s="241">
        <v>0.22500000000000001</v>
      </c>
      <c r="C189" s="241">
        <v>0.22500000000000001</v>
      </c>
      <c r="D189" s="21"/>
      <c r="E189" s="21"/>
      <c r="F189" s="21"/>
      <c r="G189" s="21"/>
      <c r="H189" s="21"/>
      <c r="I189" s="21"/>
      <c r="J189" s="21"/>
      <c r="K189" s="21"/>
      <c r="L189" s="21"/>
      <c r="M189" s="21"/>
      <c r="N189" s="21"/>
      <c r="O189" s="21"/>
      <c r="P189" s="21"/>
      <c r="Q189" s="21"/>
      <c r="R189" s="21"/>
      <c r="S189" s="21"/>
      <c r="T189" s="21"/>
      <c r="U189" s="21"/>
      <c r="V189" s="115">
        <f t="shared" si="70"/>
        <v>0.22500000000000001</v>
      </c>
      <c r="W189" s="115">
        <f t="shared" si="71"/>
        <v>0</v>
      </c>
      <c r="X189" s="116">
        <f t="shared" si="72"/>
        <v>0</v>
      </c>
      <c r="Y189" s="7">
        <f>COUNTIF('Sample Setup'!$B$27:$AW$34,Calculations!A189)</f>
        <v>2</v>
      </c>
      <c r="AA189" s="6" t="s">
        <v>205</v>
      </c>
      <c r="AB189" s="117">
        <f>SigConcAvg(B189:U189,Report!B90)</f>
        <v>31.487822918657422</v>
      </c>
      <c r="AC189" s="113">
        <f>SigConcDev(B189:U189,Report!B90)</f>
        <v>0</v>
      </c>
      <c r="AD189" s="7">
        <f t="array" ref="AD189">SUM(IF(B189:U189&gt;HLOOKUP("Section "&amp;Report!$B90,$AL$76:$AN$83,8),0,IF(B189:U189&lt;HLOOKUP("Section "&amp;Report!$B90,$AL$76:$AN$83,7),0,1)))</f>
        <v>2</v>
      </c>
      <c r="AE189" s="114">
        <f ca="1">IF(BioScale_Internal!$N$28,IF(COUNTIF(INDIRECT("'Sample Setup'!R27C"&amp;1+'Sample Setup'!$O$5,0):INDIRECT("'Sample Setup'!R34C"&amp;1+'Sample Setup'!$Q$5,0),AA189)&gt;0,1,IF(COUNTIF(INDIRECT("'Sample Setup'!R27C"&amp;1+'Sample Setup'!$O$6,0):INDIRECT("'Sample Setup'!R34C"&amp;1+'Sample Setup'!$Q$6,0),AA189)&gt;0,2,IF(COUNTIF(INDIRECT("'Sample Setup'!R27C"&amp;1+'Sample Setup'!$O$7,0):INDIRECT("'Sample Setup'!R34C"&amp;1+'Sample Setup'!$Q$7,0),AA189)&gt;0,3,NA()))),NA())</f>
        <v>1</v>
      </c>
    </row>
    <row r="190" spans="1:31" hidden="1" x14ac:dyDescent="0.25">
      <c r="A190" s="6" t="s">
        <v>206</v>
      </c>
      <c r="B190" s="21">
        <v>0.19600000000000001</v>
      </c>
      <c r="C190" s="241">
        <v>0.20300000000000001</v>
      </c>
      <c r="D190" s="21"/>
      <c r="E190" s="21"/>
      <c r="F190" s="21"/>
      <c r="G190" s="21"/>
      <c r="H190" s="21"/>
      <c r="I190" s="21"/>
      <c r="J190" s="21"/>
      <c r="K190" s="21"/>
      <c r="L190" s="21"/>
      <c r="M190" s="21"/>
      <c r="N190" s="21"/>
      <c r="O190" s="21"/>
      <c r="P190" s="21"/>
      <c r="Q190" s="21"/>
      <c r="R190" s="21"/>
      <c r="S190" s="21"/>
      <c r="T190" s="21"/>
      <c r="U190" s="21"/>
      <c r="V190" s="115">
        <f t="shared" si="70"/>
        <v>0.19950000000000001</v>
      </c>
      <c r="W190" s="115">
        <f t="shared" si="71"/>
        <v>4.9497474683058368E-3</v>
      </c>
      <c r="X190" s="116">
        <f t="shared" si="72"/>
        <v>2.481076425215958E-2</v>
      </c>
      <c r="Y190" s="7">
        <f>COUNTIF('Sample Setup'!$B$27:$AW$34,Calculations!A190)</f>
        <v>2</v>
      </c>
      <c r="AA190" s="6" t="s">
        <v>206</v>
      </c>
      <c r="AB190" s="117">
        <f>SigConcAvg(B190:U190,Report!B91)</f>
        <v>27.803138732710387</v>
      </c>
      <c r="AC190" s="113">
        <f>SigConcDev(B190:U190,Report!B91)</f>
        <v>0.71538408689627708</v>
      </c>
      <c r="AD190" s="7">
        <f t="array" ref="AD190">SUM(IF(B190:U190&gt;HLOOKUP("Section "&amp;Report!$B91,$AL$76:$AN$83,8),0,IF(B190:U190&lt;HLOOKUP("Section "&amp;Report!$B91,$AL$76:$AN$83,7),0,1)))</f>
        <v>2</v>
      </c>
      <c r="AE190" s="114">
        <f ca="1">IF(BioScale_Internal!$N$28,IF(COUNTIF(INDIRECT("'Sample Setup'!R27C"&amp;1+'Sample Setup'!$O$5,0):INDIRECT("'Sample Setup'!R34C"&amp;1+'Sample Setup'!$Q$5,0),AA190)&gt;0,1,IF(COUNTIF(INDIRECT("'Sample Setup'!R27C"&amp;1+'Sample Setup'!$O$6,0):INDIRECT("'Sample Setup'!R34C"&amp;1+'Sample Setup'!$Q$6,0),AA190)&gt;0,2,IF(COUNTIF(INDIRECT("'Sample Setup'!R27C"&amp;1+'Sample Setup'!$O$7,0):INDIRECT("'Sample Setup'!R34C"&amp;1+'Sample Setup'!$Q$7,0),AA190)&gt;0,3,NA()))),NA())</f>
        <v>1</v>
      </c>
    </row>
    <row r="191" spans="1:31" hidden="1" x14ac:dyDescent="0.25">
      <c r="A191" s="6" t="s">
        <v>207</v>
      </c>
      <c r="B191" s="241">
        <v>0.221</v>
      </c>
      <c r="C191" s="21">
        <v>0.22</v>
      </c>
      <c r="D191" s="241"/>
      <c r="E191" s="21"/>
      <c r="F191" s="21"/>
      <c r="G191" s="21"/>
      <c r="H191" s="21"/>
      <c r="I191" s="21"/>
      <c r="J191" s="21"/>
      <c r="K191" s="21"/>
      <c r="L191" s="21"/>
      <c r="M191" s="21"/>
      <c r="N191" s="21"/>
      <c r="O191" s="21"/>
      <c r="P191" s="21"/>
      <c r="Q191" s="21"/>
      <c r="R191" s="21"/>
      <c r="S191" s="21"/>
      <c r="T191" s="21"/>
      <c r="U191" s="21"/>
      <c r="V191" s="115">
        <f t="shared" si="70"/>
        <v>0.2205</v>
      </c>
      <c r="W191" s="115">
        <f t="shared" si="71"/>
        <v>7.0710678118654816E-4</v>
      </c>
      <c r="X191" s="116">
        <f t="shared" si="72"/>
        <v>3.2068334747689261E-3</v>
      </c>
      <c r="Y191" s="7">
        <f>COUNTIF('Sample Setup'!$B$27:$AW$34,Calculations!A191)</f>
        <v>2</v>
      </c>
      <c r="AA191" s="6" t="s">
        <v>207</v>
      </c>
      <c r="AB191" s="117">
        <f>SigConcAvg(B191:U191,Report!B92)</f>
        <v>30.837667809877111</v>
      </c>
      <c r="AC191" s="113">
        <f>SigConcDev(B191:U191,Report!B92)</f>
        <v>0.1021633255200504</v>
      </c>
      <c r="AD191" s="7">
        <f t="array" ref="AD191">SUM(IF(B191:U191&gt;HLOOKUP("Section "&amp;Report!$B92,$AL$76:$AN$83,8),0,IF(B191:U191&lt;HLOOKUP("Section "&amp;Report!$B92,$AL$76:$AN$83,7),0,1)))</f>
        <v>2</v>
      </c>
      <c r="AE191" s="114">
        <f ca="1">IF(BioScale_Internal!$N$28,IF(COUNTIF(INDIRECT("'Sample Setup'!R27C"&amp;1+'Sample Setup'!$O$5,0):INDIRECT("'Sample Setup'!R34C"&amp;1+'Sample Setup'!$Q$5,0),AA191)&gt;0,1,IF(COUNTIF(INDIRECT("'Sample Setup'!R27C"&amp;1+'Sample Setup'!$O$6,0):INDIRECT("'Sample Setup'!R34C"&amp;1+'Sample Setup'!$Q$6,0),AA191)&gt;0,2,IF(COUNTIF(INDIRECT("'Sample Setup'!R27C"&amp;1+'Sample Setup'!$O$7,0):INDIRECT("'Sample Setup'!R34C"&amp;1+'Sample Setup'!$Q$7,0),AA191)&gt;0,3,NA()))),NA())</f>
        <v>1</v>
      </c>
    </row>
    <row r="192" spans="1:31" hidden="1" x14ac:dyDescent="0.25">
      <c r="A192" s="6" t="s">
        <v>208</v>
      </c>
      <c r="B192" s="241">
        <v>0.214</v>
      </c>
      <c r="C192" s="241">
        <v>0.222</v>
      </c>
      <c r="D192" s="21"/>
      <c r="E192" s="21"/>
      <c r="F192" s="21"/>
      <c r="G192" s="21"/>
      <c r="H192" s="21"/>
      <c r="I192" s="21"/>
      <c r="J192" s="21"/>
      <c r="K192" s="21"/>
      <c r="L192" s="21"/>
      <c r="M192" s="21"/>
      <c r="N192" s="21"/>
      <c r="O192" s="21"/>
      <c r="P192" s="21"/>
      <c r="Q192" s="21"/>
      <c r="R192" s="21"/>
      <c r="S192" s="21"/>
      <c r="T192" s="21"/>
      <c r="U192" s="21"/>
      <c r="V192" s="115">
        <f t="shared" si="70"/>
        <v>0.218</v>
      </c>
      <c r="W192" s="115">
        <f t="shared" si="71"/>
        <v>5.6568542494923853E-3</v>
      </c>
      <c r="X192" s="116">
        <f t="shared" si="72"/>
        <v>2.594887270409351E-2</v>
      </c>
      <c r="Y192" s="7">
        <f>COUNTIF('Sample Setup'!$B$27:$AW$34,Calculations!A192)</f>
        <v>2</v>
      </c>
      <c r="AA192" s="6" t="s">
        <v>208</v>
      </c>
      <c r="AB192" s="117">
        <f>SigConcAvg(B192:U192,Report!B93)</f>
        <v>30.476452117950739</v>
      </c>
      <c r="AC192" s="113">
        <f>SigConcDev(B192:U192,Report!B93)</f>
        <v>0.8173247645198658</v>
      </c>
      <c r="AD192" s="7">
        <f t="array" ref="AD192">SUM(IF(B192:U192&gt;HLOOKUP("Section "&amp;Report!$B93,$AL$76:$AN$83,8),0,IF(B192:U192&lt;HLOOKUP("Section "&amp;Report!$B93,$AL$76:$AN$83,7),0,1)))</f>
        <v>2</v>
      </c>
      <c r="AE192" s="114">
        <f ca="1">IF(BioScale_Internal!$N$28,IF(COUNTIF(INDIRECT("'Sample Setup'!R27C"&amp;1+'Sample Setup'!$O$5,0):INDIRECT("'Sample Setup'!R34C"&amp;1+'Sample Setup'!$Q$5,0),AA192)&gt;0,1,IF(COUNTIF(INDIRECT("'Sample Setup'!R27C"&amp;1+'Sample Setup'!$O$6,0):INDIRECT("'Sample Setup'!R34C"&amp;1+'Sample Setup'!$Q$6,0),AA192)&gt;0,2,IF(COUNTIF(INDIRECT("'Sample Setup'!R27C"&amp;1+'Sample Setup'!$O$7,0):INDIRECT("'Sample Setup'!R34C"&amp;1+'Sample Setup'!$Q$7,0),AA192)&gt;0,3,NA()))),NA())</f>
        <v>1</v>
      </c>
    </row>
    <row r="193" spans="1:31" hidden="1" x14ac:dyDescent="0.25">
      <c r="A193" s="6" t="s">
        <v>209</v>
      </c>
      <c r="B193" s="21">
        <v>0.24</v>
      </c>
      <c r="C193" s="21">
        <v>0.23799999999999999</v>
      </c>
      <c r="D193" s="21"/>
      <c r="E193" s="21"/>
      <c r="F193" s="21"/>
      <c r="G193" s="21"/>
      <c r="H193" s="21"/>
      <c r="I193" s="21"/>
      <c r="J193" s="21"/>
      <c r="K193" s="21"/>
      <c r="L193" s="21"/>
      <c r="M193" s="21"/>
      <c r="N193" s="21"/>
      <c r="O193" s="21"/>
      <c r="P193" s="21"/>
      <c r="Q193" s="21"/>
      <c r="R193" s="21"/>
      <c r="S193" s="21"/>
      <c r="T193" s="21"/>
      <c r="U193" s="21"/>
      <c r="V193" s="115">
        <f t="shared" si="70"/>
        <v>0.23899999999999999</v>
      </c>
      <c r="W193" s="115">
        <f t="shared" si="71"/>
        <v>1.4142135623730963E-3</v>
      </c>
      <c r="X193" s="116">
        <f t="shared" si="72"/>
        <v>5.917211558046428E-3</v>
      </c>
      <c r="Y193" s="7">
        <f>COUNTIF('Sample Setup'!$B$27:$AW$34,Calculations!A193)</f>
        <v>2</v>
      </c>
      <c r="AA193" s="6" t="s">
        <v>209</v>
      </c>
      <c r="AB193" s="117">
        <f>SigConcAvg(B193:U193,Report!B94)</f>
        <v>33.510512484594855</v>
      </c>
      <c r="AC193" s="113">
        <f>SigConcDev(B193:U193,Report!B94)</f>
        <v>0.20432820115325104</v>
      </c>
      <c r="AD193" s="7">
        <f t="array" ref="AD193">SUM(IF(B193:U193&gt;HLOOKUP("Section "&amp;Report!$B94,$AL$76:$AN$83,8),0,IF(B193:U193&lt;HLOOKUP("Section "&amp;Report!$B94,$AL$76:$AN$83,7),0,1)))</f>
        <v>2</v>
      </c>
      <c r="AE193" s="114">
        <f ca="1">IF(BioScale_Internal!$N$28,IF(COUNTIF(INDIRECT("'Sample Setup'!R27C"&amp;1+'Sample Setup'!$O$5,0):INDIRECT("'Sample Setup'!R34C"&amp;1+'Sample Setup'!$Q$5,0),AA193)&gt;0,1,IF(COUNTIF(INDIRECT("'Sample Setup'!R27C"&amp;1+'Sample Setup'!$O$6,0):INDIRECT("'Sample Setup'!R34C"&amp;1+'Sample Setup'!$Q$6,0),AA193)&gt;0,2,IF(COUNTIF(INDIRECT("'Sample Setup'!R27C"&amp;1+'Sample Setup'!$O$7,0):INDIRECT("'Sample Setup'!R34C"&amp;1+'Sample Setup'!$Q$7,0),AA193)&gt;0,3,NA()))),NA())</f>
        <v>1</v>
      </c>
    </row>
    <row r="194" spans="1:31" hidden="1" x14ac:dyDescent="0.25">
      <c r="A194" s="6" t="s">
        <v>210</v>
      </c>
      <c r="B194" s="21">
        <v>0.22700000000000001</v>
      </c>
      <c r="C194" s="241">
        <v>0.22500000000000001</v>
      </c>
      <c r="D194" s="241"/>
      <c r="E194" s="21"/>
      <c r="F194" s="21"/>
      <c r="G194" s="21"/>
      <c r="H194" s="21"/>
      <c r="I194" s="21"/>
      <c r="J194" s="21"/>
      <c r="K194" s="21"/>
      <c r="L194" s="21"/>
      <c r="M194" s="21"/>
      <c r="N194" s="21"/>
      <c r="O194" s="21"/>
      <c r="P194" s="21"/>
      <c r="Q194" s="21"/>
      <c r="R194" s="21"/>
      <c r="S194" s="21"/>
      <c r="T194" s="21"/>
      <c r="U194" s="21"/>
      <c r="V194" s="115">
        <f t="shared" si="70"/>
        <v>0.22600000000000001</v>
      </c>
      <c r="W194" s="115">
        <f t="shared" si="71"/>
        <v>1.4142135623730963E-3</v>
      </c>
      <c r="X194" s="116">
        <f t="shared" si="72"/>
        <v>6.2575821343942312E-3</v>
      </c>
      <c r="Y194" s="7">
        <f>COUNTIF('Sample Setup'!$B$27:$AW$34,Calculations!A194)</f>
        <v>2</v>
      </c>
      <c r="AA194" s="6" t="s">
        <v>210</v>
      </c>
      <c r="AB194" s="117">
        <f>SigConcAvg(B194:U194,Report!B95)</f>
        <v>31.632299927199327</v>
      </c>
      <c r="AC194" s="113">
        <f>SigConcDev(B194:U194,Report!B95)</f>
        <v>0.20432134493105325</v>
      </c>
      <c r="AD194" s="7">
        <f t="array" ref="AD194">SUM(IF(B194:U194&gt;HLOOKUP("Section "&amp;Report!$B95,$AL$76:$AN$83,8),0,IF(B194:U194&lt;HLOOKUP("Section "&amp;Report!$B95,$AL$76:$AN$83,7),0,1)))</f>
        <v>2</v>
      </c>
      <c r="AE194" s="114">
        <f ca="1">IF(BioScale_Internal!$N$28,IF(COUNTIF(INDIRECT("'Sample Setup'!R27C"&amp;1+'Sample Setup'!$O$5,0):INDIRECT("'Sample Setup'!R34C"&amp;1+'Sample Setup'!$Q$5,0),AA194)&gt;0,1,IF(COUNTIF(INDIRECT("'Sample Setup'!R27C"&amp;1+'Sample Setup'!$O$6,0):INDIRECT("'Sample Setup'!R34C"&amp;1+'Sample Setup'!$Q$6,0),AA194)&gt;0,2,IF(COUNTIF(INDIRECT("'Sample Setup'!R27C"&amp;1+'Sample Setup'!$O$7,0):INDIRECT("'Sample Setup'!R34C"&amp;1+'Sample Setup'!$Q$7,0),AA194)&gt;0,3,NA()))),NA())</f>
        <v>1</v>
      </c>
    </row>
    <row r="195" spans="1:31" hidden="1" x14ac:dyDescent="0.25">
      <c r="A195" s="6" t="s">
        <v>211</v>
      </c>
      <c r="B195" s="21">
        <v>0.22600000000000001</v>
      </c>
      <c r="C195" s="21">
        <v>0.22500000000000001</v>
      </c>
      <c r="D195" s="21"/>
      <c r="E195" s="241"/>
      <c r="F195" s="21"/>
      <c r="G195" s="21"/>
      <c r="H195" s="21"/>
      <c r="I195" s="21"/>
      <c r="J195" s="21"/>
      <c r="K195" s="21"/>
      <c r="L195" s="21"/>
      <c r="M195" s="21"/>
      <c r="N195" s="21"/>
      <c r="O195" s="21"/>
      <c r="P195" s="21"/>
      <c r="Q195" s="21"/>
      <c r="R195" s="21"/>
      <c r="S195" s="21"/>
      <c r="T195" s="21"/>
      <c r="U195" s="21"/>
      <c r="V195" s="115">
        <f t="shared" si="70"/>
        <v>0.22550000000000001</v>
      </c>
      <c r="W195" s="115">
        <f t="shared" si="71"/>
        <v>7.0710678118654816E-4</v>
      </c>
      <c r="X195" s="116">
        <f t="shared" si="72"/>
        <v>3.135728519674271E-3</v>
      </c>
      <c r="Y195" s="7">
        <f>COUNTIF('Sample Setup'!$B$27:$AW$34,Calculations!A195)</f>
        <v>2</v>
      </c>
      <c r="AA195" s="6" t="s">
        <v>211</v>
      </c>
      <c r="AB195" s="117">
        <f>SigConcAvg(B195:U195,Report!B96)</f>
        <v>31.560061513911869</v>
      </c>
      <c r="AC195" s="113">
        <f>SigConcDev(B195:U195,Report!B96)</f>
        <v>0.10216080113562229</v>
      </c>
      <c r="AD195" s="7">
        <f t="array" ref="AD195">SUM(IF(B195:U195&gt;HLOOKUP("Section "&amp;Report!$B96,$AL$76:$AN$83,8),0,IF(B195:U195&lt;HLOOKUP("Section "&amp;Report!$B96,$AL$76:$AN$83,7),0,1)))</f>
        <v>2</v>
      </c>
      <c r="AE195" s="114">
        <f ca="1">IF(BioScale_Internal!$N$28,IF(COUNTIF(INDIRECT("'Sample Setup'!R27C"&amp;1+'Sample Setup'!$O$5,0):INDIRECT("'Sample Setup'!R34C"&amp;1+'Sample Setup'!$Q$5,0),AA195)&gt;0,1,IF(COUNTIF(INDIRECT("'Sample Setup'!R27C"&amp;1+'Sample Setup'!$O$6,0):INDIRECT("'Sample Setup'!R34C"&amp;1+'Sample Setup'!$Q$6,0),AA195)&gt;0,2,IF(COUNTIF(INDIRECT("'Sample Setup'!R27C"&amp;1+'Sample Setup'!$O$7,0):INDIRECT("'Sample Setup'!R34C"&amp;1+'Sample Setup'!$Q$7,0),AA195)&gt;0,3,NA()))),NA())</f>
        <v>1</v>
      </c>
    </row>
    <row r="196" spans="1:31" hidden="1" x14ac:dyDescent="0.25">
      <c r="A196" s="6" t="s">
        <v>212</v>
      </c>
      <c r="B196" s="241">
        <v>0.23100000000000001</v>
      </c>
      <c r="C196" s="21">
        <v>0.23300000000000001</v>
      </c>
      <c r="D196" s="21"/>
      <c r="E196" s="241"/>
      <c r="F196" s="21"/>
      <c r="G196" s="21"/>
      <c r="H196" s="21"/>
      <c r="I196" s="21"/>
      <c r="J196" s="21"/>
      <c r="K196" s="21"/>
      <c r="L196" s="21"/>
      <c r="M196" s="21"/>
      <c r="N196" s="21"/>
      <c r="O196" s="21"/>
      <c r="P196" s="21"/>
      <c r="Q196" s="21"/>
      <c r="R196" s="21"/>
      <c r="S196" s="21"/>
      <c r="T196" s="21"/>
      <c r="U196" s="21"/>
      <c r="V196" s="115">
        <f t="shared" si="70"/>
        <v>0.23200000000000001</v>
      </c>
      <c r="W196" s="115">
        <f t="shared" si="71"/>
        <v>1.4142135623730963E-3</v>
      </c>
      <c r="X196" s="116">
        <f t="shared" si="72"/>
        <v>6.0957481136771387E-3</v>
      </c>
      <c r="Y196" s="7">
        <f>COUNTIF('Sample Setup'!$B$27:$AW$34,Calculations!A196)</f>
        <v>2</v>
      </c>
      <c r="AA196" s="6" t="s">
        <v>212</v>
      </c>
      <c r="AB196" s="117">
        <f>SigConcAvg(B196:U196,Report!B97)</f>
        <v>32.499159789232294</v>
      </c>
      <c r="AC196" s="113">
        <f>SigConcDev(B196:U196,Report!B97)</f>
        <v>0.20432117307696504</v>
      </c>
      <c r="AD196" s="7">
        <f t="array" ref="AD196">SUM(IF(B196:U196&gt;HLOOKUP("Section "&amp;Report!$B97,$AL$76:$AN$83,8),0,IF(B196:U196&lt;HLOOKUP("Section "&amp;Report!$B97,$AL$76:$AN$83,7),0,1)))</f>
        <v>2</v>
      </c>
      <c r="AE196" s="114">
        <f ca="1">IF(BioScale_Internal!$N$28,IF(COUNTIF(INDIRECT("'Sample Setup'!R27C"&amp;1+'Sample Setup'!$O$5,0):INDIRECT("'Sample Setup'!R34C"&amp;1+'Sample Setup'!$Q$5,0),AA196)&gt;0,1,IF(COUNTIF(INDIRECT("'Sample Setup'!R27C"&amp;1+'Sample Setup'!$O$6,0):INDIRECT("'Sample Setup'!R34C"&amp;1+'Sample Setup'!$Q$6,0),AA196)&gt;0,2,IF(COUNTIF(INDIRECT("'Sample Setup'!R27C"&amp;1+'Sample Setup'!$O$7,0):INDIRECT("'Sample Setup'!R34C"&amp;1+'Sample Setup'!$Q$7,0),AA196)&gt;0,3,NA()))),NA())</f>
        <v>1</v>
      </c>
    </row>
    <row r="197" spans="1:31" hidden="1" x14ac:dyDescent="0.25">
      <c r="A197" s="6" t="s">
        <v>213</v>
      </c>
      <c r="B197" s="21">
        <v>0.26300000000000001</v>
      </c>
      <c r="C197" s="241">
        <v>0.26200000000000001</v>
      </c>
      <c r="D197" s="21"/>
      <c r="E197" s="241"/>
      <c r="F197" s="21"/>
      <c r="G197" s="21"/>
      <c r="H197" s="21"/>
      <c r="I197" s="21"/>
      <c r="J197" s="21"/>
      <c r="K197" s="21"/>
      <c r="L197" s="21"/>
      <c r="M197" s="21"/>
      <c r="N197" s="21"/>
      <c r="O197" s="21"/>
      <c r="P197" s="21"/>
      <c r="Q197" s="21"/>
      <c r="R197" s="21"/>
      <c r="S197" s="21"/>
      <c r="T197" s="21"/>
      <c r="U197" s="21"/>
      <c r="V197" s="115">
        <f t="shared" si="70"/>
        <v>0.26250000000000001</v>
      </c>
      <c r="W197" s="115">
        <f t="shared" si="71"/>
        <v>7.0710678118654816E-4</v>
      </c>
      <c r="X197" s="116">
        <f t="shared" si="72"/>
        <v>2.6937401188058974E-3</v>
      </c>
      <c r="Y197" s="7">
        <f>COUNTIF('Sample Setup'!$B$27:$AW$34,Calculations!A197)</f>
        <v>2</v>
      </c>
      <c r="AA197" s="6" t="s">
        <v>213</v>
      </c>
      <c r="AB197" s="117">
        <f>SigConcAvg(B197:U197,Report!B98)</f>
        <v>36.906368641087511</v>
      </c>
      <c r="AC197" s="113">
        <f>SigConcDev(B197:U197,Report!B98)</f>
        <v>0.10220295053598562</v>
      </c>
      <c r="AD197" s="7">
        <f t="array" ref="AD197">SUM(IF(B197:U197&gt;HLOOKUP("Section "&amp;Report!$B98,$AL$76:$AN$83,8),0,IF(B197:U197&lt;HLOOKUP("Section "&amp;Report!$B98,$AL$76:$AN$83,7),0,1)))</f>
        <v>2</v>
      </c>
      <c r="AE197" s="114">
        <f ca="1">IF(BioScale_Internal!$N$28,IF(COUNTIF(INDIRECT("'Sample Setup'!R27C"&amp;1+'Sample Setup'!$O$5,0):INDIRECT("'Sample Setup'!R34C"&amp;1+'Sample Setup'!$Q$5,0),AA197)&gt;0,1,IF(COUNTIF(INDIRECT("'Sample Setup'!R27C"&amp;1+'Sample Setup'!$O$6,0):INDIRECT("'Sample Setup'!R34C"&amp;1+'Sample Setup'!$Q$6,0),AA197)&gt;0,2,IF(COUNTIF(INDIRECT("'Sample Setup'!R27C"&amp;1+'Sample Setup'!$O$7,0):INDIRECT("'Sample Setup'!R34C"&amp;1+'Sample Setup'!$Q$7,0),AA197)&gt;0,3,NA()))),NA())</f>
        <v>1</v>
      </c>
    </row>
    <row r="198" spans="1:31" hidden="1" x14ac:dyDescent="0.25">
      <c r="A198" s="6" t="s">
        <v>214</v>
      </c>
      <c r="B198" s="21">
        <v>0.26800000000000002</v>
      </c>
      <c r="C198" s="241">
        <v>0.26900000000000002</v>
      </c>
      <c r="D198" s="21"/>
      <c r="E198" s="21"/>
      <c r="F198" s="21"/>
      <c r="G198" s="21"/>
      <c r="H198" s="21"/>
      <c r="I198" s="21"/>
      <c r="J198" s="21"/>
      <c r="K198" s="21"/>
      <c r="L198" s="21"/>
      <c r="M198" s="21"/>
      <c r="N198" s="21"/>
      <c r="O198" s="21"/>
      <c r="P198" s="21"/>
      <c r="Q198" s="21"/>
      <c r="R198" s="21"/>
      <c r="S198" s="21"/>
      <c r="T198" s="21"/>
      <c r="U198" s="21"/>
      <c r="V198" s="115">
        <f t="shared" si="70"/>
        <v>0.26850000000000002</v>
      </c>
      <c r="W198" s="115">
        <f t="shared" si="71"/>
        <v>7.0710678118654816E-4</v>
      </c>
      <c r="X198" s="116">
        <f t="shared" si="72"/>
        <v>2.6335448088884474E-3</v>
      </c>
      <c r="Y198" s="7">
        <f>COUNTIF('Sample Setup'!$B$27:$AW$34,Calculations!A198)</f>
        <v>2</v>
      </c>
      <c r="AA198" s="6" t="s">
        <v>214</v>
      </c>
      <c r="AB198" s="117">
        <f>SigConcAvg(B198:U198,Report!B99)</f>
        <v>37.773656874298041</v>
      </c>
      <c r="AC198" s="113">
        <f>SigConcDev(B198:U198,Report!B99)</f>
        <v>0.10221925426762214</v>
      </c>
      <c r="AD198" s="7">
        <f t="array" ref="AD198">SUM(IF(B198:U198&gt;HLOOKUP("Section "&amp;Report!$B99,$AL$76:$AN$83,8),0,IF(B198:U198&lt;HLOOKUP("Section "&amp;Report!$B99,$AL$76:$AN$83,7),0,1)))</f>
        <v>2</v>
      </c>
      <c r="AE198" s="114">
        <f ca="1">IF(BioScale_Internal!$N$28,IF(COUNTIF(INDIRECT("'Sample Setup'!R27C"&amp;1+'Sample Setup'!$O$5,0):INDIRECT("'Sample Setup'!R34C"&amp;1+'Sample Setup'!$Q$5,0),AA198)&gt;0,1,IF(COUNTIF(INDIRECT("'Sample Setup'!R27C"&amp;1+'Sample Setup'!$O$6,0):INDIRECT("'Sample Setup'!R34C"&amp;1+'Sample Setup'!$Q$6,0),AA198)&gt;0,2,IF(COUNTIF(INDIRECT("'Sample Setup'!R27C"&amp;1+'Sample Setup'!$O$7,0):INDIRECT("'Sample Setup'!R34C"&amp;1+'Sample Setup'!$Q$7,0),AA198)&gt;0,3,NA()))),NA())</f>
        <v>1</v>
      </c>
    </row>
    <row r="199" spans="1:31" hidden="1" x14ac:dyDescent="0.25">
      <c r="A199" s="6" t="s">
        <v>215</v>
      </c>
      <c r="B199" s="21">
        <v>0.215</v>
      </c>
      <c r="C199" s="21">
        <v>0.20499999999999999</v>
      </c>
      <c r="D199" s="21"/>
      <c r="E199" s="241"/>
      <c r="F199" s="21"/>
      <c r="G199" s="21"/>
      <c r="H199" s="21"/>
      <c r="I199" s="21"/>
      <c r="J199" s="21"/>
      <c r="K199" s="21"/>
      <c r="L199" s="21"/>
      <c r="M199" s="21"/>
      <c r="N199" s="21"/>
      <c r="O199" s="21"/>
      <c r="P199" s="21"/>
      <c r="Q199" s="21"/>
      <c r="R199" s="21"/>
      <c r="S199" s="21"/>
      <c r="T199" s="21"/>
      <c r="U199" s="21"/>
      <c r="V199" s="115">
        <f t="shared" si="70"/>
        <v>0.21</v>
      </c>
      <c r="W199" s="115">
        <f t="shared" si="71"/>
        <v>7.0710678118654814E-3</v>
      </c>
      <c r="X199" s="116">
        <f t="shared" si="72"/>
        <v>3.3671751485073724E-2</v>
      </c>
      <c r="Y199" s="7">
        <f>COUNTIF('Sample Setup'!$B$27:$AW$34,Calculations!A199)</f>
        <v>2</v>
      </c>
      <c r="AA199" s="6" t="s">
        <v>215</v>
      </c>
      <c r="AB199" s="117">
        <f>SigConcAvg(B199:U199,Report!B100)</f>
        <v>29.320512510503672</v>
      </c>
      <c r="AC199" s="113">
        <f>SigConcDev(B199:U199,Report!B100)</f>
        <v>1.0217589708179493</v>
      </c>
      <c r="AD199" s="7">
        <f t="array" ref="AD199">SUM(IF(B199:U199&gt;HLOOKUP("Section "&amp;Report!$B100,$AL$76:$AN$83,8),0,IF(B199:U199&lt;HLOOKUP("Section "&amp;Report!$B100,$AL$76:$AN$83,7),0,1)))</f>
        <v>2</v>
      </c>
      <c r="AE199" s="114">
        <f ca="1">IF(BioScale_Internal!$N$28,IF(COUNTIF(INDIRECT("'Sample Setup'!R27C"&amp;1+'Sample Setup'!$O$5,0):INDIRECT("'Sample Setup'!R34C"&amp;1+'Sample Setup'!$Q$5,0),AA199)&gt;0,1,IF(COUNTIF(INDIRECT("'Sample Setup'!R27C"&amp;1+'Sample Setup'!$O$6,0):INDIRECT("'Sample Setup'!R34C"&amp;1+'Sample Setup'!$Q$6,0),AA199)&gt;0,2,IF(COUNTIF(INDIRECT("'Sample Setup'!R27C"&amp;1+'Sample Setup'!$O$7,0):INDIRECT("'Sample Setup'!R34C"&amp;1+'Sample Setup'!$Q$7,0),AA199)&gt;0,3,NA()))),NA())</f>
        <v>1</v>
      </c>
    </row>
    <row r="200" spans="1:31" hidden="1" x14ac:dyDescent="0.25">
      <c r="A200" s="6" t="s">
        <v>216</v>
      </c>
      <c r="B200" s="21">
        <v>0.26200000000000001</v>
      </c>
      <c r="C200" s="21">
        <v>0.25800000000000001</v>
      </c>
      <c r="D200" s="21"/>
      <c r="E200" s="21"/>
      <c r="F200" s="21"/>
      <c r="G200" s="21"/>
      <c r="H200" s="21"/>
      <c r="I200" s="21"/>
      <c r="J200" s="21"/>
      <c r="K200" s="21"/>
      <c r="L200" s="21"/>
      <c r="M200" s="21"/>
      <c r="N200" s="21"/>
      <c r="O200" s="21"/>
      <c r="P200" s="21"/>
      <c r="Q200" s="21"/>
      <c r="R200" s="21"/>
      <c r="S200" s="21"/>
      <c r="T200" s="21"/>
      <c r="U200" s="21"/>
      <c r="V200" s="115">
        <f t="shared" si="70"/>
        <v>0.26</v>
      </c>
      <c r="W200" s="115">
        <f t="shared" si="71"/>
        <v>2.8284271247461927E-3</v>
      </c>
      <c r="X200" s="116">
        <f t="shared" si="72"/>
        <v>1.0878565864408433E-2</v>
      </c>
      <c r="Y200" s="7">
        <f>COUNTIF('Sample Setup'!$B$27:$AW$34,Calculations!A200)</f>
        <v>2</v>
      </c>
      <c r="AA200" s="6" t="s">
        <v>216</v>
      </c>
      <c r="AB200" s="117">
        <f>SigConcAvg(B200:U200,Report!B101)</f>
        <v>36.545043618637948</v>
      </c>
      <c r="AC200" s="113">
        <f>SigConcDev(B200:U200,Report!B101)</f>
        <v>0.40878779663695947</v>
      </c>
      <c r="AD200" s="7">
        <f t="array" ref="AD200">SUM(IF(B200:U200&gt;HLOOKUP("Section "&amp;Report!$B101,$AL$76:$AN$83,8),0,IF(B200:U200&lt;HLOOKUP("Section "&amp;Report!$B101,$AL$76:$AN$83,7),0,1)))</f>
        <v>2</v>
      </c>
      <c r="AE200" s="114">
        <f ca="1">IF(BioScale_Internal!$N$28,IF(COUNTIF(INDIRECT("'Sample Setup'!R27C"&amp;1+'Sample Setup'!$O$5,0):INDIRECT("'Sample Setup'!R34C"&amp;1+'Sample Setup'!$Q$5,0),AA200)&gt;0,1,IF(COUNTIF(INDIRECT("'Sample Setup'!R27C"&amp;1+'Sample Setup'!$O$6,0):INDIRECT("'Sample Setup'!R34C"&amp;1+'Sample Setup'!$Q$6,0),AA200)&gt;0,2,IF(COUNTIF(INDIRECT("'Sample Setup'!R27C"&amp;1+'Sample Setup'!$O$7,0):INDIRECT("'Sample Setup'!R34C"&amp;1+'Sample Setup'!$Q$7,0),AA200)&gt;0,3,NA()))),NA())</f>
        <v>1</v>
      </c>
    </row>
    <row r="201" spans="1:31" hidden="1" x14ac:dyDescent="0.25">
      <c r="A201" s="6" t="s">
        <v>217</v>
      </c>
      <c r="B201" s="21">
        <v>0.27700000000000002</v>
      </c>
      <c r="C201" s="21">
        <v>0.3</v>
      </c>
      <c r="D201" s="241"/>
      <c r="E201" s="21"/>
      <c r="F201" s="21"/>
      <c r="G201" s="21"/>
      <c r="H201" s="21"/>
      <c r="I201" s="21"/>
      <c r="J201" s="21"/>
      <c r="K201" s="21"/>
      <c r="L201" s="21"/>
      <c r="M201" s="21"/>
      <c r="N201" s="21"/>
      <c r="O201" s="21"/>
      <c r="P201" s="21"/>
      <c r="Q201" s="21"/>
      <c r="R201" s="21"/>
      <c r="S201" s="21"/>
      <c r="T201" s="21"/>
      <c r="U201" s="21"/>
      <c r="V201" s="115">
        <f t="shared" si="70"/>
        <v>0.28849999999999998</v>
      </c>
      <c r="W201" s="115">
        <f t="shared" si="71"/>
        <v>1.626345596729057E-2</v>
      </c>
      <c r="X201" s="116">
        <f t="shared" si="72"/>
        <v>5.6372464358026245E-2</v>
      </c>
      <c r="Y201" s="7">
        <f>COUNTIF('Sample Setup'!$B$27:$AW$34,Calculations!A201)</f>
        <v>2</v>
      </c>
      <c r="AA201" s="6" t="s">
        <v>217</v>
      </c>
      <c r="AB201" s="117">
        <f>SigConcAvg(B201:U201,Report!B102)</f>
        <v>40.666208873220548</v>
      </c>
      <c r="AC201" s="113">
        <f>SigConcDev(B201:U201,Report!B102)</f>
        <v>2.3527342154962159</v>
      </c>
      <c r="AD201" s="7">
        <f t="array" ref="AD201">SUM(IF(B201:U201&gt;HLOOKUP("Section "&amp;Report!$B102,$AL$76:$AN$83,8),0,IF(B201:U201&lt;HLOOKUP("Section "&amp;Report!$B102,$AL$76:$AN$83,7),0,1)))</f>
        <v>2</v>
      </c>
      <c r="AE201" s="114">
        <f ca="1">IF(BioScale_Internal!$N$28,IF(COUNTIF(INDIRECT("'Sample Setup'!R27C"&amp;1+'Sample Setup'!$O$5,0):INDIRECT("'Sample Setup'!R34C"&amp;1+'Sample Setup'!$Q$5,0),AA201)&gt;0,1,IF(COUNTIF(INDIRECT("'Sample Setup'!R27C"&amp;1+'Sample Setup'!$O$6,0):INDIRECT("'Sample Setup'!R34C"&amp;1+'Sample Setup'!$Q$6,0),AA201)&gt;0,2,IF(COUNTIF(INDIRECT("'Sample Setup'!R27C"&amp;1+'Sample Setup'!$O$7,0):INDIRECT("'Sample Setup'!R34C"&amp;1+'Sample Setup'!$Q$7,0),AA201)&gt;0,3,NA()))),NA())</f>
        <v>1</v>
      </c>
    </row>
    <row r="202" spans="1:31" hidden="1" x14ac:dyDescent="0.25">
      <c r="A202" s="6" t="s">
        <v>218</v>
      </c>
      <c r="B202" s="21">
        <v>0.254</v>
      </c>
      <c r="C202" s="21">
        <v>0.26200000000000001</v>
      </c>
      <c r="D202" s="21"/>
      <c r="E202" s="21"/>
      <c r="F202" s="21"/>
      <c r="G202" s="21"/>
      <c r="H202" s="21"/>
      <c r="I202" s="21"/>
      <c r="J202" s="21"/>
      <c r="K202" s="21"/>
      <c r="L202" s="21"/>
      <c r="M202" s="21"/>
      <c r="N202" s="21"/>
      <c r="O202" s="21"/>
      <c r="P202" s="21"/>
      <c r="Q202" s="21"/>
      <c r="R202" s="21"/>
      <c r="S202" s="21"/>
      <c r="T202" s="21"/>
      <c r="U202" s="21"/>
      <c r="V202" s="115">
        <f t="shared" si="70"/>
        <v>0.25800000000000001</v>
      </c>
      <c r="W202" s="115">
        <f t="shared" si="71"/>
        <v>5.6568542494923853E-3</v>
      </c>
      <c r="X202" s="116">
        <f t="shared" si="72"/>
        <v>2.1925791664699167E-2</v>
      </c>
      <c r="Y202" s="7">
        <f>COUNTIF('Sample Setup'!$B$27:$AW$34,Calculations!A202)</f>
        <v>2</v>
      </c>
      <c r="AA202" s="6" t="s">
        <v>218</v>
      </c>
      <c r="AB202" s="117">
        <f>SigConcAvg(B202:U202,Report!B103)</f>
        <v>36.256011731344046</v>
      </c>
      <c r="AC202" s="113">
        <f>SigConcDev(B202:U202,Report!B103)</f>
        <v>0.81754061160628244</v>
      </c>
      <c r="AD202" s="7">
        <f t="array" ref="AD202">SUM(IF(B202:U202&gt;HLOOKUP("Section "&amp;Report!$B103,$AL$76:$AN$83,8),0,IF(B202:U202&lt;HLOOKUP("Section "&amp;Report!$B103,$AL$76:$AN$83,7),0,1)))</f>
        <v>2</v>
      </c>
      <c r="AE202" s="114">
        <f ca="1">IF(BioScale_Internal!$N$28,IF(COUNTIF(INDIRECT("'Sample Setup'!R27C"&amp;1+'Sample Setup'!$O$5,0):INDIRECT("'Sample Setup'!R34C"&amp;1+'Sample Setup'!$Q$5,0),AA202)&gt;0,1,IF(COUNTIF(INDIRECT("'Sample Setup'!R27C"&amp;1+'Sample Setup'!$O$6,0):INDIRECT("'Sample Setup'!R34C"&amp;1+'Sample Setup'!$Q$6,0),AA202)&gt;0,2,IF(COUNTIF(INDIRECT("'Sample Setup'!R27C"&amp;1+'Sample Setup'!$O$7,0):INDIRECT("'Sample Setup'!R34C"&amp;1+'Sample Setup'!$Q$7,0),AA202)&gt;0,3,NA()))),NA())</f>
        <v>1</v>
      </c>
    </row>
    <row r="203" spans="1:31" hidden="1" x14ac:dyDescent="0.25">
      <c r="A203" s="6" t="s">
        <v>219</v>
      </c>
      <c r="B203" s="21">
        <v>0.27200000000000002</v>
      </c>
      <c r="C203" s="21">
        <v>0.28199999999999997</v>
      </c>
      <c r="D203" s="21"/>
      <c r="E203" s="241"/>
      <c r="F203" s="21"/>
      <c r="G203" s="21"/>
      <c r="H203" s="21"/>
      <c r="I203" s="21"/>
      <c r="J203" s="21"/>
      <c r="K203" s="21"/>
      <c r="L203" s="21"/>
      <c r="M203" s="21"/>
      <c r="N203" s="21"/>
      <c r="O203" s="21"/>
      <c r="P203" s="21"/>
      <c r="Q203" s="21"/>
      <c r="R203" s="21"/>
      <c r="S203" s="21"/>
      <c r="T203" s="21"/>
      <c r="U203" s="21"/>
      <c r="V203" s="115">
        <f t="shared" si="70"/>
        <v>0.27700000000000002</v>
      </c>
      <c r="W203" s="115">
        <f t="shared" si="71"/>
        <v>7.0710678118654424E-3</v>
      </c>
      <c r="X203" s="116">
        <f t="shared" si="72"/>
        <v>2.5527320620452858E-2</v>
      </c>
      <c r="Y203" s="7">
        <f>COUNTIF('Sample Setup'!$B$27:$AW$34,Calculations!A203)</f>
        <v>2</v>
      </c>
      <c r="AA203" s="6" t="s">
        <v>219</v>
      </c>
      <c r="AB203" s="117">
        <f>SigConcAvg(B203:U203,Report!B104)</f>
        <v>39.002636547460021</v>
      </c>
      <c r="AC203" s="113">
        <f>SigConcDev(B203:U203,Report!B104)</f>
        <v>1.0224688589149216</v>
      </c>
      <c r="AD203" s="7">
        <f t="array" ref="AD203">SUM(IF(B203:U203&gt;HLOOKUP("Section "&amp;Report!$B104,$AL$76:$AN$83,8),0,IF(B203:U203&lt;HLOOKUP("Section "&amp;Report!$B104,$AL$76:$AN$83,7),0,1)))</f>
        <v>2</v>
      </c>
      <c r="AE203" s="114">
        <f ca="1">IF(BioScale_Internal!$N$28,IF(COUNTIF(INDIRECT("'Sample Setup'!R27C"&amp;1+'Sample Setup'!$O$5,0):INDIRECT("'Sample Setup'!R34C"&amp;1+'Sample Setup'!$Q$5,0),AA203)&gt;0,1,IF(COUNTIF(INDIRECT("'Sample Setup'!R27C"&amp;1+'Sample Setup'!$O$6,0):INDIRECT("'Sample Setup'!R34C"&amp;1+'Sample Setup'!$Q$6,0),AA203)&gt;0,2,IF(COUNTIF(INDIRECT("'Sample Setup'!R27C"&amp;1+'Sample Setup'!$O$7,0):INDIRECT("'Sample Setup'!R34C"&amp;1+'Sample Setup'!$Q$7,0),AA203)&gt;0,3,NA()))),NA())</f>
        <v>1</v>
      </c>
    </row>
    <row r="204" spans="1:31" hidden="1" x14ac:dyDescent="0.25">
      <c r="A204" s="6" t="s">
        <v>232</v>
      </c>
      <c r="B204" s="21">
        <v>0.251</v>
      </c>
      <c r="C204" s="21">
        <v>0.26100000000000001</v>
      </c>
      <c r="D204" s="21"/>
      <c r="E204" s="21"/>
      <c r="F204" s="21"/>
      <c r="G204" s="21"/>
      <c r="H204" s="21"/>
      <c r="I204" s="21"/>
      <c r="J204" s="21"/>
      <c r="K204" s="21"/>
      <c r="L204" s="21"/>
      <c r="M204" s="21"/>
      <c r="N204" s="21"/>
      <c r="O204" s="21"/>
      <c r="P204" s="21"/>
      <c r="Q204" s="21"/>
      <c r="R204" s="21"/>
      <c r="S204" s="21"/>
      <c r="T204" s="21"/>
      <c r="U204" s="21"/>
      <c r="V204" s="115">
        <f t="shared" si="70"/>
        <v>0.25600000000000001</v>
      </c>
      <c r="W204" s="115">
        <f t="shared" si="71"/>
        <v>7.0710678118654814E-3</v>
      </c>
      <c r="X204" s="116">
        <f t="shared" si="72"/>
        <v>2.7621358640099535E-2</v>
      </c>
      <c r="Y204" s="7">
        <f>COUNTIF('Sample Setup'!$B$27:$AW$34,Calculations!A204)</f>
        <v>2</v>
      </c>
      <c r="AA204" s="6" t="s">
        <v>232</v>
      </c>
      <c r="AB204" s="117">
        <f>SigConcAvg(B204:U204,Report!B105)</f>
        <v>35.966985432581879</v>
      </c>
      <c r="AC204" s="113">
        <f>SigConcDev(B204:U204,Report!B105)</f>
        <v>1.0218845651631261</v>
      </c>
      <c r="AD204" s="7">
        <f t="array" ref="AD204">SUM(IF(B204:U204&gt;HLOOKUP("Section "&amp;Report!$B105,$AL$76:$AN$83,8),0,IF(B204:U204&lt;HLOOKUP("Section "&amp;Report!$B105,$AL$76:$AN$83,7),0,1)))</f>
        <v>2</v>
      </c>
      <c r="AE204" s="114">
        <f ca="1">IF(BioScale_Internal!$N$28,IF(COUNTIF(INDIRECT("'Sample Setup'!R27C"&amp;1+'Sample Setup'!$O$5,0):INDIRECT("'Sample Setup'!R34C"&amp;1+'Sample Setup'!$Q$5,0),AA204)&gt;0,1,IF(COUNTIF(INDIRECT("'Sample Setup'!R27C"&amp;1+'Sample Setup'!$O$6,0):INDIRECT("'Sample Setup'!R34C"&amp;1+'Sample Setup'!$Q$6,0),AA204)&gt;0,2,IF(COUNTIF(INDIRECT("'Sample Setup'!R27C"&amp;1+'Sample Setup'!$O$7,0):INDIRECT("'Sample Setup'!R34C"&amp;1+'Sample Setup'!$Q$7,0),AA204)&gt;0,3,NA()))),NA())</f>
        <v>1</v>
      </c>
    </row>
    <row r="205" spans="1:31" hidden="1" x14ac:dyDescent="0.25">
      <c r="A205" s="6" t="s">
        <v>233</v>
      </c>
      <c r="B205" s="241">
        <v>0.26200000000000001</v>
      </c>
      <c r="C205" s="241">
        <v>0.26900000000000002</v>
      </c>
      <c r="D205" s="241"/>
      <c r="E205" s="21"/>
      <c r="F205" s="21"/>
      <c r="G205" s="21"/>
      <c r="H205" s="21"/>
      <c r="I205" s="21"/>
      <c r="J205" s="21"/>
      <c r="K205" s="21"/>
      <c r="L205" s="21"/>
      <c r="M205" s="21"/>
      <c r="N205" s="21"/>
      <c r="O205" s="21"/>
      <c r="P205" s="21"/>
      <c r="Q205" s="21"/>
      <c r="R205" s="21"/>
      <c r="S205" s="21"/>
      <c r="T205" s="21"/>
      <c r="U205" s="21"/>
      <c r="V205" s="115">
        <f t="shared" si="70"/>
        <v>0.26550000000000001</v>
      </c>
      <c r="W205" s="115">
        <f t="shared" si="71"/>
        <v>4.9497474683058368E-3</v>
      </c>
      <c r="X205" s="116">
        <f t="shared" si="72"/>
        <v>1.8643116641453246E-2</v>
      </c>
      <c r="Y205" s="7">
        <f>COUNTIF('Sample Setup'!$B$27:$AW$34,Calculations!A205)</f>
        <v>2</v>
      </c>
      <c r="AA205" s="6" t="s">
        <v>233</v>
      </c>
      <c r="AB205" s="117">
        <f>SigConcAvg(B205:U205,Report!B106)</f>
        <v>37.340018521932379</v>
      </c>
      <c r="AC205" s="113">
        <f>SigConcDev(B205:U205,Report!B106)</f>
        <v>0.71547649334826968</v>
      </c>
      <c r="AD205" s="7">
        <f t="array" ref="AD205">SUM(IF(B205:U205&gt;HLOOKUP("Section "&amp;Report!$B106,$AL$76:$AN$83,8),0,IF(B205:U205&lt;HLOOKUP("Section "&amp;Report!$B106,$AL$76:$AN$83,7),0,1)))</f>
        <v>2</v>
      </c>
      <c r="AE205" s="114">
        <f ca="1">IF(BioScale_Internal!$N$28,IF(COUNTIF(INDIRECT("'Sample Setup'!R27C"&amp;1+'Sample Setup'!$O$5,0):INDIRECT("'Sample Setup'!R34C"&amp;1+'Sample Setup'!$Q$5,0),AA205)&gt;0,1,IF(COUNTIF(INDIRECT("'Sample Setup'!R27C"&amp;1+'Sample Setup'!$O$6,0):INDIRECT("'Sample Setup'!R34C"&amp;1+'Sample Setup'!$Q$6,0),AA205)&gt;0,2,IF(COUNTIF(INDIRECT("'Sample Setup'!R27C"&amp;1+'Sample Setup'!$O$7,0):INDIRECT("'Sample Setup'!R34C"&amp;1+'Sample Setup'!$Q$7,0),AA205)&gt;0,3,NA()))),NA())</f>
        <v>1</v>
      </c>
    </row>
    <row r="206" spans="1:31" hidden="1" x14ac:dyDescent="0.25">
      <c r="A206" s="6" t="s">
        <v>234</v>
      </c>
      <c r="B206" s="241">
        <v>0.248</v>
      </c>
      <c r="C206" s="21">
        <v>0.26</v>
      </c>
      <c r="D206" s="21"/>
      <c r="E206" s="21"/>
      <c r="F206" s="21"/>
      <c r="G206" s="21"/>
      <c r="H206" s="21"/>
      <c r="I206" s="21"/>
      <c r="J206" s="21"/>
      <c r="K206" s="21"/>
      <c r="L206" s="21"/>
      <c r="M206" s="21"/>
      <c r="N206" s="21"/>
      <c r="O206" s="21"/>
      <c r="P206" s="21"/>
      <c r="Q206" s="21"/>
      <c r="R206" s="21"/>
      <c r="S206" s="21"/>
      <c r="T206" s="21"/>
      <c r="U206" s="21"/>
      <c r="V206" s="115">
        <f t="shared" si="70"/>
        <v>0.254</v>
      </c>
      <c r="W206" s="115">
        <f t="shared" si="71"/>
        <v>8.4852813742385784E-3</v>
      </c>
      <c r="X206" s="116">
        <f t="shared" si="72"/>
        <v>3.3406619583616452E-2</v>
      </c>
      <c r="Y206" s="7">
        <f>COUNTIF('Sample Setup'!$B$27:$AW$34,Calculations!A206)</f>
        <v>2</v>
      </c>
      <c r="AA206" s="6" t="s">
        <v>234</v>
      </c>
      <c r="AB206" s="117">
        <f>SigConcAvg(B206:U206,Report!B107)</f>
        <v>35.677971511230893</v>
      </c>
      <c r="AC206" s="113">
        <f>SigConcDev(B206:U206,Report!B107)</f>
        <v>1.2262158157611094</v>
      </c>
      <c r="AD206" s="7">
        <f t="array" ref="AD206">SUM(IF(B206:U206&gt;HLOOKUP("Section "&amp;Report!$B107,$AL$76:$AN$83,8),0,IF(B206:U206&lt;HLOOKUP("Section "&amp;Report!$B107,$AL$76:$AN$83,7),0,1)))</f>
        <v>2</v>
      </c>
      <c r="AE206" s="114">
        <f ca="1">IF(BioScale_Internal!$N$28,IF(COUNTIF(INDIRECT("'Sample Setup'!R27C"&amp;1+'Sample Setup'!$O$5,0):INDIRECT("'Sample Setup'!R34C"&amp;1+'Sample Setup'!$Q$5,0),AA206)&gt;0,1,IF(COUNTIF(INDIRECT("'Sample Setup'!R27C"&amp;1+'Sample Setup'!$O$6,0):INDIRECT("'Sample Setup'!R34C"&amp;1+'Sample Setup'!$Q$6,0),AA206)&gt;0,2,IF(COUNTIF(INDIRECT("'Sample Setup'!R27C"&amp;1+'Sample Setup'!$O$7,0):INDIRECT("'Sample Setup'!R34C"&amp;1+'Sample Setup'!$Q$7,0),AA206)&gt;0,3,NA()))),NA())</f>
        <v>1</v>
      </c>
    </row>
    <row r="207" spans="1:31" hidden="1" x14ac:dyDescent="0.25">
      <c r="A207" s="6" t="s">
        <v>235</v>
      </c>
      <c r="B207" s="21">
        <v>0.22900000000000001</v>
      </c>
      <c r="C207" s="21">
        <v>0.245</v>
      </c>
      <c r="D207" s="21"/>
      <c r="E207" s="241"/>
      <c r="F207" s="21"/>
      <c r="G207" s="21"/>
      <c r="H207" s="21"/>
      <c r="I207" s="21"/>
      <c r="J207" s="21"/>
      <c r="K207" s="21"/>
      <c r="L207" s="21"/>
      <c r="M207" s="21"/>
      <c r="N207" s="21"/>
      <c r="O207" s="21"/>
      <c r="P207" s="21"/>
      <c r="Q207" s="21"/>
      <c r="R207" s="21"/>
      <c r="S207" s="21"/>
      <c r="T207" s="21"/>
      <c r="U207" s="21"/>
      <c r="V207" s="115">
        <f t="shared" si="70"/>
        <v>0.23699999999999999</v>
      </c>
      <c r="W207" s="115">
        <f t="shared" si="71"/>
        <v>1.1313708498984752E-2</v>
      </c>
      <c r="X207" s="116">
        <f t="shared" si="72"/>
        <v>4.7737166662382917E-2</v>
      </c>
      <c r="Y207" s="7">
        <f>COUNTIF('Sample Setup'!$B$27:$AW$34,Calculations!A207)</f>
        <v>2</v>
      </c>
      <c r="AA207" s="6" t="s">
        <v>235</v>
      </c>
      <c r="AB207" s="117">
        <f>SigConcAvg(B207:U207,Report!B108)</f>
        <v>33.221578275851328</v>
      </c>
      <c r="AC207" s="113">
        <f>SigConcDev(B207:U207,Report!B108)</f>
        <v>1.6346163670515808</v>
      </c>
      <c r="AD207" s="7">
        <f t="array" ref="AD207">SUM(IF(B207:U207&gt;HLOOKUP("Section "&amp;Report!$B108,$AL$76:$AN$83,8),0,IF(B207:U207&lt;HLOOKUP("Section "&amp;Report!$B108,$AL$76:$AN$83,7),0,1)))</f>
        <v>2</v>
      </c>
      <c r="AE207" s="114">
        <f ca="1">IF(BioScale_Internal!$N$28,IF(COUNTIF(INDIRECT("'Sample Setup'!R27C"&amp;1+'Sample Setup'!$O$5,0):INDIRECT("'Sample Setup'!R34C"&amp;1+'Sample Setup'!$Q$5,0),AA207)&gt;0,1,IF(COUNTIF(INDIRECT("'Sample Setup'!R27C"&amp;1+'Sample Setup'!$O$6,0):INDIRECT("'Sample Setup'!R34C"&amp;1+'Sample Setup'!$Q$6,0),AA207)&gt;0,2,IF(COUNTIF(INDIRECT("'Sample Setup'!R27C"&amp;1+'Sample Setup'!$O$7,0):INDIRECT("'Sample Setup'!R34C"&amp;1+'Sample Setup'!$Q$7,0),AA207)&gt;0,3,NA()))),NA())</f>
        <v>1</v>
      </c>
    </row>
    <row r="208" spans="1:31" hidden="1" x14ac:dyDescent="0.25">
      <c r="A208" s="6" t="s">
        <v>236</v>
      </c>
      <c r="B208" s="241">
        <v>0.249</v>
      </c>
      <c r="C208" s="241">
        <v>0.25800000000000001</v>
      </c>
      <c r="D208" s="21"/>
      <c r="E208" s="21"/>
      <c r="F208" s="21"/>
      <c r="G208" s="21"/>
      <c r="H208" s="21"/>
      <c r="I208" s="21"/>
      <c r="J208" s="21"/>
      <c r="K208" s="21"/>
      <c r="L208" s="21"/>
      <c r="M208" s="21"/>
      <c r="N208" s="21"/>
      <c r="O208" s="21"/>
      <c r="P208" s="21"/>
      <c r="Q208" s="21"/>
      <c r="R208" s="21"/>
      <c r="S208" s="21"/>
      <c r="T208" s="21"/>
      <c r="U208" s="21"/>
      <c r="V208" s="115">
        <f t="shared" si="70"/>
        <v>0.2535</v>
      </c>
      <c r="W208" s="115">
        <f t="shared" si="71"/>
        <v>6.3639610306789329E-3</v>
      </c>
      <c r="X208" s="116">
        <f t="shared" si="72"/>
        <v>2.510438276401946E-2</v>
      </c>
      <c r="Y208" s="7">
        <f>COUNTIF('Sample Setup'!$B$27:$AW$34,Calculations!A208)</f>
        <v>2</v>
      </c>
      <c r="AA208" s="6" t="s">
        <v>236</v>
      </c>
      <c r="AB208" s="117">
        <f>SigConcAvg(B208:U208,Report!B109)</f>
        <v>35.605695050041106</v>
      </c>
      <c r="AC208" s="113">
        <f>SigConcDev(B208:U208,Report!B109)</f>
        <v>0.91965168886844739</v>
      </c>
      <c r="AD208" s="7">
        <f t="array" ref="AD208">SUM(IF(B208:U208&gt;HLOOKUP("Section "&amp;Report!$B109,$AL$76:$AN$83,8),0,IF(B208:U208&lt;HLOOKUP("Section "&amp;Report!$B109,$AL$76:$AN$83,7),0,1)))</f>
        <v>2</v>
      </c>
      <c r="AE208" s="114">
        <f ca="1">IF(BioScale_Internal!$N$28,IF(COUNTIF(INDIRECT("'Sample Setup'!R27C"&amp;1+'Sample Setup'!$O$5,0):INDIRECT("'Sample Setup'!R34C"&amp;1+'Sample Setup'!$Q$5,0),AA208)&gt;0,1,IF(COUNTIF(INDIRECT("'Sample Setup'!R27C"&amp;1+'Sample Setup'!$O$6,0):INDIRECT("'Sample Setup'!R34C"&amp;1+'Sample Setup'!$Q$6,0),AA208)&gt;0,2,IF(COUNTIF(INDIRECT("'Sample Setup'!R27C"&amp;1+'Sample Setup'!$O$7,0):INDIRECT("'Sample Setup'!R34C"&amp;1+'Sample Setup'!$Q$7,0),AA208)&gt;0,3,NA()))),NA())</f>
        <v>1</v>
      </c>
    </row>
    <row r="209" spans="1:31" hidden="1" x14ac:dyDescent="0.25">
      <c r="A209" s="6" t="s">
        <v>237</v>
      </c>
      <c r="B209" s="21">
        <v>0.29699999999999999</v>
      </c>
      <c r="C209" s="21">
        <v>0.29499999999999998</v>
      </c>
      <c r="D209" s="21"/>
      <c r="E209" s="21"/>
      <c r="F209" s="21"/>
      <c r="G209" s="21"/>
      <c r="H209" s="21"/>
      <c r="I209" s="21"/>
      <c r="J209" s="21"/>
      <c r="K209" s="21"/>
      <c r="L209" s="21"/>
      <c r="M209" s="21"/>
      <c r="N209" s="21"/>
      <c r="O209" s="21"/>
      <c r="P209" s="21"/>
      <c r="Q209" s="21"/>
      <c r="R209" s="21"/>
      <c r="S209" s="21"/>
      <c r="T209" s="21"/>
      <c r="U209" s="21"/>
      <c r="V209" s="115">
        <f t="shared" si="70"/>
        <v>0.29599999999999999</v>
      </c>
      <c r="W209" s="115">
        <f t="shared" si="71"/>
        <v>1.4142135623730963E-3</v>
      </c>
      <c r="X209" s="116">
        <f t="shared" si="72"/>
        <v>4.777748521530731E-3</v>
      </c>
      <c r="Y209" s="7">
        <f>COUNTIF('Sample Setup'!$B$27:$AW$34,Calculations!A209)</f>
        <v>2</v>
      </c>
      <c r="AA209" s="6" t="s">
        <v>237</v>
      </c>
      <c r="AB209" s="117">
        <f>SigConcAvg(B209:U209,Report!B110)</f>
        <v>41.750952992609228</v>
      </c>
      <c r="AC209" s="113">
        <f>SigConcDev(B209:U209,Report!B110)</f>
        <v>0.20465043686087783</v>
      </c>
      <c r="AD209" s="7">
        <f t="array" ref="AD209">SUM(IF(B209:U209&gt;HLOOKUP("Section "&amp;Report!$B110,$AL$76:$AN$83,8),0,IF(B209:U209&lt;HLOOKUP("Section "&amp;Report!$B110,$AL$76:$AN$83,7),0,1)))</f>
        <v>2</v>
      </c>
      <c r="AE209" s="114">
        <f ca="1">IF(BioScale_Internal!$N$28,IF(COUNTIF(INDIRECT("'Sample Setup'!R27C"&amp;1+'Sample Setup'!$O$5,0):INDIRECT("'Sample Setup'!R34C"&amp;1+'Sample Setup'!$Q$5,0),AA209)&gt;0,1,IF(COUNTIF(INDIRECT("'Sample Setup'!R27C"&amp;1+'Sample Setup'!$O$6,0):INDIRECT("'Sample Setup'!R34C"&amp;1+'Sample Setup'!$Q$6,0),AA209)&gt;0,2,IF(COUNTIF(INDIRECT("'Sample Setup'!R27C"&amp;1+'Sample Setup'!$O$7,0):INDIRECT("'Sample Setup'!R34C"&amp;1+'Sample Setup'!$Q$7,0),AA209)&gt;0,3,NA()))),NA())</f>
        <v>1</v>
      </c>
    </row>
    <row r="210" spans="1:31" hidden="1" x14ac:dyDescent="0.25">
      <c r="A210" s="6" t="s">
        <v>238</v>
      </c>
      <c r="B210" s="21">
        <v>0.28299999999999997</v>
      </c>
      <c r="C210" s="21">
        <v>0.27700000000000002</v>
      </c>
      <c r="D210" s="241"/>
      <c r="E210" s="241"/>
      <c r="F210" s="21"/>
      <c r="G210" s="21"/>
      <c r="H210" s="21"/>
      <c r="I210" s="21"/>
      <c r="J210" s="21"/>
      <c r="K210" s="21"/>
      <c r="L210" s="21"/>
      <c r="M210" s="21"/>
      <c r="N210" s="21"/>
      <c r="O210" s="21"/>
      <c r="P210" s="21"/>
      <c r="Q210" s="21"/>
      <c r="R210" s="21"/>
      <c r="S210" s="21"/>
      <c r="T210" s="21"/>
      <c r="U210" s="21"/>
      <c r="V210" s="115">
        <f t="shared" si="70"/>
        <v>0.28000000000000003</v>
      </c>
      <c r="W210" s="115">
        <f t="shared" si="71"/>
        <v>4.2426406871192493E-3</v>
      </c>
      <c r="X210" s="116">
        <f t="shared" si="72"/>
        <v>1.5152288168283031E-2</v>
      </c>
      <c r="Y210" s="7">
        <f>COUNTIF('Sample Setup'!$B$27:$AW$34,Calculations!A210)</f>
        <v>2</v>
      </c>
      <c r="AA210" s="6" t="s">
        <v>238</v>
      </c>
      <c r="AB210" s="117">
        <f>SigConcAvg(B210:U210,Report!B111)</f>
        <v>39.43641651036468</v>
      </c>
      <c r="AC210" s="113">
        <f>SigConcDev(B210:U210,Report!B111)</f>
        <v>0.61354517704259293</v>
      </c>
      <c r="AD210" s="7">
        <f t="array" ref="AD210">SUM(IF(B210:U210&gt;HLOOKUP("Section "&amp;Report!$B111,$AL$76:$AN$83,8),0,IF(B210:U210&lt;HLOOKUP("Section "&amp;Report!$B111,$AL$76:$AN$83,7),0,1)))</f>
        <v>2</v>
      </c>
      <c r="AE210" s="114">
        <f ca="1">IF(BioScale_Internal!$N$28,IF(COUNTIF(INDIRECT("'Sample Setup'!R27C"&amp;1+'Sample Setup'!$O$5,0):INDIRECT("'Sample Setup'!R34C"&amp;1+'Sample Setup'!$Q$5,0),AA210)&gt;0,1,IF(COUNTIF(INDIRECT("'Sample Setup'!R27C"&amp;1+'Sample Setup'!$O$6,0):INDIRECT("'Sample Setup'!R34C"&amp;1+'Sample Setup'!$Q$6,0),AA210)&gt;0,2,IF(COUNTIF(INDIRECT("'Sample Setup'!R27C"&amp;1+'Sample Setup'!$O$7,0):INDIRECT("'Sample Setup'!R34C"&amp;1+'Sample Setup'!$Q$7,0),AA210)&gt;0,3,NA()))),NA())</f>
        <v>1</v>
      </c>
    </row>
    <row r="211" spans="1:31" hidden="1" x14ac:dyDescent="0.25">
      <c r="A211" s="6" t="s">
        <v>239</v>
      </c>
      <c r="B211" s="241">
        <v>0.27</v>
      </c>
      <c r="C211" s="21">
        <v>0.26500000000000001</v>
      </c>
      <c r="D211" s="241"/>
      <c r="E211" s="21"/>
      <c r="F211" s="21"/>
      <c r="G211" s="21"/>
      <c r="H211" s="21"/>
      <c r="I211" s="21"/>
      <c r="J211" s="21"/>
      <c r="K211" s="21"/>
      <c r="L211" s="21"/>
      <c r="M211" s="21"/>
      <c r="N211" s="21"/>
      <c r="O211" s="21"/>
      <c r="P211" s="21"/>
      <c r="Q211" s="21"/>
      <c r="R211" s="21"/>
      <c r="S211" s="21"/>
      <c r="T211" s="21"/>
      <c r="U211" s="21"/>
      <c r="V211" s="115">
        <f t="shared" si="70"/>
        <v>0.26750000000000002</v>
      </c>
      <c r="W211" s="115">
        <f t="shared" si="71"/>
        <v>3.5355339059327407E-3</v>
      </c>
      <c r="X211" s="116">
        <f t="shared" si="72"/>
        <v>1.3216949181056974E-2</v>
      </c>
      <c r="Y211" s="7">
        <f>COUNTIF('Sample Setup'!$B$27:$AW$34,Calculations!A211)</f>
        <v>2</v>
      </c>
      <c r="AA211" s="6" t="s">
        <v>239</v>
      </c>
      <c r="AB211" s="117">
        <f>SigConcAvg(B211:U211,Report!B112)</f>
        <v>37.629111184054203</v>
      </c>
      <c r="AC211" s="113">
        <f>SigConcDev(B211:U211,Report!B112)</f>
        <v>0.51108216018600372</v>
      </c>
      <c r="AD211" s="7">
        <f t="array" ref="AD211">SUM(IF(B211:U211&gt;HLOOKUP("Section "&amp;Report!$B112,$AL$76:$AN$83,8),0,IF(B211:U211&lt;HLOOKUP("Section "&amp;Report!$B112,$AL$76:$AN$83,7),0,1)))</f>
        <v>2</v>
      </c>
      <c r="AE211" s="114">
        <f ca="1">IF(BioScale_Internal!$N$28,IF(COUNTIF(INDIRECT("'Sample Setup'!R27C"&amp;1+'Sample Setup'!$O$5,0):INDIRECT("'Sample Setup'!R34C"&amp;1+'Sample Setup'!$Q$5,0),AA211)&gt;0,1,IF(COUNTIF(INDIRECT("'Sample Setup'!R27C"&amp;1+'Sample Setup'!$O$6,0):INDIRECT("'Sample Setup'!R34C"&amp;1+'Sample Setup'!$Q$6,0),AA211)&gt;0,2,IF(COUNTIF(INDIRECT("'Sample Setup'!R27C"&amp;1+'Sample Setup'!$O$7,0):INDIRECT("'Sample Setup'!R34C"&amp;1+'Sample Setup'!$Q$7,0),AA211)&gt;0,3,NA()))),NA())</f>
        <v>1</v>
      </c>
    </row>
    <row r="212" spans="1:31" hidden="1" x14ac:dyDescent="0.25">
      <c r="A212" s="6" t="s">
        <v>240</v>
      </c>
      <c r="B212" s="21">
        <v>0.27800000000000002</v>
      </c>
      <c r="C212" s="21">
        <v>0.26200000000000001</v>
      </c>
      <c r="D212" s="241"/>
      <c r="E212" s="21"/>
      <c r="F212" s="21"/>
      <c r="G212" s="21"/>
      <c r="H212" s="21"/>
      <c r="I212" s="21"/>
      <c r="J212" s="21"/>
      <c r="K212" s="21"/>
      <c r="L212" s="21"/>
      <c r="M212" s="21"/>
      <c r="N212" s="21"/>
      <c r="O212" s="21"/>
      <c r="P212" s="21"/>
      <c r="Q212" s="21"/>
      <c r="R212" s="21"/>
      <c r="S212" s="21"/>
      <c r="T212" s="21"/>
      <c r="U212" s="21"/>
      <c r="V212" s="115">
        <f t="shared" si="70"/>
        <v>0.27</v>
      </c>
      <c r="W212" s="115">
        <f t="shared" si="71"/>
        <v>1.1313708498984771E-2</v>
      </c>
      <c r="X212" s="116">
        <f t="shared" si="72"/>
        <v>4.1902624070313962E-2</v>
      </c>
      <c r="Y212" s="7">
        <f>COUNTIF('Sample Setup'!$B$27:$AW$34,Calculations!A212)</f>
        <v>2</v>
      </c>
      <c r="AA212" s="6" t="s">
        <v>240</v>
      </c>
      <c r="AB212" s="117">
        <f>SigConcAvg(B212:U212,Report!B113)</f>
        <v>37.990637913923877</v>
      </c>
      <c r="AC212" s="113">
        <f>SigConcDev(B212:U212,Report!B113)</f>
        <v>1.6355912614455779</v>
      </c>
      <c r="AD212" s="7">
        <f t="array" ref="AD212">SUM(IF(B212:U212&gt;HLOOKUP("Section "&amp;Report!$B113,$AL$76:$AN$83,8),0,IF(B212:U212&lt;HLOOKUP("Section "&amp;Report!$B113,$AL$76:$AN$83,7),0,1)))</f>
        <v>2</v>
      </c>
      <c r="AE212" s="114">
        <f ca="1">IF(BioScale_Internal!$N$28,IF(COUNTIF(INDIRECT("'Sample Setup'!R27C"&amp;1+'Sample Setup'!$O$5,0):INDIRECT("'Sample Setup'!R34C"&amp;1+'Sample Setup'!$Q$5,0),AA212)&gt;0,1,IF(COUNTIF(INDIRECT("'Sample Setup'!R27C"&amp;1+'Sample Setup'!$O$6,0):INDIRECT("'Sample Setup'!R34C"&amp;1+'Sample Setup'!$Q$6,0),AA212)&gt;0,2,IF(COUNTIF(INDIRECT("'Sample Setup'!R27C"&amp;1+'Sample Setup'!$O$7,0):INDIRECT("'Sample Setup'!R34C"&amp;1+'Sample Setup'!$Q$7,0),AA212)&gt;0,3,NA()))),NA())</f>
        <v>1</v>
      </c>
    </row>
    <row r="213" spans="1:31" hidden="1" x14ac:dyDescent="0.25">
      <c r="A213" s="6" t="s">
        <v>241</v>
      </c>
      <c r="B213" s="21">
        <v>0.372</v>
      </c>
      <c r="C213" s="21">
        <v>0.26500000000000001</v>
      </c>
      <c r="D213" s="241"/>
      <c r="E213" s="241"/>
      <c r="F213" s="21"/>
      <c r="G213" s="21"/>
      <c r="H213" s="21"/>
      <c r="I213" s="21"/>
      <c r="J213" s="21"/>
      <c r="K213" s="21"/>
      <c r="L213" s="21"/>
      <c r="M213" s="21"/>
      <c r="N213" s="21"/>
      <c r="O213" s="21"/>
      <c r="P213" s="21"/>
      <c r="Q213" s="21"/>
      <c r="R213" s="21"/>
      <c r="S213" s="21"/>
      <c r="T213" s="21"/>
      <c r="U213" s="21"/>
      <c r="V213" s="115">
        <f t="shared" si="70"/>
        <v>0.31850000000000001</v>
      </c>
      <c r="W213" s="115">
        <f t="shared" si="71"/>
        <v>7.566042558696072E-2</v>
      </c>
      <c r="X213" s="116">
        <f t="shared" si="72"/>
        <v>0.23755235663095986</v>
      </c>
      <c r="Y213" s="7">
        <f>COUNTIF('Sample Setup'!$B$27:$AW$34,Calculations!A213)</f>
        <v>2</v>
      </c>
      <c r="AA213" s="6" t="s">
        <v>241</v>
      </c>
      <c r="AB213" s="117">
        <f>SigConcAvg(B213:U213,Report!B114)</f>
        <v>45.021206015089085</v>
      </c>
      <c r="AC213" s="113">
        <f>SigConcDev(B213:U213,Report!B114)</f>
        <v>10.965082924583582</v>
      </c>
      <c r="AD213" s="7">
        <f t="array" ref="AD213">SUM(IF(B213:U213&gt;HLOOKUP("Section "&amp;Report!$B114,$AL$76:$AN$83,8),0,IF(B213:U213&lt;HLOOKUP("Section "&amp;Report!$B114,$AL$76:$AN$83,7),0,1)))</f>
        <v>2</v>
      </c>
      <c r="AE213" s="114">
        <f ca="1">IF(BioScale_Internal!$N$28,IF(COUNTIF(INDIRECT("'Sample Setup'!R27C"&amp;1+'Sample Setup'!$O$5,0):INDIRECT("'Sample Setup'!R34C"&amp;1+'Sample Setup'!$Q$5,0),AA213)&gt;0,1,IF(COUNTIF(INDIRECT("'Sample Setup'!R27C"&amp;1+'Sample Setup'!$O$6,0):INDIRECT("'Sample Setup'!R34C"&amp;1+'Sample Setup'!$Q$6,0),AA213)&gt;0,2,IF(COUNTIF(INDIRECT("'Sample Setup'!R27C"&amp;1+'Sample Setup'!$O$7,0):INDIRECT("'Sample Setup'!R34C"&amp;1+'Sample Setup'!$Q$7,0),AA213)&gt;0,3,NA()))),NA())</f>
        <v>1</v>
      </c>
    </row>
    <row r="214" spans="1:31" hidden="1" x14ac:dyDescent="0.25">
      <c r="A214" s="6" t="s">
        <v>242</v>
      </c>
      <c r="B214" s="21">
        <v>0.27100000000000002</v>
      </c>
      <c r="C214" s="241">
        <v>0.26100000000000001</v>
      </c>
      <c r="D214" s="21"/>
      <c r="E214" s="21"/>
      <c r="F214" s="21"/>
      <c r="G214" s="21"/>
      <c r="H214" s="21"/>
      <c r="I214" s="21"/>
      <c r="J214" s="21"/>
      <c r="K214" s="21"/>
      <c r="L214" s="21"/>
      <c r="M214" s="21"/>
      <c r="N214" s="21"/>
      <c r="O214" s="21"/>
      <c r="P214" s="21"/>
      <c r="Q214" s="21"/>
      <c r="R214" s="21"/>
      <c r="S214" s="21"/>
      <c r="T214" s="21"/>
      <c r="U214" s="21"/>
      <c r="V214" s="115">
        <f t="shared" si="70"/>
        <v>0.26600000000000001</v>
      </c>
      <c r="W214" s="115">
        <f t="shared" si="71"/>
        <v>7.0710678118654814E-3</v>
      </c>
      <c r="X214" s="116">
        <f t="shared" si="72"/>
        <v>2.658296169874241E-2</v>
      </c>
      <c r="Y214" s="7">
        <f>COUNTIF('Sample Setup'!$B$27:$AW$34,Calculations!A214)</f>
        <v>2</v>
      </c>
      <c r="AA214" s="6" t="s">
        <v>242</v>
      </c>
      <c r="AB214" s="117">
        <f>SigConcAvg(B214:U214,Report!B115)</f>
        <v>37.412318055782862</v>
      </c>
      <c r="AC214" s="113">
        <f>SigConcDev(B214:U214,Report!B115)</f>
        <v>1.0221244327079813</v>
      </c>
      <c r="AD214" s="7">
        <f t="array" ref="AD214">SUM(IF(B214:U214&gt;HLOOKUP("Section "&amp;Report!$B115,$AL$76:$AN$83,8),0,IF(B214:U214&lt;HLOOKUP("Section "&amp;Report!$B115,$AL$76:$AN$83,7),0,1)))</f>
        <v>2</v>
      </c>
      <c r="AE214" s="114">
        <f ca="1">IF(BioScale_Internal!$N$28,IF(COUNTIF(INDIRECT("'Sample Setup'!R27C"&amp;1+'Sample Setup'!$O$5,0):INDIRECT("'Sample Setup'!R34C"&amp;1+'Sample Setup'!$Q$5,0),AA214)&gt;0,1,IF(COUNTIF(INDIRECT("'Sample Setup'!R27C"&amp;1+'Sample Setup'!$O$6,0):INDIRECT("'Sample Setup'!R34C"&amp;1+'Sample Setup'!$Q$6,0),AA214)&gt;0,2,IF(COUNTIF(INDIRECT("'Sample Setup'!R27C"&amp;1+'Sample Setup'!$O$7,0):INDIRECT("'Sample Setup'!R34C"&amp;1+'Sample Setup'!$Q$7,0),AA214)&gt;0,3,NA()))),NA())</f>
        <v>1</v>
      </c>
    </row>
    <row r="215" spans="1:31" hidden="1" x14ac:dyDescent="0.25">
      <c r="A215" s="6" t="s">
        <v>243</v>
      </c>
      <c r="B215" s="21">
        <v>0.53600000000000003</v>
      </c>
      <c r="C215" s="241">
        <v>0.53800000000000003</v>
      </c>
      <c r="D215" s="21"/>
      <c r="E215" s="241"/>
      <c r="F215" s="21"/>
      <c r="G215" s="21"/>
      <c r="H215" s="21"/>
      <c r="I215" s="21"/>
      <c r="J215" s="21"/>
      <c r="K215" s="21"/>
      <c r="L215" s="21"/>
      <c r="M215" s="21"/>
      <c r="N215" s="21"/>
      <c r="O215" s="21"/>
      <c r="P215" s="21"/>
      <c r="Q215" s="21"/>
      <c r="R215" s="21"/>
      <c r="S215" s="21"/>
      <c r="T215" s="21"/>
      <c r="U215" s="21"/>
      <c r="V215" s="115">
        <f t="shared" si="70"/>
        <v>0.53700000000000003</v>
      </c>
      <c r="W215" s="115">
        <f t="shared" si="71"/>
        <v>1.4142135623730963E-3</v>
      </c>
      <c r="X215" s="116">
        <f t="shared" si="72"/>
        <v>2.6335448088884474E-3</v>
      </c>
      <c r="Y215" s="7">
        <f>COUNTIF('Sample Setup'!$B$27:$AW$34,Calculations!A215)</f>
        <v>2</v>
      </c>
      <c r="AA215" s="6" t="s">
        <v>243</v>
      </c>
      <c r="AB215" s="117">
        <f>SigConcAvg(B215:U215,Report!B116)</f>
        <v>77.014079287240477</v>
      </c>
      <c r="AC215" s="113">
        <f>SigConcDev(B215:U215,Report!B116)</f>
        <v>0.21027389747889924</v>
      </c>
      <c r="AD215" s="7">
        <f t="array" ref="AD215">SUM(IF(B215:U215&gt;HLOOKUP("Section "&amp;Report!$B116,$AL$76:$AN$83,8),0,IF(B215:U215&lt;HLOOKUP("Section "&amp;Report!$B116,$AL$76:$AN$83,7),0,1)))</f>
        <v>2</v>
      </c>
      <c r="AE215" s="114">
        <f ca="1">IF(BioScale_Internal!$N$28,IF(COUNTIF(INDIRECT("'Sample Setup'!R27C"&amp;1+'Sample Setup'!$O$5,0):INDIRECT("'Sample Setup'!R34C"&amp;1+'Sample Setup'!$Q$5,0),AA215)&gt;0,1,IF(COUNTIF(INDIRECT("'Sample Setup'!R27C"&amp;1+'Sample Setup'!$O$6,0):INDIRECT("'Sample Setup'!R34C"&amp;1+'Sample Setup'!$Q$6,0),AA215)&gt;0,2,IF(COUNTIF(INDIRECT("'Sample Setup'!R27C"&amp;1+'Sample Setup'!$O$7,0):INDIRECT("'Sample Setup'!R34C"&amp;1+'Sample Setup'!$Q$7,0),AA215)&gt;0,3,NA()))),NA())</f>
        <v>1</v>
      </c>
    </row>
    <row r="216" spans="1:31" hidden="1" x14ac:dyDescent="0.25">
      <c r="A216" s="6" t="s">
        <v>244</v>
      </c>
      <c r="B216" s="241">
        <v>0.57499999999999996</v>
      </c>
      <c r="C216" s="241">
        <v>0.56000000000000005</v>
      </c>
      <c r="D216" s="21"/>
      <c r="E216" s="21"/>
      <c r="F216" s="21"/>
      <c r="G216" s="21"/>
      <c r="H216" s="21"/>
      <c r="I216" s="21"/>
      <c r="J216" s="21"/>
      <c r="K216" s="21"/>
      <c r="L216" s="21"/>
      <c r="M216" s="21"/>
      <c r="N216" s="21"/>
      <c r="O216" s="21"/>
      <c r="P216" s="21"/>
      <c r="Q216" s="21"/>
      <c r="R216" s="21"/>
      <c r="S216" s="21"/>
      <c r="T216" s="21"/>
      <c r="U216" s="21"/>
      <c r="V216" s="115">
        <f t="shared" si="70"/>
        <v>0.5675</v>
      </c>
      <c r="W216" s="115">
        <f t="shared" si="71"/>
        <v>1.0606601717798144E-2</v>
      </c>
      <c r="X216" s="116">
        <f t="shared" si="72"/>
        <v>1.869004707982052E-2</v>
      </c>
      <c r="Y216" s="7">
        <f>COUNTIF('Sample Setup'!$B$27:$AW$34,Calculations!A216)</f>
        <v>2</v>
      </c>
      <c r="AA216" s="6" t="s">
        <v>244</v>
      </c>
      <c r="AB216" s="117">
        <f>SigConcAvg(B216:U216,Report!B117)</f>
        <v>81.562114307151887</v>
      </c>
      <c r="AC216" s="113">
        <f>SigConcDev(B216:U216,Report!B117)</f>
        <v>1.5857646460789199</v>
      </c>
      <c r="AD216" s="7">
        <f t="array" ref="AD216">SUM(IF(B216:U216&gt;HLOOKUP("Section "&amp;Report!$B117,$AL$76:$AN$83,8),0,IF(B216:U216&lt;HLOOKUP("Section "&amp;Report!$B117,$AL$76:$AN$83,7),0,1)))</f>
        <v>2</v>
      </c>
      <c r="AE216" s="114">
        <f ca="1">IF(BioScale_Internal!$N$28,IF(COUNTIF(INDIRECT("'Sample Setup'!R27C"&amp;1+'Sample Setup'!$O$5,0):INDIRECT("'Sample Setup'!R34C"&amp;1+'Sample Setup'!$Q$5,0),AA216)&gt;0,1,IF(COUNTIF(INDIRECT("'Sample Setup'!R27C"&amp;1+'Sample Setup'!$O$6,0):INDIRECT("'Sample Setup'!R34C"&amp;1+'Sample Setup'!$Q$6,0),AA216)&gt;0,2,IF(COUNTIF(INDIRECT("'Sample Setup'!R27C"&amp;1+'Sample Setup'!$O$7,0):INDIRECT("'Sample Setup'!R34C"&amp;1+'Sample Setup'!$Q$7,0),AA216)&gt;0,3,NA()))),NA())</f>
        <v>1</v>
      </c>
    </row>
    <row r="217" spans="1:31" hidden="1" x14ac:dyDescent="0.25">
      <c r="A217" s="6" t="s">
        <v>245</v>
      </c>
      <c r="B217" s="241">
        <v>0.64500000000000002</v>
      </c>
      <c r="C217" s="21">
        <v>0.69299999999999995</v>
      </c>
      <c r="D217" s="241"/>
      <c r="E217" s="21"/>
      <c r="F217" s="21"/>
      <c r="G217" s="21"/>
      <c r="H217" s="21"/>
      <c r="I217" s="21"/>
      <c r="J217" s="21"/>
      <c r="K217" s="21"/>
      <c r="L217" s="21"/>
      <c r="M217" s="21"/>
      <c r="N217" s="21"/>
      <c r="O217" s="21"/>
      <c r="P217" s="21"/>
      <c r="Q217" s="21"/>
      <c r="R217" s="21"/>
      <c r="S217" s="21"/>
      <c r="T217" s="21"/>
      <c r="U217" s="21"/>
      <c r="V217" s="115">
        <f t="shared" si="70"/>
        <v>0.66900000000000004</v>
      </c>
      <c r="W217" s="115">
        <f t="shared" si="71"/>
        <v>3.394112549695423E-2</v>
      </c>
      <c r="X217" s="116">
        <f t="shared" si="72"/>
        <v>5.0734118829527997E-2</v>
      </c>
      <c r="Y217" s="7">
        <f>COUNTIF('Sample Setup'!$B$27:$AW$34,Calculations!A217)</f>
        <v>2</v>
      </c>
      <c r="AA217" s="6" t="s">
        <v>245</v>
      </c>
      <c r="AB217" s="117">
        <f>SigConcAvg(B217:U217,Report!B118)</f>
        <v>96.904705681010796</v>
      </c>
      <c r="AC217" s="113">
        <f>SigConcDev(B217:U217,Report!B118)</f>
        <v>5.1849897543323413</v>
      </c>
      <c r="AD217" s="7">
        <f t="array" ref="AD217">SUM(IF(B217:U217&gt;HLOOKUP("Section "&amp;Report!$B118,$AL$76:$AN$83,8),0,IF(B217:U217&lt;HLOOKUP("Section "&amp;Report!$B118,$AL$76:$AN$83,7),0,1)))</f>
        <v>2</v>
      </c>
      <c r="AE217" s="114">
        <f ca="1">IF(BioScale_Internal!$N$28,IF(COUNTIF(INDIRECT("'Sample Setup'!R27C"&amp;1+'Sample Setup'!$O$5,0):INDIRECT("'Sample Setup'!R34C"&amp;1+'Sample Setup'!$Q$5,0),AA217)&gt;0,1,IF(COUNTIF(INDIRECT("'Sample Setup'!R27C"&amp;1+'Sample Setup'!$O$6,0):INDIRECT("'Sample Setup'!R34C"&amp;1+'Sample Setup'!$Q$6,0),AA217)&gt;0,2,IF(COUNTIF(INDIRECT("'Sample Setup'!R27C"&amp;1+'Sample Setup'!$O$7,0):INDIRECT("'Sample Setup'!R34C"&amp;1+'Sample Setup'!$Q$7,0),AA217)&gt;0,3,NA()))),NA())</f>
        <v>1</v>
      </c>
    </row>
    <row r="218" spans="1:31" hidden="1" x14ac:dyDescent="0.25">
      <c r="A218" s="6" t="s">
        <v>246</v>
      </c>
      <c r="B218" s="21">
        <v>0.60299999999999998</v>
      </c>
      <c r="C218" s="241">
        <v>0.64500000000000002</v>
      </c>
      <c r="D218" s="241"/>
      <c r="E218" s="241"/>
      <c r="F218" s="21"/>
      <c r="G218" s="21"/>
      <c r="H218" s="21"/>
      <c r="I218" s="21"/>
      <c r="J218" s="21"/>
      <c r="K218" s="21"/>
      <c r="L218" s="21"/>
      <c r="M218" s="21"/>
      <c r="N218" s="21"/>
      <c r="O218" s="21"/>
      <c r="P218" s="21"/>
      <c r="Q218" s="21"/>
      <c r="R218" s="21"/>
      <c r="S218" s="21"/>
      <c r="T218" s="21"/>
      <c r="U218" s="21"/>
      <c r="V218" s="115">
        <f t="shared" si="70"/>
        <v>0.624</v>
      </c>
      <c r="W218" s="115">
        <f t="shared" si="71"/>
        <v>2.9698484809835023E-2</v>
      </c>
      <c r="X218" s="116">
        <f t="shared" si="72"/>
        <v>4.7593725656786892E-2</v>
      </c>
      <c r="Y218" s="7">
        <f>COUNTIF('Sample Setup'!$B$27:$AW$34,Calculations!A218)</f>
        <v>2</v>
      </c>
      <c r="AA218" s="6" t="s">
        <v>246</v>
      </c>
      <c r="AB218" s="117">
        <f>SigConcAvg(B218:U218,Report!B119)</f>
        <v>90.062715775517347</v>
      </c>
      <c r="AC218" s="113">
        <f>SigConcDev(B218:U218,Report!B119)</f>
        <v>4.4910451636363051</v>
      </c>
      <c r="AD218" s="7">
        <f t="array" ref="AD218">SUM(IF(B218:U218&gt;HLOOKUP("Section "&amp;Report!$B119,$AL$76:$AN$83,8),0,IF(B218:U218&lt;HLOOKUP("Section "&amp;Report!$B119,$AL$76:$AN$83,7),0,1)))</f>
        <v>2</v>
      </c>
      <c r="AE218" s="114">
        <f ca="1">IF(BioScale_Internal!$N$28,IF(COUNTIF(INDIRECT("'Sample Setup'!R27C"&amp;1+'Sample Setup'!$O$5,0):INDIRECT("'Sample Setup'!R34C"&amp;1+'Sample Setup'!$Q$5,0),AA218)&gt;0,1,IF(COUNTIF(INDIRECT("'Sample Setup'!R27C"&amp;1+'Sample Setup'!$O$6,0):INDIRECT("'Sample Setup'!R34C"&amp;1+'Sample Setup'!$Q$6,0),AA218)&gt;0,2,IF(COUNTIF(INDIRECT("'Sample Setup'!R27C"&amp;1+'Sample Setup'!$O$7,0):INDIRECT("'Sample Setup'!R34C"&amp;1+'Sample Setup'!$Q$7,0),AA218)&gt;0,3,NA()))),NA())</f>
        <v>1</v>
      </c>
    </row>
    <row r="219" spans="1:31" hidden="1" x14ac:dyDescent="0.25">
      <c r="A219" s="6" t="s">
        <v>247</v>
      </c>
      <c r="B219" s="21">
        <v>0.59699999999999998</v>
      </c>
      <c r="C219" s="241">
        <v>0.59599999999999997</v>
      </c>
      <c r="D219" s="21"/>
      <c r="E219" s="241"/>
      <c r="F219" s="21"/>
      <c r="G219" s="21"/>
      <c r="H219" s="21"/>
      <c r="I219" s="21"/>
      <c r="J219" s="21"/>
      <c r="K219" s="21"/>
      <c r="L219" s="21"/>
      <c r="M219" s="21"/>
      <c r="N219" s="21"/>
      <c r="O219" s="21"/>
      <c r="P219" s="21"/>
      <c r="Q219" s="21"/>
      <c r="R219" s="21"/>
      <c r="S219" s="21"/>
      <c r="T219" s="21"/>
      <c r="U219" s="21"/>
      <c r="V219" s="115">
        <f t="shared" si="70"/>
        <v>0.59650000000000003</v>
      </c>
      <c r="W219" s="115">
        <f t="shared" si="71"/>
        <v>7.0710678118654816E-4</v>
      </c>
      <c r="X219" s="116">
        <f t="shared" si="72"/>
        <v>1.1854262886614386E-3</v>
      </c>
      <c r="Y219" s="7">
        <f>COUNTIF('Sample Setup'!$B$27:$AW$34,Calculations!A219)</f>
        <v>2</v>
      </c>
      <c r="AA219" s="6" t="s">
        <v>247</v>
      </c>
      <c r="AB219" s="117">
        <f>SigConcAvg(B219:U219,Report!B120)</f>
        <v>85.909134027947204</v>
      </c>
      <c r="AC219" s="113">
        <f>SigConcDev(B219:U219,Report!B120)</f>
        <v>0.10631550922774524</v>
      </c>
      <c r="AD219" s="7">
        <f t="array" ref="AD219">SUM(IF(B219:U219&gt;HLOOKUP("Section "&amp;Report!$B120,$AL$76:$AN$83,8),0,IF(B219:U219&lt;HLOOKUP("Section "&amp;Report!$B120,$AL$76:$AN$83,7),0,1)))</f>
        <v>2</v>
      </c>
      <c r="AE219" s="114">
        <f ca="1">IF(BioScale_Internal!$N$28,IF(COUNTIF(INDIRECT("'Sample Setup'!R27C"&amp;1+'Sample Setup'!$O$5,0):INDIRECT("'Sample Setup'!R34C"&amp;1+'Sample Setup'!$Q$5,0),AA219)&gt;0,1,IF(COUNTIF(INDIRECT("'Sample Setup'!R27C"&amp;1+'Sample Setup'!$O$6,0):INDIRECT("'Sample Setup'!R34C"&amp;1+'Sample Setup'!$Q$6,0),AA219)&gt;0,2,IF(COUNTIF(INDIRECT("'Sample Setup'!R27C"&amp;1+'Sample Setup'!$O$7,0):INDIRECT("'Sample Setup'!R34C"&amp;1+'Sample Setup'!$Q$7,0),AA219)&gt;0,3,NA()))),NA())</f>
        <v>1</v>
      </c>
    </row>
    <row r="220" spans="1:31" hidden="1" x14ac:dyDescent="0.25">
      <c r="A220" s="6" t="s">
        <v>248</v>
      </c>
      <c r="B220" s="21">
        <v>0.55900000000000005</v>
      </c>
      <c r="C220" s="21">
        <v>0.55700000000000005</v>
      </c>
      <c r="D220" s="241"/>
      <c r="E220" s="241"/>
      <c r="F220" s="21"/>
      <c r="G220" s="21"/>
      <c r="H220" s="21"/>
      <c r="I220" s="21"/>
      <c r="J220" s="21"/>
      <c r="K220" s="21"/>
      <c r="L220" s="21"/>
      <c r="M220" s="21"/>
      <c r="N220" s="21"/>
      <c r="O220" s="21"/>
      <c r="P220" s="21"/>
      <c r="Q220" s="21"/>
      <c r="R220" s="21"/>
      <c r="S220" s="21"/>
      <c r="T220" s="21"/>
      <c r="U220" s="21"/>
      <c r="V220" s="115">
        <f t="shared" si="70"/>
        <v>0.55800000000000005</v>
      </c>
      <c r="W220" s="115">
        <f t="shared" si="71"/>
        <v>1.4142135623730963E-3</v>
      </c>
      <c r="X220" s="116">
        <f t="shared" si="72"/>
        <v>2.534432907478667E-3</v>
      </c>
      <c r="Y220" s="7">
        <f>COUNTIF('Sample Setup'!$B$27:$AW$34,Calculations!A220)</f>
        <v>2</v>
      </c>
      <c r="Z220" s="5"/>
      <c r="AA220" s="6" t="s">
        <v>248</v>
      </c>
      <c r="AB220" s="117">
        <f>SigConcAvg(B220:U220,Report!B121)</f>
        <v>80.142281391150675</v>
      </c>
      <c r="AC220" s="113">
        <f>SigConcDev(B220:U220,Report!B121)</f>
        <v>0.21106210811793163</v>
      </c>
      <c r="AD220" s="7">
        <f t="array" ref="AD220">SUM(IF(B220:U220&gt;HLOOKUP("Section "&amp;Report!$B121,$AL$76:$AN$83,8),0,IF(B220:U220&lt;HLOOKUP("Section "&amp;Report!$B121,$AL$76:$AN$83,7),0,1)))</f>
        <v>2</v>
      </c>
      <c r="AE220" s="114">
        <f ca="1">IF(BioScale_Internal!$N$28,IF(COUNTIF(INDIRECT("'Sample Setup'!R27C"&amp;1+'Sample Setup'!$O$5,0):INDIRECT("'Sample Setup'!R34C"&amp;1+'Sample Setup'!$Q$5,0),AA220)&gt;0,1,IF(COUNTIF(INDIRECT("'Sample Setup'!R27C"&amp;1+'Sample Setup'!$O$6,0):INDIRECT("'Sample Setup'!R34C"&amp;1+'Sample Setup'!$Q$6,0),AA220)&gt;0,2,IF(COUNTIF(INDIRECT("'Sample Setup'!R27C"&amp;1+'Sample Setup'!$O$7,0):INDIRECT("'Sample Setup'!R34C"&amp;1+'Sample Setup'!$Q$7,0),AA220)&gt;0,3,NA()))),NA())</f>
        <v>1</v>
      </c>
    </row>
    <row r="221" spans="1:31" hidden="1" x14ac:dyDescent="0.25">
      <c r="A221" s="6" t="s">
        <v>249</v>
      </c>
      <c r="B221" s="21">
        <v>0.65</v>
      </c>
      <c r="C221" s="21">
        <v>0.57599999999999996</v>
      </c>
      <c r="D221" s="241"/>
      <c r="E221" s="21"/>
      <c r="F221" s="21"/>
      <c r="G221" s="21"/>
      <c r="H221" s="21"/>
      <c r="I221" s="21"/>
      <c r="J221" s="21"/>
      <c r="K221" s="21"/>
      <c r="L221" s="21"/>
      <c r="M221" s="21"/>
      <c r="N221" s="21"/>
      <c r="O221" s="21"/>
      <c r="P221" s="21"/>
      <c r="Q221" s="21"/>
      <c r="R221" s="21"/>
      <c r="S221" s="21"/>
      <c r="T221" s="21"/>
      <c r="U221" s="21"/>
      <c r="V221" s="115">
        <f t="shared" si="70"/>
        <v>0.61299999999999999</v>
      </c>
      <c r="W221" s="115">
        <f t="shared" si="71"/>
        <v>5.232590180780456E-2</v>
      </c>
      <c r="X221" s="116">
        <f t="shared" si="72"/>
        <v>8.5360361839811688E-2</v>
      </c>
      <c r="Y221" s="7">
        <f>COUNTIF('Sample Setup'!$B$27:$AW$34,Calculations!A221)</f>
        <v>2</v>
      </c>
      <c r="Z221" s="5"/>
      <c r="AA221" s="6" t="s">
        <v>249</v>
      </c>
      <c r="AB221" s="117">
        <f>SigConcAvg(B221:U221,Report!B122)</f>
        <v>88.415758780326627</v>
      </c>
      <c r="AC221" s="113">
        <f>SigConcDev(B221:U221,Report!B122)</f>
        <v>7.8949970509952587</v>
      </c>
      <c r="AD221" s="7">
        <f t="array" ref="AD221">SUM(IF(B221:U221&gt;HLOOKUP("Section "&amp;Report!$B122,$AL$76:$AN$83,8),0,IF(B221:U221&lt;HLOOKUP("Section "&amp;Report!$B122,$AL$76:$AN$83,7),0,1)))</f>
        <v>2</v>
      </c>
      <c r="AE221" s="114">
        <f ca="1">IF(BioScale_Internal!$N$28,IF(COUNTIF(INDIRECT("'Sample Setup'!R27C"&amp;1+'Sample Setup'!$O$5,0):INDIRECT("'Sample Setup'!R34C"&amp;1+'Sample Setup'!$Q$5,0),AA221)&gt;0,1,IF(COUNTIF(INDIRECT("'Sample Setup'!R27C"&amp;1+'Sample Setup'!$O$6,0):INDIRECT("'Sample Setup'!R34C"&amp;1+'Sample Setup'!$Q$6,0),AA221)&gt;0,2,IF(COUNTIF(INDIRECT("'Sample Setup'!R27C"&amp;1+'Sample Setup'!$O$7,0):INDIRECT("'Sample Setup'!R34C"&amp;1+'Sample Setup'!$Q$7,0),AA221)&gt;0,3,NA()))),NA())</f>
        <v>1</v>
      </c>
    </row>
    <row r="222" spans="1:31" hidden="1" x14ac:dyDescent="0.25">
      <c r="A222" s="6" t="s">
        <v>250</v>
      </c>
      <c r="B222" s="21">
        <v>0.50800000000000001</v>
      </c>
      <c r="C222" s="241">
        <v>0.57299999999999995</v>
      </c>
      <c r="D222" s="21"/>
      <c r="E222" s="21"/>
      <c r="F222" s="21"/>
      <c r="G222" s="21"/>
      <c r="H222" s="21"/>
      <c r="I222" s="21"/>
      <c r="J222" s="21"/>
      <c r="K222" s="21"/>
      <c r="L222" s="21"/>
      <c r="M222" s="21"/>
      <c r="N222" s="21"/>
      <c r="O222" s="21"/>
      <c r="P222" s="21"/>
      <c r="Q222" s="21"/>
      <c r="R222" s="21"/>
      <c r="S222" s="21"/>
      <c r="T222" s="21"/>
      <c r="U222" s="21"/>
      <c r="V222" s="115">
        <f t="shared" si="70"/>
        <v>0.54049999999999998</v>
      </c>
      <c r="W222" s="115">
        <f t="shared" si="71"/>
        <v>4.5961940777125551E-2</v>
      </c>
      <c r="X222" s="116">
        <f t="shared" si="72"/>
        <v>8.503596813529242E-2</v>
      </c>
      <c r="Y222" s="7">
        <f>COUNTIF('Sample Setup'!$B$27:$AW$34,Calculations!A222)</f>
        <v>2</v>
      </c>
      <c r="Z222" s="5"/>
      <c r="AA222" s="6" t="s">
        <v>250</v>
      </c>
      <c r="AB222" s="117">
        <f>SigConcAvg(B222:U222,Report!B123)</f>
        <v>77.548362598375746</v>
      </c>
      <c r="AC222" s="113">
        <f>SigConcDev(B222:U222,Report!B123)</f>
        <v>6.8386776143832995</v>
      </c>
      <c r="AD222" s="7">
        <f t="array" ref="AD222">SUM(IF(B222:U222&gt;HLOOKUP("Section "&amp;Report!$B123,$AL$76:$AN$83,8),0,IF(B222:U222&lt;HLOOKUP("Section "&amp;Report!$B123,$AL$76:$AN$83,7),0,1)))</f>
        <v>2</v>
      </c>
      <c r="AE222" s="114">
        <f ca="1">IF(BioScale_Internal!$N$28,IF(COUNTIF(INDIRECT("'Sample Setup'!R27C"&amp;1+'Sample Setup'!$O$5,0):INDIRECT("'Sample Setup'!R34C"&amp;1+'Sample Setup'!$Q$5,0),AA222)&gt;0,1,IF(COUNTIF(INDIRECT("'Sample Setup'!R27C"&amp;1+'Sample Setup'!$O$6,0):INDIRECT("'Sample Setup'!R34C"&amp;1+'Sample Setup'!$Q$6,0),AA222)&gt;0,2,IF(COUNTIF(INDIRECT("'Sample Setup'!R27C"&amp;1+'Sample Setup'!$O$7,0):INDIRECT("'Sample Setup'!R34C"&amp;1+'Sample Setup'!$Q$7,0),AA222)&gt;0,3,NA()))),NA())</f>
        <v>1</v>
      </c>
    </row>
    <row r="223" spans="1:31" hidden="1" x14ac:dyDescent="0.25">
      <c r="A223" s="6" t="s">
        <v>251</v>
      </c>
      <c r="B223" s="241">
        <v>0.58199999999999996</v>
      </c>
      <c r="C223" s="241">
        <v>0.60199999999999998</v>
      </c>
      <c r="D223" s="21"/>
      <c r="E223" s="21"/>
      <c r="F223" s="21"/>
      <c r="G223" s="21"/>
      <c r="H223" s="21"/>
      <c r="I223" s="21"/>
      <c r="J223" s="21"/>
      <c r="K223" s="21"/>
      <c r="L223" s="21"/>
      <c r="M223" s="21"/>
      <c r="N223" s="21"/>
      <c r="O223" s="21"/>
      <c r="P223" s="21"/>
      <c r="Q223" s="21"/>
      <c r="R223" s="21"/>
      <c r="S223" s="21"/>
      <c r="T223" s="21"/>
      <c r="U223" s="21"/>
      <c r="V223" s="115">
        <f t="shared" si="70"/>
        <v>0.59199999999999997</v>
      </c>
      <c r="W223" s="115">
        <f t="shared" si="71"/>
        <v>1.4142135623730963E-2</v>
      </c>
      <c r="X223" s="116">
        <f t="shared" si="72"/>
        <v>2.3888742607653654E-2</v>
      </c>
      <c r="Y223" s="7">
        <f>COUNTIF('Sample Setup'!$B$27:$AW$34,Calculations!A223)</f>
        <v>2</v>
      </c>
      <c r="Z223" s="5"/>
      <c r="AA223" s="6" t="s">
        <v>251</v>
      </c>
      <c r="AB223" s="117">
        <f>SigConcAvg(B223:U223,Report!B124)</f>
        <v>85.234345677383089</v>
      </c>
      <c r="AC223" s="113">
        <f>SigConcDev(B223:U223,Report!B124)</f>
        <v>2.1244112150022354</v>
      </c>
      <c r="AD223" s="7">
        <f t="array" ref="AD223">SUM(IF(B223:U223&gt;HLOOKUP("Section "&amp;Report!$B124,$AL$76:$AN$83,8),0,IF(B223:U223&lt;HLOOKUP("Section "&amp;Report!$B124,$AL$76:$AN$83,7),0,1)))</f>
        <v>2</v>
      </c>
      <c r="AE223" s="114">
        <f ca="1">IF(BioScale_Internal!$N$28,IF(COUNTIF(INDIRECT("'Sample Setup'!R27C"&amp;1+'Sample Setup'!$O$5,0):INDIRECT("'Sample Setup'!R34C"&amp;1+'Sample Setup'!$Q$5,0),AA223)&gt;0,1,IF(COUNTIF(INDIRECT("'Sample Setup'!R27C"&amp;1+'Sample Setup'!$O$6,0):INDIRECT("'Sample Setup'!R34C"&amp;1+'Sample Setup'!$Q$6,0),AA223)&gt;0,2,IF(COUNTIF(INDIRECT("'Sample Setup'!R27C"&amp;1+'Sample Setup'!$O$7,0):INDIRECT("'Sample Setup'!R34C"&amp;1+'Sample Setup'!$Q$7,0),AA223)&gt;0,3,NA()))),NA())</f>
        <v>1</v>
      </c>
    </row>
    <row r="224" spans="1:31" hidden="1" x14ac:dyDescent="0.25">
      <c r="A224" s="6" t="s">
        <v>252</v>
      </c>
      <c r="B224" s="21">
        <v>0.55000000000000004</v>
      </c>
      <c r="C224" s="21">
        <v>0.58699999999999997</v>
      </c>
      <c r="D224" s="21"/>
      <c r="E224" s="21"/>
      <c r="F224" s="21"/>
      <c r="G224" s="21"/>
      <c r="H224" s="21"/>
      <c r="I224" s="21"/>
      <c r="J224" s="21"/>
      <c r="K224" s="21"/>
      <c r="L224" s="21"/>
      <c r="M224" s="21"/>
      <c r="N224" s="21"/>
      <c r="O224" s="21"/>
      <c r="P224" s="21"/>
      <c r="Q224" s="21"/>
      <c r="R224" s="21"/>
      <c r="S224" s="21"/>
      <c r="T224" s="21"/>
      <c r="U224" s="21"/>
      <c r="V224" s="115">
        <f t="shared" si="70"/>
        <v>0.56850000000000001</v>
      </c>
      <c r="W224" s="115">
        <f t="shared" si="71"/>
        <v>2.6162950903902204E-2</v>
      </c>
      <c r="X224" s="116">
        <f t="shared" si="72"/>
        <v>4.6021021818649435E-2</v>
      </c>
      <c r="Y224" s="7">
        <f>COUNTIF('Sample Setup'!$B$27:$AW$34,Calculations!A224)</f>
        <v>2</v>
      </c>
      <c r="Z224" s="5"/>
      <c r="AA224" s="6" t="s">
        <v>252</v>
      </c>
      <c r="AB224" s="117">
        <f>SigConcAvg(B224:U224,Report!B125)</f>
        <v>81.715661572757796</v>
      </c>
      <c r="AC224" s="113">
        <f>SigConcDev(B224:U224,Report!B125)</f>
        <v>3.9123835980732928</v>
      </c>
      <c r="AD224" s="7">
        <f t="array" ref="AD224">SUM(IF(B224:U224&gt;HLOOKUP("Section "&amp;Report!$B125,$AL$76:$AN$83,8),0,IF(B224:U224&lt;HLOOKUP("Section "&amp;Report!$B125,$AL$76:$AN$83,7),0,1)))</f>
        <v>2</v>
      </c>
      <c r="AE224" s="114">
        <f ca="1">IF(BioScale_Internal!$N$28,IF(COUNTIF(INDIRECT("'Sample Setup'!R27C"&amp;1+'Sample Setup'!$O$5,0):INDIRECT("'Sample Setup'!R34C"&amp;1+'Sample Setup'!$Q$5,0),AA224)&gt;0,1,IF(COUNTIF(INDIRECT("'Sample Setup'!R27C"&amp;1+'Sample Setup'!$O$6,0):INDIRECT("'Sample Setup'!R34C"&amp;1+'Sample Setup'!$Q$6,0),AA224)&gt;0,2,IF(COUNTIF(INDIRECT("'Sample Setup'!R27C"&amp;1+'Sample Setup'!$O$7,0):INDIRECT("'Sample Setup'!R34C"&amp;1+'Sample Setup'!$Q$7,0),AA224)&gt;0,3,NA()))),NA())</f>
        <v>1</v>
      </c>
    </row>
    <row r="225" spans="1:31" hidden="1" x14ac:dyDescent="0.25">
      <c r="A225" s="6" t="s">
        <v>253</v>
      </c>
      <c r="B225" s="21">
        <v>0.62</v>
      </c>
      <c r="C225" s="21">
        <v>0.64600000000000002</v>
      </c>
      <c r="D225" s="21"/>
      <c r="E225" s="21"/>
      <c r="F225" s="21"/>
      <c r="G225" s="21"/>
      <c r="H225" s="21"/>
      <c r="I225" s="21"/>
      <c r="J225" s="21"/>
      <c r="K225" s="21"/>
      <c r="L225" s="21"/>
      <c r="M225" s="21"/>
      <c r="N225" s="21"/>
      <c r="O225" s="21"/>
      <c r="P225" s="21"/>
      <c r="Q225" s="21"/>
      <c r="R225" s="21"/>
      <c r="S225" s="21"/>
      <c r="T225" s="21"/>
      <c r="U225" s="21"/>
      <c r="V225" s="115">
        <f t="shared" ref="V225:V288" si="73">IF(ISERROR(AVERAGE(B225:U225)),IF(ISERROR(MATCH("Low",B225:U225,0)),IF(ISERROR(MATCH("High",B225:U225,0)),AVERAGE(B225:U225),"High"),"Low"),AVERAGE(B225:U225))</f>
        <v>0.63300000000000001</v>
      </c>
      <c r="W225" s="115">
        <f t="shared" ref="W225:W288" si="74">STDEV(B225:U225)</f>
        <v>1.8384776310850254E-2</v>
      </c>
      <c r="X225" s="116">
        <f t="shared" ref="X225:X288" si="75">W225/V225</f>
        <v>2.9043880427883497E-2</v>
      </c>
      <c r="Y225" s="7">
        <f>COUNTIF('Sample Setup'!$B$27:$AW$34,Calculations!A225)</f>
        <v>2</v>
      </c>
      <c r="Z225" s="5"/>
      <c r="AA225" s="6" t="s">
        <v>253</v>
      </c>
      <c r="AB225" s="117">
        <f>SigConcAvg(B225:U225,Report!B126)</f>
        <v>91.420626244927348</v>
      </c>
      <c r="AC225" s="113">
        <f>SigConcDev(B225:U225,Report!B126)</f>
        <v>2.7855334064668864</v>
      </c>
      <c r="AD225" s="7">
        <f t="array" ref="AD225">SUM(IF(B225:U225&gt;HLOOKUP("Section "&amp;Report!$B126,$AL$76:$AN$83,8),0,IF(B225:U225&lt;HLOOKUP("Section "&amp;Report!$B126,$AL$76:$AN$83,7),0,1)))</f>
        <v>2</v>
      </c>
      <c r="AE225" s="114">
        <f ca="1">IF(BioScale_Internal!$N$28,IF(COUNTIF(INDIRECT("'Sample Setup'!R27C"&amp;1+'Sample Setup'!$O$5,0):INDIRECT("'Sample Setup'!R34C"&amp;1+'Sample Setup'!$Q$5,0),AA225)&gt;0,1,IF(COUNTIF(INDIRECT("'Sample Setup'!R27C"&amp;1+'Sample Setup'!$O$6,0):INDIRECT("'Sample Setup'!R34C"&amp;1+'Sample Setup'!$Q$6,0),AA225)&gt;0,2,IF(COUNTIF(INDIRECT("'Sample Setup'!R27C"&amp;1+'Sample Setup'!$O$7,0):INDIRECT("'Sample Setup'!R34C"&amp;1+'Sample Setup'!$Q$7,0),AA225)&gt;0,3,NA()))),NA())</f>
        <v>1</v>
      </c>
    </row>
    <row r="226" spans="1:31" hidden="1" x14ac:dyDescent="0.25">
      <c r="A226" s="6" t="s">
        <v>254</v>
      </c>
      <c r="B226" s="241">
        <v>0.41599999999999998</v>
      </c>
      <c r="C226" s="21">
        <v>0.42299999999999999</v>
      </c>
      <c r="D226" s="21"/>
      <c r="E226" s="21"/>
      <c r="F226" s="21"/>
      <c r="G226" s="21"/>
      <c r="H226" s="21"/>
      <c r="I226" s="21"/>
      <c r="J226" s="21"/>
      <c r="K226" s="21"/>
      <c r="L226" s="21"/>
      <c r="M226" s="21"/>
      <c r="N226" s="21"/>
      <c r="O226" s="21"/>
      <c r="P226" s="21"/>
      <c r="Q226" s="21"/>
      <c r="R226" s="21"/>
      <c r="S226" s="21"/>
      <c r="T226" s="21"/>
      <c r="U226" s="21"/>
      <c r="V226" s="115">
        <f t="shared" si="73"/>
        <v>0.41949999999999998</v>
      </c>
      <c r="W226" s="115">
        <f t="shared" si="74"/>
        <v>4.9497474683058368E-3</v>
      </c>
      <c r="X226" s="116">
        <f t="shared" si="75"/>
        <v>1.1799159638392938E-2</v>
      </c>
      <c r="Y226" s="7">
        <f>COUNTIF('Sample Setup'!$B$27:$AW$34,Calculations!A226)</f>
        <v>2</v>
      </c>
      <c r="Z226" s="5"/>
      <c r="AA226" s="6" t="s">
        <v>254</v>
      </c>
      <c r="AB226" s="117">
        <f>SigConcAvg(B226:U226,Report!B127)</f>
        <v>59.700844111623461</v>
      </c>
      <c r="AC226" s="113">
        <f>SigConcDev(B226:U226,Report!B127)</f>
        <v>0.7235681780729003</v>
      </c>
      <c r="AD226" s="7">
        <f t="array" ref="AD226">SUM(IF(B226:U226&gt;HLOOKUP("Section "&amp;Report!$B127,$AL$76:$AN$83,8),0,IF(B226:U226&lt;HLOOKUP("Section "&amp;Report!$B127,$AL$76:$AN$83,7),0,1)))</f>
        <v>2</v>
      </c>
      <c r="AE226" s="114">
        <f ca="1">IF(BioScale_Internal!$N$28,IF(COUNTIF(INDIRECT("'Sample Setup'!R27C"&amp;1+'Sample Setup'!$O$5,0):INDIRECT("'Sample Setup'!R34C"&amp;1+'Sample Setup'!$Q$5,0),AA226)&gt;0,1,IF(COUNTIF(INDIRECT("'Sample Setup'!R27C"&amp;1+'Sample Setup'!$O$6,0):INDIRECT("'Sample Setup'!R34C"&amp;1+'Sample Setup'!$Q$6,0),AA226)&gt;0,2,IF(COUNTIF(INDIRECT("'Sample Setup'!R27C"&amp;1+'Sample Setup'!$O$7,0):INDIRECT("'Sample Setup'!R34C"&amp;1+'Sample Setup'!$Q$7,0),AA226)&gt;0,3,NA()))),NA())</f>
        <v>1</v>
      </c>
    </row>
    <row r="227" spans="1:31" hidden="1" x14ac:dyDescent="0.25">
      <c r="A227" s="6" t="s">
        <v>255</v>
      </c>
      <c r="B227" s="241">
        <v>0.60899999999999999</v>
      </c>
      <c r="C227" s="21">
        <v>0.57899999999999996</v>
      </c>
      <c r="D227" s="21"/>
      <c r="E227" s="21"/>
      <c r="F227" s="21"/>
      <c r="G227" s="21"/>
      <c r="H227" s="21"/>
      <c r="I227" s="21"/>
      <c r="J227" s="21"/>
      <c r="K227" s="21"/>
      <c r="L227" s="21"/>
      <c r="M227" s="21"/>
      <c r="N227" s="21"/>
      <c r="O227" s="21"/>
      <c r="P227" s="21"/>
      <c r="Q227" s="21"/>
      <c r="R227" s="21"/>
      <c r="S227" s="21"/>
      <c r="T227" s="21"/>
      <c r="U227" s="21"/>
      <c r="V227" s="115">
        <f t="shared" si="73"/>
        <v>0.59399999999999997</v>
      </c>
      <c r="W227" s="115">
        <f t="shared" si="74"/>
        <v>2.1213203435596444E-2</v>
      </c>
      <c r="X227" s="116">
        <f t="shared" si="75"/>
        <v>3.571246369629031E-2</v>
      </c>
      <c r="Y227" s="7">
        <f>COUNTIF('Sample Setup'!$B$27:$AW$34,Calculations!A227)</f>
        <v>2</v>
      </c>
      <c r="Z227" s="5"/>
      <c r="AA227" s="6" t="s">
        <v>255</v>
      </c>
      <c r="AB227" s="117">
        <f>SigConcAvg(B227:U227,Report!B128)</f>
        <v>85.536729655074907</v>
      </c>
      <c r="AC227" s="113">
        <f>SigConcDev(B227:U227,Report!B128)</f>
        <v>3.1879251004018978</v>
      </c>
      <c r="AD227" s="7">
        <f t="array" ref="AD227">SUM(IF(B227:U227&gt;HLOOKUP("Section "&amp;Report!$B128,$AL$76:$AN$83,8),0,IF(B227:U227&lt;HLOOKUP("Section "&amp;Report!$B128,$AL$76:$AN$83,7),0,1)))</f>
        <v>2</v>
      </c>
      <c r="AE227" s="114">
        <f ca="1">IF(BioScale_Internal!$N$28,IF(COUNTIF(INDIRECT("'Sample Setup'!R27C"&amp;1+'Sample Setup'!$O$5,0):INDIRECT("'Sample Setup'!R34C"&amp;1+'Sample Setup'!$Q$5,0),AA227)&gt;0,1,IF(COUNTIF(INDIRECT("'Sample Setup'!R27C"&amp;1+'Sample Setup'!$O$6,0):INDIRECT("'Sample Setup'!R34C"&amp;1+'Sample Setup'!$Q$6,0),AA227)&gt;0,2,IF(COUNTIF(INDIRECT("'Sample Setup'!R27C"&amp;1+'Sample Setup'!$O$7,0):INDIRECT("'Sample Setup'!R34C"&amp;1+'Sample Setup'!$Q$7,0),AA227)&gt;0,3,NA()))),NA())</f>
        <v>1</v>
      </c>
    </row>
    <row r="228" spans="1:31" hidden="1" x14ac:dyDescent="0.25">
      <c r="A228" s="6" t="s">
        <v>256</v>
      </c>
      <c r="B228" s="21">
        <v>0.59299999999999997</v>
      </c>
      <c r="C228" s="21">
        <v>0.61899999999999999</v>
      </c>
      <c r="D228" s="21"/>
      <c r="E228" s="21"/>
      <c r="F228" s="21"/>
      <c r="G228" s="21"/>
      <c r="H228" s="21"/>
      <c r="I228" s="21"/>
      <c r="J228" s="21"/>
      <c r="K228" s="21"/>
      <c r="L228" s="21"/>
      <c r="M228" s="21"/>
      <c r="N228" s="21"/>
      <c r="O228" s="21"/>
      <c r="P228" s="21"/>
      <c r="Q228" s="21"/>
      <c r="R228" s="21"/>
      <c r="S228" s="21"/>
      <c r="T228" s="21"/>
      <c r="U228" s="21"/>
      <c r="V228" s="115">
        <f t="shared" si="73"/>
        <v>0.60599999999999998</v>
      </c>
      <c r="W228" s="115">
        <f t="shared" si="74"/>
        <v>1.8384776310850254E-2</v>
      </c>
      <c r="X228" s="116">
        <f t="shared" si="75"/>
        <v>3.0337914704373355E-2</v>
      </c>
      <c r="Y228" s="7">
        <f>COUNTIF('Sample Setup'!$B$27:$AW$34,Calculations!A228)</f>
        <v>2</v>
      </c>
      <c r="Z228" s="5"/>
      <c r="AA228" s="6" t="s">
        <v>256</v>
      </c>
      <c r="AB228" s="117">
        <f>SigConcAvg(B228:U228,Report!B129)</f>
        <v>87.341483353291437</v>
      </c>
      <c r="AC228" s="113">
        <f>SigConcDev(B228:U228,Report!B129)</f>
        <v>2.7696000715462565</v>
      </c>
      <c r="AD228" s="7">
        <f t="array" ref="AD228">SUM(IF(B228:U228&gt;HLOOKUP("Section "&amp;Report!$B129,$AL$76:$AN$83,8),0,IF(B228:U228&lt;HLOOKUP("Section "&amp;Report!$B129,$AL$76:$AN$83,7),0,1)))</f>
        <v>2</v>
      </c>
      <c r="AE228" s="114">
        <f ca="1">IF(BioScale_Internal!$N$28,IF(COUNTIF(INDIRECT("'Sample Setup'!R27C"&amp;1+'Sample Setup'!$O$5,0):INDIRECT("'Sample Setup'!R34C"&amp;1+'Sample Setup'!$Q$5,0),AA228)&gt;0,1,IF(COUNTIF(INDIRECT("'Sample Setup'!R27C"&amp;1+'Sample Setup'!$O$6,0):INDIRECT("'Sample Setup'!R34C"&amp;1+'Sample Setup'!$Q$6,0),AA228)&gt;0,2,IF(COUNTIF(INDIRECT("'Sample Setup'!R27C"&amp;1+'Sample Setup'!$O$7,0):INDIRECT("'Sample Setup'!R34C"&amp;1+'Sample Setup'!$Q$7,0),AA228)&gt;0,3,NA()))),NA())</f>
        <v>1</v>
      </c>
    </row>
    <row r="229" spans="1:31" hidden="1" x14ac:dyDescent="0.25">
      <c r="A229" s="6" t="s">
        <v>257</v>
      </c>
      <c r="B229" s="21">
        <v>0.63400000000000001</v>
      </c>
      <c r="C229" s="21">
        <v>0.59899999999999998</v>
      </c>
      <c r="D229" s="21"/>
      <c r="E229" s="21"/>
      <c r="F229" s="21"/>
      <c r="G229" s="21"/>
      <c r="H229" s="21"/>
      <c r="I229" s="21"/>
      <c r="J229" s="21"/>
      <c r="K229" s="21"/>
      <c r="L229" s="21"/>
      <c r="M229" s="21"/>
      <c r="N229" s="21"/>
      <c r="O229" s="21"/>
      <c r="P229" s="21"/>
      <c r="Q229" s="21"/>
      <c r="R229" s="21"/>
      <c r="S229" s="21"/>
      <c r="T229" s="21"/>
      <c r="U229" s="21"/>
      <c r="V229" s="115">
        <f t="shared" si="73"/>
        <v>0.61650000000000005</v>
      </c>
      <c r="W229" s="115">
        <f t="shared" si="74"/>
        <v>2.4748737341529183E-2</v>
      </c>
      <c r="X229" s="116">
        <f t="shared" si="75"/>
        <v>4.01439372936402E-2</v>
      </c>
      <c r="Y229" s="7">
        <f>COUNTIF('Sample Setup'!$B$27:$AW$34,Calculations!A229)</f>
        <v>2</v>
      </c>
      <c r="Z229" s="5"/>
      <c r="AA229" s="6" t="s">
        <v>257</v>
      </c>
      <c r="AB229" s="117">
        <f>SigConcAvg(B229:U229,Report!B130)</f>
        <v>88.927229332886029</v>
      </c>
      <c r="AC229" s="113">
        <f>SigConcDev(B229:U229,Report!B130)</f>
        <v>3.7365249408787773</v>
      </c>
      <c r="AD229" s="7">
        <f t="array" ref="AD229">SUM(IF(B229:U229&gt;HLOOKUP("Section "&amp;Report!$B130,$AL$76:$AN$83,8),0,IF(B229:U229&lt;HLOOKUP("Section "&amp;Report!$B130,$AL$76:$AN$83,7),0,1)))</f>
        <v>2</v>
      </c>
      <c r="AE229" s="114">
        <f ca="1">IF(BioScale_Internal!$N$28,IF(COUNTIF(INDIRECT("'Sample Setup'!R27C"&amp;1+'Sample Setup'!$O$5,0):INDIRECT("'Sample Setup'!R34C"&amp;1+'Sample Setup'!$Q$5,0),AA229)&gt;0,1,IF(COUNTIF(INDIRECT("'Sample Setup'!R27C"&amp;1+'Sample Setup'!$O$6,0):INDIRECT("'Sample Setup'!R34C"&amp;1+'Sample Setup'!$Q$6,0),AA229)&gt;0,2,IF(COUNTIF(INDIRECT("'Sample Setup'!R27C"&amp;1+'Sample Setup'!$O$7,0):INDIRECT("'Sample Setup'!R34C"&amp;1+'Sample Setup'!$Q$7,0),AA229)&gt;0,3,NA()))),NA())</f>
        <v>1</v>
      </c>
    </row>
    <row r="230" spans="1:31" hidden="1" x14ac:dyDescent="0.25">
      <c r="A230" s="6" t="s">
        <v>258</v>
      </c>
      <c r="B230" s="21">
        <v>0.59399999999999997</v>
      </c>
      <c r="C230" s="21">
        <v>0.60199999999999998</v>
      </c>
      <c r="D230" s="21"/>
      <c r="E230" s="21"/>
      <c r="F230" s="21"/>
      <c r="G230" s="21"/>
      <c r="H230" s="21"/>
      <c r="I230" s="21"/>
      <c r="J230" s="21"/>
      <c r="K230" s="21"/>
      <c r="L230" s="21"/>
      <c r="M230" s="21"/>
      <c r="N230" s="21"/>
      <c r="O230" s="21"/>
      <c r="P230" s="21"/>
      <c r="Q230" s="21"/>
      <c r="R230" s="21"/>
      <c r="S230" s="21"/>
      <c r="T230" s="21"/>
      <c r="U230" s="21"/>
      <c r="V230" s="115">
        <f t="shared" si="73"/>
        <v>0.59799999999999998</v>
      </c>
      <c r="W230" s="115">
        <f t="shared" si="74"/>
        <v>5.6568542494923853E-3</v>
      </c>
      <c r="X230" s="116">
        <f t="shared" si="75"/>
        <v>9.4596224907899425E-3</v>
      </c>
      <c r="Y230" s="7">
        <f>COUNTIF('Sample Setup'!$B$27:$AW$34,Calculations!A230)</f>
        <v>2</v>
      </c>
      <c r="Z230" s="5"/>
      <c r="AA230" s="6" t="s">
        <v>258</v>
      </c>
      <c r="AB230" s="117">
        <f>SigConcAvg(B230:U230,Report!B131)</f>
        <v>86.134936949761311</v>
      </c>
      <c r="AC230" s="113">
        <f>SigConcDev(B230:U230,Report!B131)</f>
        <v>0.85078282345012224</v>
      </c>
      <c r="AD230" s="7">
        <f t="array" ref="AD230">SUM(IF(B230:U230&gt;HLOOKUP("Section "&amp;Report!$B131,$AL$76:$AN$83,8),0,IF(B230:U230&lt;HLOOKUP("Section "&amp;Report!$B131,$AL$76:$AN$83,7),0,1)))</f>
        <v>2</v>
      </c>
      <c r="AE230" s="114">
        <f ca="1">IF(BioScale_Internal!$N$28,IF(COUNTIF(INDIRECT("'Sample Setup'!R27C"&amp;1+'Sample Setup'!$O$5,0):INDIRECT("'Sample Setup'!R34C"&amp;1+'Sample Setup'!$Q$5,0),AA230)&gt;0,1,IF(COUNTIF(INDIRECT("'Sample Setup'!R27C"&amp;1+'Sample Setup'!$O$6,0):INDIRECT("'Sample Setup'!R34C"&amp;1+'Sample Setup'!$Q$6,0),AA230)&gt;0,2,IF(COUNTIF(INDIRECT("'Sample Setup'!R27C"&amp;1+'Sample Setup'!$O$7,0):INDIRECT("'Sample Setup'!R34C"&amp;1+'Sample Setup'!$Q$7,0),AA230)&gt;0,3,NA()))),NA())</f>
        <v>1</v>
      </c>
    </row>
    <row r="231" spans="1:31" hidden="1" x14ac:dyDescent="0.25">
      <c r="A231" s="6" t="s">
        <v>259</v>
      </c>
      <c r="B231" s="21">
        <v>0.61199999999999999</v>
      </c>
      <c r="C231" s="21">
        <v>0.59099999999999997</v>
      </c>
      <c r="D231" s="21"/>
      <c r="E231" s="21"/>
      <c r="F231" s="21"/>
      <c r="G231" s="21"/>
      <c r="H231" s="21"/>
      <c r="I231" s="21"/>
      <c r="J231" s="21"/>
      <c r="K231" s="21"/>
      <c r="L231" s="21"/>
      <c r="M231" s="21"/>
      <c r="N231" s="21"/>
      <c r="O231" s="21"/>
      <c r="P231" s="21"/>
      <c r="Q231" s="21"/>
      <c r="R231" s="21"/>
      <c r="S231" s="21"/>
      <c r="T231" s="21"/>
      <c r="U231" s="21"/>
      <c r="V231" s="115">
        <f t="shared" si="73"/>
        <v>0.60149999999999992</v>
      </c>
      <c r="W231" s="115">
        <f t="shared" si="74"/>
        <v>1.4849242404917511E-2</v>
      </c>
      <c r="X231" s="116">
        <f t="shared" si="75"/>
        <v>2.4687019792049066E-2</v>
      </c>
      <c r="Y231" s="7">
        <f>COUNTIF('Sample Setup'!$B$27:$AW$34,Calculations!A231)</f>
        <v>2</v>
      </c>
      <c r="AA231" s="6" t="s">
        <v>259</v>
      </c>
      <c r="AB231" s="117">
        <f>SigConcAvg(B231:U231,Report!B132)</f>
        <v>86.662966478327746</v>
      </c>
      <c r="AC231" s="113">
        <f>SigConcDev(B231:U231,Report!B132)</f>
        <v>2.2349109350425183</v>
      </c>
      <c r="AD231" s="7">
        <f t="array" ref="AD231">SUM(IF(B231:U231&gt;HLOOKUP("Section "&amp;Report!$B132,$AL$76:$AN$83,8),0,IF(B231:U231&lt;HLOOKUP("Section "&amp;Report!$B132,$AL$76:$AN$83,7),0,1)))</f>
        <v>2</v>
      </c>
      <c r="AE231" s="114">
        <f ca="1">IF(BioScale_Internal!$N$28,IF(COUNTIF(INDIRECT("'Sample Setup'!R27C"&amp;1+'Sample Setup'!$O$5,0):INDIRECT("'Sample Setup'!R34C"&amp;1+'Sample Setup'!$Q$5,0),AA231)&gt;0,1,IF(COUNTIF(INDIRECT("'Sample Setup'!R27C"&amp;1+'Sample Setup'!$O$6,0):INDIRECT("'Sample Setup'!R34C"&amp;1+'Sample Setup'!$Q$6,0),AA231)&gt;0,2,IF(COUNTIF(INDIRECT("'Sample Setup'!R27C"&amp;1+'Sample Setup'!$O$7,0):INDIRECT("'Sample Setup'!R34C"&amp;1+'Sample Setup'!$Q$7,0),AA231)&gt;0,3,NA()))),NA())</f>
        <v>1</v>
      </c>
    </row>
    <row r="232" spans="1:31" hidden="1" x14ac:dyDescent="0.25">
      <c r="A232" s="6" t="s">
        <v>260</v>
      </c>
      <c r="B232" s="21">
        <v>0.61099999999999999</v>
      </c>
      <c r="C232" s="21">
        <v>0.60299999999999998</v>
      </c>
      <c r="D232" s="21"/>
      <c r="E232" s="21"/>
      <c r="F232" s="21"/>
      <c r="G232" s="21"/>
      <c r="H232" s="21"/>
      <c r="I232" s="21"/>
      <c r="J232" s="21"/>
      <c r="K232" s="21"/>
      <c r="L232" s="21"/>
      <c r="M232" s="21"/>
      <c r="N232" s="21"/>
      <c r="O232" s="21"/>
      <c r="P232" s="21"/>
      <c r="Q232" s="21"/>
      <c r="R232" s="21"/>
      <c r="S232" s="21"/>
      <c r="T232" s="21"/>
      <c r="U232" s="21"/>
      <c r="V232" s="115">
        <f t="shared" si="73"/>
        <v>0.60699999999999998</v>
      </c>
      <c r="W232" s="115">
        <f t="shared" si="74"/>
        <v>5.6568542494923853E-3</v>
      </c>
      <c r="X232" s="116">
        <f t="shared" si="75"/>
        <v>9.3193644966925622E-3</v>
      </c>
      <c r="Y232" s="7">
        <f>COUNTIF('Sample Setup'!$B$27:$AW$34,Calculations!A232)</f>
        <v>2</v>
      </c>
      <c r="AA232" s="6" t="s">
        <v>260</v>
      </c>
      <c r="AB232" s="117">
        <f>SigConcAvg(B232:U232,Report!B133)</f>
        <v>87.489769178439161</v>
      </c>
      <c r="AC232" s="113">
        <f>SigConcDev(B232:U232,Report!B133)</f>
        <v>0.85234919078662141</v>
      </c>
      <c r="AD232" s="7">
        <f t="array" ref="AD232">SUM(IF(B232:U232&gt;HLOOKUP("Section "&amp;Report!$B133,$AL$76:$AN$83,8),0,IF(B232:U232&lt;HLOOKUP("Section "&amp;Report!$B133,$AL$76:$AN$83,7),0,1)))</f>
        <v>2</v>
      </c>
      <c r="AE232" s="114">
        <f ca="1">IF(BioScale_Internal!$N$28,IF(COUNTIF(INDIRECT("'Sample Setup'!R27C"&amp;1+'Sample Setup'!$O$5,0):INDIRECT("'Sample Setup'!R34C"&amp;1+'Sample Setup'!$Q$5,0),AA232)&gt;0,1,IF(COUNTIF(INDIRECT("'Sample Setup'!R27C"&amp;1+'Sample Setup'!$O$6,0):INDIRECT("'Sample Setup'!R34C"&amp;1+'Sample Setup'!$Q$6,0),AA232)&gt;0,2,IF(COUNTIF(INDIRECT("'Sample Setup'!R27C"&amp;1+'Sample Setup'!$O$7,0):INDIRECT("'Sample Setup'!R34C"&amp;1+'Sample Setup'!$Q$7,0),AA232)&gt;0,3,NA()))),NA())</f>
        <v>1</v>
      </c>
    </row>
    <row r="233" spans="1:31" hidden="1" x14ac:dyDescent="0.25">
      <c r="A233" s="6" t="s">
        <v>261</v>
      </c>
      <c r="B233" s="21">
        <v>0.51700000000000002</v>
      </c>
      <c r="C233" s="21">
        <v>0.49299999999999999</v>
      </c>
      <c r="D233" s="21"/>
      <c r="E233" s="21"/>
      <c r="F233" s="21"/>
      <c r="G233" s="21"/>
      <c r="H233" s="21"/>
      <c r="I233" s="21"/>
      <c r="J233" s="21"/>
      <c r="K233" s="21"/>
      <c r="L233" s="21"/>
      <c r="M233" s="21"/>
      <c r="N233" s="21"/>
      <c r="O233" s="21"/>
      <c r="P233" s="21"/>
      <c r="Q233" s="21"/>
      <c r="R233" s="21"/>
      <c r="S233" s="21"/>
      <c r="T233" s="21"/>
      <c r="U233" s="21"/>
      <c r="V233" s="115">
        <f t="shared" si="73"/>
        <v>0.505</v>
      </c>
      <c r="W233" s="115">
        <f t="shared" si="74"/>
        <v>1.6970562748477157E-2</v>
      </c>
      <c r="X233" s="116">
        <f t="shared" si="75"/>
        <v>3.3605074749459715E-2</v>
      </c>
      <c r="Y233" s="7">
        <f>COUNTIF('Sample Setup'!$B$27:$AW$34,Calculations!A233)</f>
        <v>2</v>
      </c>
      <c r="AA233" s="6" t="s">
        <v>261</v>
      </c>
      <c r="AB233" s="117">
        <f>SigConcAvg(B233:U233,Report!B134)</f>
        <v>72.270558331941686</v>
      </c>
      <c r="AC233" s="113">
        <f>SigConcDev(B233:U233,Report!B134)</f>
        <v>2.5099943562732032</v>
      </c>
      <c r="AD233" s="7">
        <f t="array" ref="AD233">SUM(IF(B233:U233&gt;HLOOKUP("Section "&amp;Report!$B134,$AL$76:$AN$83,8),0,IF(B233:U233&lt;HLOOKUP("Section "&amp;Report!$B134,$AL$76:$AN$83,7),0,1)))</f>
        <v>2</v>
      </c>
      <c r="AE233" s="114">
        <f ca="1">IF(BioScale_Internal!$N$28,IF(COUNTIF(INDIRECT("'Sample Setup'!R27C"&amp;1+'Sample Setup'!$O$5,0):INDIRECT("'Sample Setup'!R34C"&amp;1+'Sample Setup'!$Q$5,0),AA233)&gt;0,1,IF(COUNTIF(INDIRECT("'Sample Setup'!R27C"&amp;1+'Sample Setup'!$O$6,0):INDIRECT("'Sample Setup'!R34C"&amp;1+'Sample Setup'!$Q$6,0),AA233)&gt;0,2,IF(COUNTIF(INDIRECT("'Sample Setup'!R27C"&amp;1+'Sample Setup'!$O$7,0):INDIRECT("'Sample Setup'!R34C"&amp;1+'Sample Setup'!$Q$7,0),AA233)&gt;0,3,NA()))),NA())</f>
        <v>1</v>
      </c>
    </row>
    <row r="234" spans="1:31" hidden="1" x14ac:dyDescent="0.25">
      <c r="A234" s="6" t="s">
        <v>262</v>
      </c>
      <c r="B234" s="21">
        <v>0.51600000000000001</v>
      </c>
      <c r="C234" s="241">
        <v>0.54100000000000004</v>
      </c>
      <c r="D234" s="21"/>
      <c r="E234" s="21"/>
      <c r="F234" s="21"/>
      <c r="G234" s="21"/>
      <c r="H234" s="21"/>
      <c r="I234" s="21"/>
      <c r="J234" s="21"/>
      <c r="K234" s="21"/>
      <c r="L234" s="21"/>
      <c r="M234" s="21"/>
      <c r="N234" s="21"/>
      <c r="O234" s="21"/>
      <c r="P234" s="21"/>
      <c r="Q234" s="21"/>
      <c r="R234" s="21"/>
      <c r="S234" s="21"/>
      <c r="T234" s="21"/>
      <c r="U234" s="21"/>
      <c r="V234" s="115">
        <f t="shared" si="73"/>
        <v>0.52849999999999997</v>
      </c>
      <c r="W234" s="115">
        <f t="shared" si="74"/>
        <v>1.7677669529663705E-2</v>
      </c>
      <c r="X234" s="116">
        <f t="shared" si="75"/>
        <v>3.3448759753384495E-2</v>
      </c>
      <c r="Y234" s="7">
        <f>COUNTIF('Sample Setup'!$B$27:$AW$34,Calculations!A234)</f>
        <v>2</v>
      </c>
      <c r="AA234" s="6" t="s">
        <v>262</v>
      </c>
      <c r="AB234" s="117">
        <f>SigConcAvg(B234:U234,Report!B135)</f>
        <v>75.753117808695606</v>
      </c>
      <c r="AC234" s="113">
        <f>SigConcDev(B234:U234,Report!B135)</f>
        <v>2.6246385328584192</v>
      </c>
      <c r="AD234" s="7">
        <f t="array" ref="AD234">SUM(IF(B234:U234&gt;HLOOKUP("Section "&amp;Report!$B135,$AL$76:$AN$83,8),0,IF(B234:U234&lt;HLOOKUP("Section "&amp;Report!$B135,$AL$76:$AN$83,7),0,1)))</f>
        <v>2</v>
      </c>
      <c r="AE234" s="114">
        <f ca="1">IF(BioScale_Internal!$N$28,IF(COUNTIF(INDIRECT("'Sample Setup'!R27C"&amp;1+'Sample Setup'!$O$5,0):INDIRECT("'Sample Setup'!R34C"&amp;1+'Sample Setup'!$Q$5,0),AA234)&gt;0,1,IF(COUNTIF(INDIRECT("'Sample Setup'!R27C"&amp;1+'Sample Setup'!$O$6,0):INDIRECT("'Sample Setup'!R34C"&amp;1+'Sample Setup'!$Q$6,0),AA234)&gt;0,2,IF(COUNTIF(INDIRECT("'Sample Setup'!R27C"&amp;1+'Sample Setup'!$O$7,0):INDIRECT("'Sample Setup'!R34C"&amp;1+'Sample Setup'!$Q$7,0),AA234)&gt;0,3,NA()))),NA())</f>
        <v>1</v>
      </c>
    </row>
    <row r="235" spans="1:31" hidden="1" x14ac:dyDescent="0.25">
      <c r="A235" s="6" t="s">
        <v>263</v>
      </c>
      <c r="B235" s="21">
        <v>0.45</v>
      </c>
      <c r="C235" s="21">
        <v>0.41699999999999998</v>
      </c>
      <c r="D235" s="21"/>
      <c r="E235" s="21"/>
      <c r="F235" s="21"/>
      <c r="G235" s="21"/>
      <c r="H235" s="21"/>
      <c r="I235" s="21"/>
      <c r="J235" s="21"/>
      <c r="K235" s="21"/>
      <c r="L235" s="21"/>
      <c r="M235" s="21"/>
      <c r="N235" s="21"/>
      <c r="O235" s="21"/>
      <c r="P235" s="21"/>
      <c r="Q235" s="21"/>
      <c r="R235" s="21"/>
      <c r="S235" s="21"/>
      <c r="T235" s="21"/>
      <c r="U235" s="21"/>
      <c r="V235" s="115">
        <f t="shared" si="73"/>
        <v>0.4335</v>
      </c>
      <c r="W235" s="115">
        <f t="shared" si="74"/>
        <v>2.333452377915609E-2</v>
      </c>
      <c r="X235" s="116">
        <f t="shared" si="75"/>
        <v>5.3828197875792592E-2</v>
      </c>
      <c r="Y235" s="7">
        <f>COUNTIF('Sample Setup'!$B$27:$AW$34,Calculations!A235)</f>
        <v>2</v>
      </c>
      <c r="AA235" s="6" t="s">
        <v>263</v>
      </c>
      <c r="AB235" s="117">
        <f>SigConcAvg(B235:U235,Report!B136)</f>
        <v>61.751424385351058</v>
      </c>
      <c r="AC235" s="113">
        <f>SigConcDev(B235:U235,Report!B136)</f>
        <v>3.4168640651547402</v>
      </c>
      <c r="AD235" s="7">
        <f t="array" ref="AD235">SUM(IF(B235:U235&gt;HLOOKUP("Section "&amp;Report!$B136,$AL$76:$AN$83,8),0,IF(B235:U235&lt;HLOOKUP("Section "&amp;Report!$B136,$AL$76:$AN$83,7),0,1)))</f>
        <v>2</v>
      </c>
      <c r="AE235" s="114">
        <f ca="1">IF(BioScale_Internal!$N$28,IF(COUNTIF(INDIRECT("'Sample Setup'!R27C"&amp;1+'Sample Setup'!$O$5,0):INDIRECT("'Sample Setup'!R34C"&amp;1+'Sample Setup'!$Q$5,0),AA235)&gt;0,1,IF(COUNTIF(INDIRECT("'Sample Setup'!R27C"&amp;1+'Sample Setup'!$O$6,0):INDIRECT("'Sample Setup'!R34C"&amp;1+'Sample Setup'!$Q$6,0),AA235)&gt;0,2,IF(COUNTIF(INDIRECT("'Sample Setup'!R27C"&amp;1+'Sample Setup'!$O$7,0):INDIRECT("'Sample Setup'!R34C"&amp;1+'Sample Setup'!$Q$7,0),AA235)&gt;0,3,NA()))),NA())</f>
        <v>1</v>
      </c>
    </row>
    <row r="236" spans="1:31" hidden="1" x14ac:dyDescent="0.25">
      <c r="A236" s="6" t="s">
        <v>264</v>
      </c>
      <c r="B236" s="21">
        <v>0.497</v>
      </c>
      <c r="C236" s="21">
        <v>0.49099999999999999</v>
      </c>
      <c r="D236" s="21"/>
      <c r="E236" s="21"/>
      <c r="F236" s="21"/>
      <c r="G236" s="21"/>
      <c r="H236" s="21"/>
      <c r="I236" s="21"/>
      <c r="J236" s="21"/>
      <c r="K236" s="21"/>
      <c r="L236" s="21"/>
      <c r="M236" s="21"/>
      <c r="N236" s="21"/>
      <c r="O236" s="21"/>
      <c r="P236" s="21"/>
      <c r="Q236" s="21"/>
      <c r="R236" s="21"/>
      <c r="S236" s="21"/>
      <c r="T236" s="21"/>
      <c r="U236" s="21"/>
      <c r="V236" s="115">
        <f t="shared" si="73"/>
        <v>0.49399999999999999</v>
      </c>
      <c r="W236" s="115">
        <f t="shared" si="74"/>
        <v>4.2426406871192892E-3</v>
      </c>
      <c r="X236" s="116">
        <f t="shared" si="75"/>
        <v>8.5883414719013958E-3</v>
      </c>
      <c r="Y236" s="7">
        <f>COUNTIF('Sample Setup'!$B$27:$AW$34,Calculations!A236)</f>
        <v>2</v>
      </c>
      <c r="AA236" s="6" t="s">
        <v>264</v>
      </c>
      <c r="AB236" s="117">
        <f>SigConcAvg(B236:U236,Report!B137)</f>
        <v>70.643463307205593</v>
      </c>
      <c r="AC236" s="113">
        <f>SigConcDev(B236:U236,Report!B137)</f>
        <v>0.62642216408120932</v>
      </c>
      <c r="AD236" s="7">
        <f t="array" ref="AD236">SUM(IF(B236:U236&gt;HLOOKUP("Section "&amp;Report!$B137,$AL$76:$AN$83,8),0,IF(B236:U236&lt;HLOOKUP("Section "&amp;Report!$B137,$AL$76:$AN$83,7),0,1)))</f>
        <v>2</v>
      </c>
      <c r="AE236" s="114">
        <f ca="1">IF(BioScale_Internal!$N$28,IF(COUNTIF(INDIRECT("'Sample Setup'!R27C"&amp;1+'Sample Setup'!$O$5,0):INDIRECT("'Sample Setup'!R34C"&amp;1+'Sample Setup'!$Q$5,0),AA236)&gt;0,1,IF(COUNTIF(INDIRECT("'Sample Setup'!R27C"&amp;1+'Sample Setup'!$O$6,0):INDIRECT("'Sample Setup'!R34C"&amp;1+'Sample Setup'!$Q$6,0),AA236)&gt;0,2,IF(COUNTIF(INDIRECT("'Sample Setup'!R27C"&amp;1+'Sample Setup'!$O$7,0):INDIRECT("'Sample Setup'!R34C"&amp;1+'Sample Setup'!$Q$7,0),AA236)&gt;0,3,NA()))),NA())</f>
        <v>1</v>
      </c>
    </row>
    <row r="237" spans="1:31" hidden="1" x14ac:dyDescent="0.25">
      <c r="A237" s="6" t="s">
        <v>265</v>
      </c>
      <c r="B237" s="21">
        <v>0.46200000000000002</v>
      </c>
      <c r="C237" s="21">
        <v>0.44400000000000001</v>
      </c>
      <c r="D237" s="21"/>
      <c r="E237" s="21"/>
      <c r="F237" s="21"/>
      <c r="G237" s="21"/>
      <c r="H237" s="21"/>
      <c r="I237" s="21"/>
      <c r="J237" s="21"/>
      <c r="K237" s="21"/>
      <c r="L237" s="21"/>
      <c r="M237" s="21"/>
      <c r="N237" s="21"/>
      <c r="O237" s="21"/>
      <c r="P237" s="21"/>
      <c r="Q237" s="21"/>
      <c r="R237" s="21"/>
      <c r="S237" s="21"/>
      <c r="T237" s="21"/>
      <c r="U237" s="21"/>
      <c r="V237" s="115">
        <f t="shared" si="73"/>
        <v>0.45300000000000001</v>
      </c>
      <c r="W237" s="115">
        <f t="shared" si="74"/>
        <v>1.2727922061357866E-2</v>
      </c>
      <c r="X237" s="116">
        <f t="shared" si="75"/>
        <v>2.8096958192842969E-2</v>
      </c>
      <c r="Y237" s="7">
        <f>COUNTIF('Sample Setup'!$B$27:$AW$34,Calculations!A237)</f>
        <v>2</v>
      </c>
      <c r="AA237" s="6" t="s">
        <v>265</v>
      </c>
      <c r="AB237" s="117">
        <f>SigConcAvg(B237:U237,Report!B138)</f>
        <v>64.608581037661111</v>
      </c>
      <c r="AC237" s="113">
        <f>SigConcDev(B237:U237,Report!B138)</f>
        <v>1.8683450053885353</v>
      </c>
      <c r="AD237" s="7">
        <f t="array" ref="AD237">SUM(IF(B237:U237&gt;HLOOKUP("Section "&amp;Report!$B138,$AL$76:$AN$83,8),0,IF(B237:U237&lt;HLOOKUP("Section "&amp;Report!$B138,$AL$76:$AN$83,7),0,1)))</f>
        <v>2</v>
      </c>
      <c r="AE237" s="114">
        <f ca="1">IF(BioScale_Internal!$N$28,IF(COUNTIF(INDIRECT("'Sample Setup'!R27C"&amp;1+'Sample Setup'!$O$5,0):INDIRECT("'Sample Setup'!R34C"&amp;1+'Sample Setup'!$Q$5,0),AA237)&gt;0,1,IF(COUNTIF(INDIRECT("'Sample Setup'!R27C"&amp;1+'Sample Setup'!$O$6,0):INDIRECT("'Sample Setup'!R34C"&amp;1+'Sample Setup'!$Q$6,0),AA237)&gt;0,2,IF(COUNTIF(INDIRECT("'Sample Setup'!R27C"&amp;1+'Sample Setup'!$O$7,0):INDIRECT("'Sample Setup'!R34C"&amp;1+'Sample Setup'!$Q$7,0),AA237)&gt;0,3,NA()))),NA())</f>
        <v>1</v>
      </c>
    </row>
    <row r="238" spans="1:31" hidden="1" x14ac:dyDescent="0.25">
      <c r="A238" s="6" t="s">
        <v>266</v>
      </c>
      <c r="B238" s="21">
        <v>0.46</v>
      </c>
      <c r="C238" s="21">
        <v>0.44500000000000001</v>
      </c>
      <c r="D238" s="21"/>
      <c r="E238" s="21"/>
      <c r="F238" s="21"/>
      <c r="G238" s="21"/>
      <c r="H238" s="21"/>
      <c r="I238" s="21"/>
      <c r="J238" s="21"/>
      <c r="K238" s="21"/>
      <c r="L238" s="21"/>
      <c r="M238" s="21"/>
      <c r="N238" s="21"/>
      <c r="O238" s="21"/>
      <c r="P238" s="21"/>
      <c r="Q238" s="21"/>
      <c r="R238" s="21"/>
      <c r="S238" s="21"/>
      <c r="T238" s="21"/>
      <c r="U238" s="21"/>
      <c r="V238" s="115">
        <f t="shared" si="73"/>
        <v>0.45250000000000001</v>
      </c>
      <c r="W238" s="115">
        <f t="shared" si="74"/>
        <v>1.0606601717798222E-2</v>
      </c>
      <c r="X238" s="116">
        <f t="shared" si="75"/>
        <v>2.3440003796239166E-2</v>
      </c>
      <c r="Y238" s="7">
        <f>COUNTIF('Sample Setup'!$B$27:$AW$34,Calculations!A238)</f>
        <v>2</v>
      </c>
      <c r="AA238" s="6" t="s">
        <v>266</v>
      </c>
      <c r="AB238" s="117">
        <f>SigConcAvg(B238:U238,Report!B139)</f>
        <v>64.534947280292187</v>
      </c>
      <c r="AC238" s="113">
        <f>SigConcDev(B238:U238,Report!B139)</f>
        <v>1.5568480616823628</v>
      </c>
      <c r="AD238" s="7">
        <f t="array" ref="AD238">SUM(IF(B238:U238&gt;HLOOKUP("Section "&amp;Report!$B139,$AL$76:$AN$83,8),0,IF(B238:U238&lt;HLOOKUP("Section "&amp;Report!$B139,$AL$76:$AN$83,7),0,1)))</f>
        <v>2</v>
      </c>
      <c r="AE238" s="114">
        <f ca="1">IF(BioScale_Internal!$N$28,IF(COUNTIF(INDIRECT("'Sample Setup'!R27C"&amp;1+'Sample Setup'!$O$5,0):INDIRECT("'Sample Setup'!R34C"&amp;1+'Sample Setup'!$Q$5,0),AA238)&gt;0,1,IF(COUNTIF(INDIRECT("'Sample Setup'!R27C"&amp;1+'Sample Setup'!$O$6,0):INDIRECT("'Sample Setup'!R34C"&amp;1+'Sample Setup'!$Q$6,0),AA238)&gt;0,2,IF(COUNTIF(INDIRECT("'Sample Setup'!R27C"&amp;1+'Sample Setup'!$O$7,0):INDIRECT("'Sample Setup'!R34C"&amp;1+'Sample Setup'!$Q$7,0),AA238)&gt;0,3,NA()))),NA())</f>
        <v>1</v>
      </c>
    </row>
    <row r="239" spans="1:31" hidden="1" x14ac:dyDescent="0.25">
      <c r="A239" s="6" t="s">
        <v>267</v>
      </c>
      <c r="B239" s="21">
        <v>0.248</v>
      </c>
      <c r="C239" s="21">
        <v>0.222</v>
      </c>
      <c r="D239" s="21"/>
      <c r="E239" s="21"/>
      <c r="F239" s="21"/>
      <c r="G239" s="21"/>
      <c r="H239" s="21"/>
      <c r="I239" s="21"/>
      <c r="J239" s="21"/>
      <c r="K239" s="21"/>
      <c r="L239" s="21"/>
      <c r="M239" s="21"/>
      <c r="N239" s="21"/>
      <c r="O239" s="21"/>
      <c r="P239" s="21"/>
      <c r="Q239" s="21"/>
      <c r="R239" s="21"/>
      <c r="S239" s="21"/>
      <c r="T239" s="21"/>
      <c r="U239" s="21"/>
      <c r="V239" s="115">
        <f t="shared" si="73"/>
        <v>0.23499999999999999</v>
      </c>
      <c r="W239" s="115">
        <f t="shared" si="74"/>
        <v>1.8384776310850233E-2</v>
      </c>
      <c r="X239" s="116">
        <f t="shared" si="75"/>
        <v>7.8233090684469084E-2</v>
      </c>
      <c r="Y239" s="7">
        <f>COUNTIF('Sample Setup'!$B$27:$AW$34,Calculations!A239)</f>
        <v>2</v>
      </c>
      <c r="AA239" s="6" t="s">
        <v>267</v>
      </c>
      <c r="AB239" s="117">
        <f>SigConcAvg(B239:U239,Report!B140)</f>
        <v>32.932646997041225</v>
      </c>
      <c r="AC239" s="113">
        <f>SigConcDev(B239:U239,Report!B140)</f>
        <v>2.6562593453212435</v>
      </c>
      <c r="AD239" s="7">
        <f t="array" ref="AD239">SUM(IF(B239:U239&gt;HLOOKUP("Section "&amp;Report!$B140,$AL$76:$AN$83,8),0,IF(B239:U239&lt;HLOOKUP("Section "&amp;Report!$B140,$AL$76:$AN$83,7),0,1)))</f>
        <v>2</v>
      </c>
      <c r="AE239" s="114">
        <f ca="1">IF(BioScale_Internal!$N$28,IF(COUNTIF(INDIRECT("'Sample Setup'!R27C"&amp;1+'Sample Setup'!$O$5,0):INDIRECT("'Sample Setup'!R34C"&amp;1+'Sample Setup'!$Q$5,0),AA239)&gt;0,1,IF(COUNTIF(INDIRECT("'Sample Setup'!R27C"&amp;1+'Sample Setup'!$O$6,0):INDIRECT("'Sample Setup'!R34C"&amp;1+'Sample Setup'!$Q$6,0),AA239)&gt;0,2,IF(COUNTIF(INDIRECT("'Sample Setup'!R27C"&amp;1+'Sample Setup'!$O$7,0):INDIRECT("'Sample Setup'!R34C"&amp;1+'Sample Setup'!$Q$7,0),AA239)&gt;0,3,NA()))),NA())</f>
        <v>1</v>
      </c>
    </row>
    <row r="240" spans="1:31" hidden="1" x14ac:dyDescent="0.25">
      <c r="A240" s="6" t="s">
        <v>268</v>
      </c>
      <c r="B240" s="21">
        <v>0.48699999999999999</v>
      </c>
      <c r="C240" s="21">
        <v>0.44500000000000001</v>
      </c>
      <c r="D240" s="21"/>
      <c r="E240" s="21"/>
      <c r="F240" s="21"/>
      <c r="G240" s="21"/>
      <c r="H240" s="21"/>
      <c r="I240" s="21"/>
      <c r="J240" s="21"/>
      <c r="K240" s="21"/>
      <c r="L240" s="21"/>
      <c r="M240" s="21"/>
      <c r="N240" s="21"/>
      <c r="O240" s="21"/>
      <c r="P240" s="21"/>
      <c r="Q240" s="21"/>
      <c r="R240" s="21"/>
      <c r="S240" s="21"/>
      <c r="T240" s="21"/>
      <c r="U240" s="21"/>
      <c r="V240" s="115">
        <f t="shared" si="73"/>
        <v>0.46599999999999997</v>
      </c>
      <c r="W240" s="115">
        <f t="shared" si="74"/>
        <v>2.9698484809834984E-2</v>
      </c>
      <c r="X240" s="116">
        <f t="shared" si="75"/>
        <v>6.3730654098358333E-2</v>
      </c>
      <c r="Y240" s="7">
        <f>COUNTIF('Sample Setup'!$B$27:$AW$34,Calculations!A240)</f>
        <v>2</v>
      </c>
      <c r="AA240" s="6" t="s">
        <v>268</v>
      </c>
      <c r="AB240" s="117">
        <f>SigConcAvg(B240:U240,Report!B141)</f>
        <v>66.522227669147242</v>
      </c>
      <c r="AC240" s="113">
        <f>SigConcDev(B240:U240,Report!B141)</f>
        <v>4.3672869398392598</v>
      </c>
      <c r="AD240" s="7">
        <f t="array" ref="AD240">SUM(IF(B240:U240&gt;HLOOKUP("Section "&amp;Report!$B141,$AL$76:$AN$83,8),0,IF(B240:U240&lt;HLOOKUP("Section "&amp;Report!$B141,$AL$76:$AN$83,7),0,1)))</f>
        <v>2</v>
      </c>
      <c r="AE240" s="114">
        <f ca="1">IF(BioScale_Internal!$N$28,IF(COUNTIF(INDIRECT("'Sample Setup'!R27C"&amp;1+'Sample Setup'!$O$5,0):INDIRECT("'Sample Setup'!R34C"&amp;1+'Sample Setup'!$Q$5,0),AA240)&gt;0,1,IF(COUNTIF(INDIRECT("'Sample Setup'!R27C"&amp;1+'Sample Setup'!$O$6,0):INDIRECT("'Sample Setup'!R34C"&amp;1+'Sample Setup'!$Q$6,0),AA240)&gt;0,2,IF(COUNTIF(INDIRECT("'Sample Setup'!R27C"&amp;1+'Sample Setup'!$O$7,0):INDIRECT("'Sample Setup'!R34C"&amp;1+'Sample Setup'!$Q$7,0),AA240)&gt;0,3,NA()))),NA())</f>
        <v>1</v>
      </c>
    </row>
    <row r="241" spans="1:31" hidden="1" x14ac:dyDescent="0.25">
      <c r="A241" s="6" t="s">
        <v>269</v>
      </c>
      <c r="B241" s="21">
        <v>0.23599999999999999</v>
      </c>
      <c r="C241" s="241">
        <v>0.24299999999999999</v>
      </c>
      <c r="D241" s="21"/>
      <c r="E241" s="21"/>
      <c r="F241" s="21"/>
      <c r="G241" s="21"/>
      <c r="H241" s="21"/>
      <c r="I241" s="21"/>
      <c r="J241" s="21"/>
      <c r="K241" s="21"/>
      <c r="L241" s="21"/>
      <c r="M241" s="21"/>
      <c r="N241" s="21"/>
      <c r="O241" s="21"/>
      <c r="P241" s="21"/>
      <c r="Q241" s="21"/>
      <c r="R241" s="21"/>
      <c r="S241" s="21"/>
      <c r="T241" s="21"/>
      <c r="U241" s="21"/>
      <c r="V241" s="115">
        <f t="shared" si="73"/>
        <v>0.23949999999999999</v>
      </c>
      <c r="W241" s="115">
        <f t="shared" si="74"/>
        <v>4.9497474683058368E-3</v>
      </c>
      <c r="X241" s="116">
        <f t="shared" si="75"/>
        <v>2.0667004043030634E-2</v>
      </c>
      <c r="Y241" s="7">
        <f>COUNTIF('Sample Setup'!$B$27:$AW$34,Calculations!A241)</f>
        <v>2</v>
      </c>
      <c r="AA241" s="6" t="s">
        <v>269</v>
      </c>
      <c r="AB241" s="117">
        <f>SigConcAvg(B241:U241,Report!B142)</f>
        <v>33.582760037428997</v>
      </c>
      <c r="AC241" s="113">
        <f>SigConcDev(B241:U241,Report!B142)</f>
        <v>0.71515249353513</v>
      </c>
      <c r="AD241" s="7">
        <f t="array" ref="AD241">SUM(IF(B241:U241&gt;HLOOKUP("Section "&amp;Report!$B142,$AL$76:$AN$83,8),0,IF(B241:U241&lt;HLOOKUP("Section "&amp;Report!$B142,$AL$76:$AN$83,7),0,1)))</f>
        <v>2</v>
      </c>
      <c r="AE241" s="114">
        <f ca="1">IF(BioScale_Internal!$N$28,IF(COUNTIF(INDIRECT("'Sample Setup'!R27C"&amp;1+'Sample Setup'!$O$5,0):INDIRECT("'Sample Setup'!R34C"&amp;1+'Sample Setup'!$Q$5,0),AA241)&gt;0,1,IF(COUNTIF(INDIRECT("'Sample Setup'!R27C"&amp;1+'Sample Setup'!$O$6,0):INDIRECT("'Sample Setup'!R34C"&amp;1+'Sample Setup'!$Q$6,0),AA241)&gt;0,2,IF(COUNTIF(INDIRECT("'Sample Setup'!R27C"&amp;1+'Sample Setup'!$O$7,0):INDIRECT("'Sample Setup'!R34C"&amp;1+'Sample Setup'!$Q$7,0),AA241)&gt;0,3,NA()))),NA())</f>
        <v>1</v>
      </c>
    </row>
    <row r="242" spans="1:31" hidden="1" x14ac:dyDescent="0.25">
      <c r="A242" s="6" t="s">
        <v>270</v>
      </c>
      <c r="B242" s="21">
        <v>0.22700000000000001</v>
      </c>
      <c r="C242" s="21">
        <v>0.23400000000000001</v>
      </c>
      <c r="D242" s="21"/>
      <c r="E242" s="21"/>
      <c r="F242" s="21"/>
      <c r="G242" s="21"/>
      <c r="H242" s="21"/>
      <c r="I242" s="21"/>
      <c r="J242" s="21"/>
      <c r="K242" s="21"/>
      <c r="L242" s="21"/>
      <c r="M242" s="21"/>
      <c r="N242" s="21"/>
      <c r="O242" s="21"/>
      <c r="P242" s="21"/>
      <c r="Q242" s="21"/>
      <c r="R242" s="21"/>
      <c r="S242" s="21"/>
      <c r="T242" s="21"/>
      <c r="U242" s="21"/>
      <c r="V242" s="115">
        <f t="shared" si="73"/>
        <v>0.23050000000000001</v>
      </c>
      <c r="W242" s="115">
        <f t="shared" si="74"/>
        <v>4.9497474683058368E-3</v>
      </c>
      <c r="X242" s="116">
        <f t="shared" si="75"/>
        <v>2.1473958647747666E-2</v>
      </c>
      <c r="Y242" s="7">
        <f>COUNTIF('Sample Setup'!$B$27:$AW$34,Calculations!A242)</f>
        <v>2</v>
      </c>
      <c r="AA242" s="6" t="s">
        <v>270</v>
      </c>
      <c r="AB242" s="117">
        <f>SigConcAvg(B242:U242,Report!B143)</f>
        <v>32.282445545878971</v>
      </c>
      <c r="AC242" s="113">
        <f>SigConcDev(B242:U242,Report!B143)</f>
        <v>0.71512340652314677</v>
      </c>
      <c r="AD242" s="7">
        <f t="array" ref="AD242">SUM(IF(B242:U242&gt;HLOOKUP("Section "&amp;Report!$B143,$AL$76:$AN$83,8),0,IF(B242:U242&lt;HLOOKUP("Section "&amp;Report!$B143,$AL$76:$AN$83,7),0,1)))</f>
        <v>2</v>
      </c>
      <c r="AE242" s="114">
        <f ca="1">IF(BioScale_Internal!$N$28,IF(COUNTIF(INDIRECT("'Sample Setup'!R27C"&amp;1+'Sample Setup'!$O$5,0):INDIRECT("'Sample Setup'!R34C"&amp;1+'Sample Setup'!$Q$5,0),AA242)&gt;0,1,IF(COUNTIF(INDIRECT("'Sample Setup'!R27C"&amp;1+'Sample Setup'!$O$6,0):INDIRECT("'Sample Setup'!R34C"&amp;1+'Sample Setup'!$Q$6,0),AA242)&gt;0,2,IF(COUNTIF(INDIRECT("'Sample Setup'!R27C"&amp;1+'Sample Setup'!$O$7,0):INDIRECT("'Sample Setup'!R34C"&amp;1+'Sample Setup'!$Q$7,0),AA242)&gt;0,3,NA()))),NA())</f>
        <v>1</v>
      </c>
    </row>
    <row r="243" spans="1:31" hidden="1" x14ac:dyDescent="0.25">
      <c r="A243" s="6" t="s">
        <v>271</v>
      </c>
      <c r="B243" s="21">
        <v>0.54200000000000004</v>
      </c>
      <c r="C243" s="21">
        <v>0.51500000000000001</v>
      </c>
      <c r="D243" s="21"/>
      <c r="E243" s="21"/>
      <c r="F243" s="21"/>
      <c r="G243" s="21"/>
      <c r="H243" s="21"/>
      <c r="I243" s="21"/>
      <c r="J243" s="21"/>
      <c r="K243" s="21"/>
      <c r="L243" s="21"/>
      <c r="M243" s="21"/>
      <c r="N243" s="21"/>
      <c r="O243" s="21"/>
      <c r="P243" s="21"/>
      <c r="Q243" s="21"/>
      <c r="R243" s="21"/>
      <c r="S243" s="21"/>
      <c r="T243" s="21"/>
      <c r="U243" s="21"/>
      <c r="V243" s="115">
        <f t="shared" si="73"/>
        <v>0.52849999999999997</v>
      </c>
      <c r="W243" s="115">
        <f t="shared" si="74"/>
        <v>1.9091883092036802E-2</v>
      </c>
      <c r="X243" s="116">
        <f t="shared" si="75"/>
        <v>3.6124660533655255E-2</v>
      </c>
      <c r="Y243" s="7">
        <f>COUNTIF('Sample Setup'!$B$27:$AW$34,Calculations!A243)</f>
        <v>2</v>
      </c>
      <c r="AA243" s="6" t="s">
        <v>271</v>
      </c>
      <c r="AB243" s="117">
        <f>SigConcAvg(B243:U243,Report!B144)</f>
        <v>75.753444107555936</v>
      </c>
      <c r="AC243" s="113">
        <f>SigConcDev(B243:U243,Report!B144)</f>
        <v>2.8346158740758121</v>
      </c>
      <c r="AD243" s="7">
        <f t="array" ref="AD243">SUM(IF(B243:U243&gt;HLOOKUP("Section "&amp;Report!$B144,$AL$76:$AN$83,8),0,IF(B243:U243&lt;HLOOKUP("Section "&amp;Report!$B144,$AL$76:$AN$83,7),0,1)))</f>
        <v>2</v>
      </c>
      <c r="AE243" s="114">
        <f ca="1">IF(BioScale_Internal!$N$28,IF(COUNTIF(INDIRECT("'Sample Setup'!R27C"&amp;1+'Sample Setup'!$O$5,0):INDIRECT("'Sample Setup'!R34C"&amp;1+'Sample Setup'!$Q$5,0),AA243)&gt;0,1,IF(COUNTIF(INDIRECT("'Sample Setup'!R27C"&amp;1+'Sample Setup'!$O$6,0):INDIRECT("'Sample Setup'!R34C"&amp;1+'Sample Setup'!$Q$6,0),AA243)&gt;0,2,IF(COUNTIF(INDIRECT("'Sample Setup'!R27C"&amp;1+'Sample Setup'!$O$7,0):INDIRECT("'Sample Setup'!R34C"&amp;1+'Sample Setup'!$Q$7,0),AA243)&gt;0,3,NA()))),NA())</f>
        <v>1</v>
      </c>
    </row>
    <row r="244" spans="1:31" hidden="1" x14ac:dyDescent="0.25">
      <c r="A244" s="6" t="s">
        <v>272</v>
      </c>
      <c r="B244" s="241">
        <v>0.22800000000000001</v>
      </c>
      <c r="C244" s="241">
        <v>0.219</v>
      </c>
      <c r="D244" s="21"/>
      <c r="E244" s="21"/>
      <c r="F244" s="21"/>
      <c r="G244" s="21"/>
      <c r="H244" s="21"/>
      <c r="I244" s="21"/>
      <c r="J244" s="21"/>
      <c r="K244" s="21"/>
      <c r="L244" s="21"/>
      <c r="M244" s="21"/>
      <c r="N244" s="21"/>
      <c r="O244" s="21"/>
      <c r="P244" s="21"/>
      <c r="Q244" s="21"/>
      <c r="R244" s="21"/>
      <c r="S244" s="21"/>
      <c r="T244" s="21"/>
      <c r="U244" s="21"/>
      <c r="V244" s="115">
        <f t="shared" si="73"/>
        <v>0.2235</v>
      </c>
      <c r="W244" s="115">
        <f t="shared" si="74"/>
        <v>6.3639610306789329E-3</v>
      </c>
      <c r="X244" s="116">
        <f t="shared" si="75"/>
        <v>2.8474098571270392E-2</v>
      </c>
      <c r="Y244" s="7">
        <f>COUNTIF('Sample Setup'!$B$27:$AW$34,Calculations!A244)</f>
        <v>2</v>
      </c>
      <c r="AA244" s="6" t="s">
        <v>272</v>
      </c>
      <c r="AB244" s="117">
        <f>SigConcAvg(B244:U244,Report!B145)</f>
        <v>31.271099557367023</v>
      </c>
      <c r="AC244" s="113">
        <f>SigConcDev(B244:U244,Report!B145)</f>
        <v>0.91945654276667632</v>
      </c>
      <c r="AD244" s="7">
        <f t="array" ref="AD244">SUM(IF(B244:U244&gt;HLOOKUP("Section "&amp;Report!$B145,$AL$76:$AN$83,8),0,IF(B244:U244&lt;HLOOKUP("Section "&amp;Report!$B145,$AL$76:$AN$83,7),0,1)))</f>
        <v>2</v>
      </c>
      <c r="AE244" s="114">
        <f ca="1">IF(BioScale_Internal!$N$28,IF(COUNTIF(INDIRECT("'Sample Setup'!R27C"&amp;1+'Sample Setup'!$O$5,0):INDIRECT("'Sample Setup'!R34C"&amp;1+'Sample Setup'!$Q$5,0),AA244)&gt;0,1,IF(COUNTIF(INDIRECT("'Sample Setup'!R27C"&amp;1+'Sample Setup'!$O$6,0):INDIRECT("'Sample Setup'!R34C"&amp;1+'Sample Setup'!$Q$6,0),AA244)&gt;0,2,IF(COUNTIF(INDIRECT("'Sample Setup'!R27C"&amp;1+'Sample Setup'!$O$7,0):INDIRECT("'Sample Setup'!R34C"&amp;1+'Sample Setup'!$Q$7,0),AA244)&gt;0,3,NA()))),NA())</f>
        <v>1</v>
      </c>
    </row>
    <row r="245" spans="1:31" hidden="1" x14ac:dyDescent="0.25">
      <c r="A245" s="6" t="s">
        <v>273</v>
      </c>
      <c r="B245" s="21">
        <v>0.248</v>
      </c>
      <c r="C245" s="21">
        <v>0.28199999999999997</v>
      </c>
      <c r="D245" s="21"/>
      <c r="E245" s="21"/>
      <c r="F245" s="21"/>
      <c r="G245" s="21"/>
      <c r="H245" s="21"/>
      <c r="I245" s="21"/>
      <c r="J245" s="21"/>
      <c r="K245" s="21"/>
      <c r="L245" s="21"/>
      <c r="M245" s="21"/>
      <c r="N245" s="21"/>
      <c r="O245" s="21"/>
      <c r="P245" s="21"/>
      <c r="Q245" s="21"/>
      <c r="R245" s="21"/>
      <c r="S245" s="21"/>
      <c r="T245" s="21"/>
      <c r="U245" s="21"/>
      <c r="V245" s="115">
        <f t="shared" si="73"/>
        <v>0.26500000000000001</v>
      </c>
      <c r="W245" s="115">
        <f t="shared" si="74"/>
        <v>2.4041630560342597E-2</v>
      </c>
      <c r="X245" s="116">
        <f t="shared" si="75"/>
        <v>9.0723134189972063E-2</v>
      </c>
      <c r="Y245" s="7">
        <f>COUNTIF('Sample Setup'!$B$27:$AW$34,Calculations!A245)</f>
        <v>2</v>
      </c>
      <c r="AA245" s="6" t="s">
        <v>273</v>
      </c>
      <c r="AB245" s="117">
        <f>SigConcAvg(B245:U245,Report!B146)</f>
        <v>37.268268601929421</v>
      </c>
      <c r="AC245" s="113">
        <f>SigConcDev(B245:U245,Report!B146)</f>
        <v>3.4752355296294528</v>
      </c>
      <c r="AD245" s="7">
        <f t="array" ref="AD245">SUM(IF(B245:U245&gt;HLOOKUP("Section "&amp;Report!$B146,$AL$76:$AN$83,8),0,IF(B245:U245&lt;HLOOKUP("Section "&amp;Report!$B146,$AL$76:$AN$83,7),0,1)))</f>
        <v>2</v>
      </c>
      <c r="AE245" s="114">
        <f ca="1">IF(BioScale_Internal!$N$28,IF(COUNTIF(INDIRECT("'Sample Setup'!R27C"&amp;1+'Sample Setup'!$O$5,0):INDIRECT("'Sample Setup'!R34C"&amp;1+'Sample Setup'!$Q$5,0),AA245)&gt;0,1,IF(COUNTIF(INDIRECT("'Sample Setup'!R27C"&amp;1+'Sample Setup'!$O$6,0):INDIRECT("'Sample Setup'!R34C"&amp;1+'Sample Setup'!$Q$6,0),AA245)&gt;0,2,IF(COUNTIF(INDIRECT("'Sample Setup'!R27C"&amp;1+'Sample Setup'!$O$7,0):INDIRECT("'Sample Setup'!R34C"&amp;1+'Sample Setup'!$Q$7,0),AA245)&gt;0,3,NA()))),NA())</f>
        <v>1</v>
      </c>
    </row>
    <row r="246" spans="1:31" hidden="1" x14ac:dyDescent="0.25">
      <c r="A246" s="6" t="s">
        <v>274</v>
      </c>
      <c r="B246" s="241">
        <v>0.28999999999999998</v>
      </c>
      <c r="C246" s="21">
        <v>0.28100000000000003</v>
      </c>
      <c r="D246" s="21"/>
      <c r="E246" s="21"/>
      <c r="F246" s="21"/>
      <c r="G246" s="21"/>
      <c r="H246" s="21"/>
      <c r="I246" s="21"/>
      <c r="J246" s="21"/>
      <c r="K246" s="21"/>
      <c r="L246" s="21"/>
      <c r="M246" s="21"/>
      <c r="N246" s="21"/>
      <c r="O246" s="21"/>
      <c r="P246" s="21"/>
      <c r="Q246" s="21"/>
      <c r="R246" s="21"/>
      <c r="S246" s="21"/>
      <c r="T246" s="21"/>
      <c r="U246" s="21"/>
      <c r="V246" s="115">
        <f t="shared" si="73"/>
        <v>0.28549999999999998</v>
      </c>
      <c r="W246" s="115">
        <f t="shared" si="74"/>
        <v>6.3639610306788939E-3</v>
      </c>
      <c r="X246" s="116">
        <f t="shared" si="75"/>
        <v>2.2290581543533781E-2</v>
      </c>
      <c r="Y246" s="7">
        <f>COUNTIF('Sample Setup'!$B$27:$AW$34,Calculations!A246)</f>
        <v>2</v>
      </c>
      <c r="AA246" s="6" t="s">
        <v>274</v>
      </c>
      <c r="AB246" s="117">
        <f>SigConcAvg(B246:U246,Report!B147)</f>
        <v>40.2319093183755</v>
      </c>
      <c r="AC246" s="113">
        <f>SigConcDev(B246:U246,Report!B147)</f>
        <v>0.92051150603095877</v>
      </c>
      <c r="AD246" s="7">
        <f t="array" ref="AD246">SUM(IF(B246:U246&gt;HLOOKUP("Section "&amp;Report!$B147,$AL$76:$AN$83,8),0,IF(B246:U246&lt;HLOOKUP("Section "&amp;Report!$B147,$AL$76:$AN$83,7),0,1)))</f>
        <v>2</v>
      </c>
      <c r="AE246" s="114">
        <f ca="1">IF(BioScale_Internal!$N$28,IF(COUNTIF(INDIRECT("'Sample Setup'!R27C"&amp;1+'Sample Setup'!$O$5,0):INDIRECT("'Sample Setup'!R34C"&amp;1+'Sample Setup'!$Q$5,0),AA246)&gt;0,1,IF(COUNTIF(INDIRECT("'Sample Setup'!R27C"&amp;1+'Sample Setup'!$O$6,0):INDIRECT("'Sample Setup'!R34C"&amp;1+'Sample Setup'!$Q$6,0),AA246)&gt;0,2,IF(COUNTIF(INDIRECT("'Sample Setup'!R27C"&amp;1+'Sample Setup'!$O$7,0):INDIRECT("'Sample Setup'!R34C"&amp;1+'Sample Setup'!$Q$7,0),AA246)&gt;0,3,NA()))),NA())</f>
        <v>1</v>
      </c>
    </row>
    <row r="247" spans="1:31" hidden="1" x14ac:dyDescent="0.25">
      <c r="A247" s="6" t="s">
        <v>275</v>
      </c>
      <c r="B247" s="21">
        <v>0.219</v>
      </c>
      <c r="C247" s="21">
        <v>0.20300000000000001</v>
      </c>
      <c r="D247" s="21"/>
      <c r="E247" s="21"/>
      <c r="F247" s="21"/>
      <c r="G247" s="21"/>
      <c r="H247" s="21"/>
      <c r="I247" s="21"/>
      <c r="J247" s="21"/>
      <c r="K247" s="21"/>
      <c r="L247" s="21"/>
      <c r="M247" s="21"/>
      <c r="N247" s="21"/>
      <c r="O247" s="21"/>
      <c r="P247" s="21"/>
      <c r="Q247" s="21"/>
      <c r="R247" s="21"/>
      <c r="S247" s="21"/>
      <c r="T247" s="21"/>
      <c r="U247" s="21"/>
      <c r="V247" s="115">
        <f t="shared" si="73"/>
        <v>0.21100000000000002</v>
      </c>
      <c r="W247" s="115">
        <f t="shared" si="74"/>
        <v>1.1313708498984752E-2</v>
      </c>
      <c r="X247" s="116">
        <f t="shared" si="75"/>
        <v>5.3619471559169435E-2</v>
      </c>
      <c r="Y247" s="7">
        <f>COUNTIF('Sample Setup'!$B$27:$AW$34,Calculations!A247)</f>
        <v>2</v>
      </c>
      <c r="AA247" s="6" t="s">
        <v>275</v>
      </c>
      <c r="AB247" s="117">
        <f>SigConcAvg(B247:U247,Report!B148)</f>
        <v>29.46496863633903</v>
      </c>
      <c r="AC247" s="113">
        <f>SigConcDev(B247:U247,Report!B148)</f>
        <v>1.6347983011725236</v>
      </c>
      <c r="AD247" s="7">
        <f t="array" ref="AD247">SUM(IF(B247:U247&gt;HLOOKUP("Section "&amp;Report!$B148,$AL$76:$AN$83,8),0,IF(B247:U247&lt;HLOOKUP("Section "&amp;Report!$B148,$AL$76:$AN$83,7),0,1)))</f>
        <v>2</v>
      </c>
      <c r="AE247" s="114">
        <f ca="1">IF(BioScale_Internal!$N$28,IF(COUNTIF(INDIRECT("'Sample Setup'!R27C"&amp;1+'Sample Setup'!$O$5,0):INDIRECT("'Sample Setup'!R34C"&amp;1+'Sample Setup'!$Q$5,0),AA247)&gt;0,1,IF(COUNTIF(INDIRECT("'Sample Setup'!R27C"&amp;1+'Sample Setup'!$O$6,0):INDIRECT("'Sample Setup'!R34C"&amp;1+'Sample Setup'!$Q$6,0),AA247)&gt;0,2,IF(COUNTIF(INDIRECT("'Sample Setup'!R27C"&amp;1+'Sample Setup'!$O$7,0):INDIRECT("'Sample Setup'!R34C"&amp;1+'Sample Setup'!$Q$7,0),AA247)&gt;0,3,NA()))),NA())</f>
        <v>1</v>
      </c>
    </row>
    <row r="248" spans="1:31" hidden="1" x14ac:dyDescent="0.25">
      <c r="A248" s="6" t="s">
        <v>276</v>
      </c>
      <c r="B248" s="21">
        <v>0.27100000000000002</v>
      </c>
      <c r="C248" s="21">
        <v>0.252</v>
      </c>
      <c r="D248" s="21"/>
      <c r="E248" s="21"/>
      <c r="F248" s="21"/>
      <c r="G248" s="21"/>
      <c r="H248" s="21"/>
      <c r="I248" s="21"/>
      <c r="J248" s="21"/>
      <c r="K248" s="21"/>
      <c r="L248" s="21"/>
      <c r="M248" s="21"/>
      <c r="N248" s="21"/>
      <c r="O248" s="21"/>
      <c r="P248" s="21"/>
      <c r="Q248" s="21"/>
      <c r="R248" s="21"/>
      <c r="S248" s="21"/>
      <c r="T248" s="21"/>
      <c r="U248" s="21"/>
      <c r="V248" s="115">
        <f t="shared" si="73"/>
        <v>0.26150000000000001</v>
      </c>
      <c r="W248" s="115">
        <f t="shared" si="74"/>
        <v>1.3435028842544414E-2</v>
      </c>
      <c r="X248" s="116">
        <f t="shared" si="75"/>
        <v>5.1376783336689921E-2</v>
      </c>
      <c r="Y248" s="7">
        <f>COUNTIF('Sample Setup'!$B$27:$AW$34,Calculations!A248)</f>
        <v>2</v>
      </c>
      <c r="AA248" s="6" t="s">
        <v>276</v>
      </c>
      <c r="AB248" s="117">
        <f>SigConcAvg(B248:U248,Report!B149)</f>
        <v>36.761988509901094</v>
      </c>
      <c r="AC248" s="113">
        <f>SigConcDev(B248:U248,Report!B149)</f>
        <v>1.9418292965059127</v>
      </c>
      <c r="AD248" s="7">
        <f t="array" ref="AD248">SUM(IF(B248:U248&gt;HLOOKUP("Section "&amp;Report!$B149,$AL$76:$AN$83,8),0,IF(B248:U248&lt;HLOOKUP("Section "&amp;Report!$B149,$AL$76:$AN$83,7),0,1)))</f>
        <v>2</v>
      </c>
      <c r="AE248" s="114">
        <f ca="1">IF(BioScale_Internal!$N$28,IF(COUNTIF(INDIRECT("'Sample Setup'!R27C"&amp;1+'Sample Setup'!$O$5,0):INDIRECT("'Sample Setup'!R34C"&amp;1+'Sample Setup'!$Q$5,0),AA248)&gt;0,1,IF(COUNTIF(INDIRECT("'Sample Setup'!R27C"&amp;1+'Sample Setup'!$O$6,0):INDIRECT("'Sample Setup'!R34C"&amp;1+'Sample Setup'!$Q$6,0),AA248)&gt;0,2,IF(COUNTIF(INDIRECT("'Sample Setup'!R27C"&amp;1+'Sample Setup'!$O$7,0):INDIRECT("'Sample Setup'!R34C"&amp;1+'Sample Setup'!$Q$7,0),AA248)&gt;0,3,NA()))),NA())</f>
        <v>1</v>
      </c>
    </row>
    <row r="249" spans="1:31" hidden="1" x14ac:dyDescent="0.25">
      <c r="A249" s="6" t="s">
        <v>277</v>
      </c>
      <c r="B249" s="21">
        <v>0.65200000000000002</v>
      </c>
      <c r="C249" s="21">
        <v>0.59799999999999998</v>
      </c>
      <c r="D249" s="21"/>
      <c r="E249" s="21"/>
      <c r="F249" s="21"/>
      <c r="G249" s="21"/>
      <c r="H249" s="21"/>
      <c r="I249" s="21"/>
      <c r="J249" s="21"/>
      <c r="K249" s="21"/>
      <c r="L249" s="21"/>
      <c r="M249" s="21"/>
      <c r="N249" s="21"/>
      <c r="O249" s="21"/>
      <c r="P249" s="21"/>
      <c r="Q249" s="21"/>
      <c r="R249" s="21"/>
      <c r="S249" s="21"/>
      <c r="T249" s="21"/>
      <c r="U249" s="21"/>
      <c r="V249" s="115">
        <f t="shared" si="73"/>
        <v>0.625</v>
      </c>
      <c r="W249" s="115">
        <f t="shared" si="74"/>
        <v>3.8183766184073605E-2</v>
      </c>
      <c r="X249" s="116">
        <f t="shared" si="75"/>
        <v>6.1094025894517769E-2</v>
      </c>
      <c r="Y249" s="7">
        <f>COUNTIF('Sample Setup'!$B$27:$AW$34,Calculations!A249)</f>
        <v>2</v>
      </c>
      <c r="AA249" s="6" t="s">
        <v>277</v>
      </c>
      <c r="AB249" s="117">
        <f>SigConcAvg(B249:U249,Report!B150)</f>
        <v>90.218649797638165</v>
      </c>
      <c r="AC249" s="113">
        <f>SigConcDev(B249:U249,Report!B150)</f>
        <v>5.7755862157476932</v>
      </c>
      <c r="AD249" s="7">
        <f t="array" ref="AD249">SUM(IF(B249:U249&gt;HLOOKUP("Section "&amp;Report!$B150,$AL$76:$AN$83,8),0,IF(B249:U249&lt;HLOOKUP("Section "&amp;Report!$B150,$AL$76:$AN$83,7),0,1)))</f>
        <v>2</v>
      </c>
      <c r="AE249" s="114">
        <f ca="1">IF(BioScale_Internal!$N$28,IF(COUNTIF(INDIRECT("'Sample Setup'!R27C"&amp;1+'Sample Setup'!$O$5,0):INDIRECT("'Sample Setup'!R34C"&amp;1+'Sample Setup'!$Q$5,0),AA249)&gt;0,1,IF(COUNTIF(INDIRECT("'Sample Setup'!R27C"&amp;1+'Sample Setup'!$O$6,0):INDIRECT("'Sample Setup'!R34C"&amp;1+'Sample Setup'!$Q$6,0),AA249)&gt;0,2,IF(COUNTIF(INDIRECT("'Sample Setup'!R27C"&amp;1+'Sample Setup'!$O$7,0):INDIRECT("'Sample Setup'!R34C"&amp;1+'Sample Setup'!$Q$7,0),AA249)&gt;0,3,NA()))),NA())</f>
        <v>1</v>
      </c>
    </row>
    <row r="250" spans="1:31" hidden="1" x14ac:dyDescent="0.25">
      <c r="A250" s="6" t="s">
        <v>278</v>
      </c>
      <c r="B250" s="21">
        <v>0.67300000000000004</v>
      </c>
      <c r="C250" s="241">
        <v>0.626</v>
      </c>
      <c r="D250" s="21"/>
      <c r="E250" s="21"/>
      <c r="F250" s="21"/>
      <c r="G250" s="21"/>
      <c r="H250" s="21"/>
      <c r="I250" s="21"/>
      <c r="J250" s="21"/>
      <c r="K250" s="21"/>
      <c r="L250" s="21"/>
      <c r="M250" s="21"/>
      <c r="N250" s="21"/>
      <c r="O250" s="21"/>
      <c r="P250" s="21"/>
      <c r="Q250" s="21"/>
      <c r="R250" s="21"/>
      <c r="S250" s="21"/>
      <c r="T250" s="21"/>
      <c r="U250" s="21"/>
      <c r="V250" s="115">
        <f t="shared" si="73"/>
        <v>0.64949999999999997</v>
      </c>
      <c r="W250" s="115">
        <f t="shared" si="74"/>
        <v>3.3234018715767762E-2</v>
      </c>
      <c r="X250" s="116">
        <f t="shared" si="75"/>
        <v>5.1168620039673228E-2</v>
      </c>
      <c r="Y250" s="7">
        <f>COUNTIF('Sample Setup'!$B$27:$AW$34,Calculations!A250)</f>
        <v>2</v>
      </c>
      <c r="AA250" s="6" t="s">
        <v>278</v>
      </c>
      <c r="AB250" s="117">
        <f>SigConcAvg(B250:U250,Report!B151)</f>
        <v>93.931846623223649</v>
      </c>
      <c r="AC250" s="113">
        <f>SigConcDev(B250:U250,Report!B151)</f>
        <v>5.0541027342380511</v>
      </c>
      <c r="AD250" s="7">
        <f t="array" ref="AD250">SUM(IF(B250:U250&gt;HLOOKUP("Section "&amp;Report!$B151,$AL$76:$AN$83,8),0,IF(B250:U250&lt;HLOOKUP("Section "&amp;Report!$B151,$AL$76:$AN$83,7),0,1)))</f>
        <v>2</v>
      </c>
      <c r="AE250" s="114">
        <f ca="1">IF(BioScale_Internal!$N$28,IF(COUNTIF(INDIRECT("'Sample Setup'!R27C"&amp;1+'Sample Setup'!$O$5,0):INDIRECT("'Sample Setup'!R34C"&amp;1+'Sample Setup'!$Q$5,0),AA250)&gt;0,1,IF(COUNTIF(INDIRECT("'Sample Setup'!R27C"&amp;1+'Sample Setup'!$O$6,0):INDIRECT("'Sample Setup'!R34C"&amp;1+'Sample Setup'!$Q$6,0),AA250)&gt;0,2,IF(COUNTIF(INDIRECT("'Sample Setup'!R27C"&amp;1+'Sample Setup'!$O$7,0):INDIRECT("'Sample Setup'!R34C"&amp;1+'Sample Setup'!$Q$7,0),AA250)&gt;0,3,NA()))),NA())</f>
        <v>1</v>
      </c>
    </row>
    <row r="251" spans="1:31" hidden="1" x14ac:dyDescent="0.25">
      <c r="A251" s="6" t="s">
        <v>279</v>
      </c>
      <c r="B251" s="241">
        <v>0.57499999999999996</v>
      </c>
      <c r="C251" s="241">
        <v>0.56000000000000005</v>
      </c>
      <c r="D251" s="21"/>
      <c r="E251" s="21"/>
      <c r="F251" s="21"/>
      <c r="G251" s="21"/>
      <c r="H251" s="21"/>
      <c r="I251" s="21"/>
      <c r="J251" s="21"/>
      <c r="K251" s="21"/>
      <c r="L251" s="21"/>
      <c r="M251" s="21"/>
      <c r="N251" s="21"/>
      <c r="O251" s="21"/>
      <c r="P251" s="21"/>
      <c r="Q251" s="21"/>
      <c r="R251" s="21"/>
      <c r="S251" s="21"/>
      <c r="T251" s="21"/>
      <c r="U251" s="21"/>
      <c r="V251" s="115">
        <f t="shared" si="73"/>
        <v>0.5675</v>
      </c>
      <c r="W251" s="115">
        <f t="shared" si="74"/>
        <v>1.0606601717798144E-2</v>
      </c>
      <c r="X251" s="116">
        <f t="shared" si="75"/>
        <v>1.869004707982052E-2</v>
      </c>
      <c r="Y251" s="7">
        <f>COUNTIF('Sample Setup'!$B$27:$AW$34,Calculations!A251)</f>
        <v>2</v>
      </c>
      <c r="AA251" s="6" t="s">
        <v>279</v>
      </c>
      <c r="AB251" s="117">
        <f>SigConcAvg(B251:U251,Report!B152)</f>
        <v>81.562114307151887</v>
      </c>
      <c r="AC251" s="113">
        <f>SigConcDev(B251:U251,Report!B152)</f>
        <v>1.5857646460789199</v>
      </c>
      <c r="AD251" s="7">
        <f t="array" ref="AD251">SUM(IF(B251:U251&gt;HLOOKUP("Section "&amp;Report!$B152,$AL$76:$AN$83,8),0,IF(B251:U251&lt;HLOOKUP("Section "&amp;Report!$B152,$AL$76:$AN$83,7),0,1)))</f>
        <v>2</v>
      </c>
      <c r="AE251" s="114">
        <f ca="1">IF(BioScale_Internal!$N$28,IF(COUNTIF(INDIRECT("'Sample Setup'!R27C"&amp;1+'Sample Setup'!$O$5,0):INDIRECT("'Sample Setup'!R34C"&amp;1+'Sample Setup'!$Q$5,0),AA251)&gt;0,1,IF(COUNTIF(INDIRECT("'Sample Setup'!R27C"&amp;1+'Sample Setup'!$O$6,0):INDIRECT("'Sample Setup'!R34C"&amp;1+'Sample Setup'!$Q$6,0),AA251)&gt;0,2,IF(COUNTIF(INDIRECT("'Sample Setup'!R27C"&amp;1+'Sample Setup'!$O$7,0):INDIRECT("'Sample Setup'!R34C"&amp;1+'Sample Setup'!$Q$7,0),AA251)&gt;0,3,NA()))),NA())</f>
        <v>1</v>
      </c>
    </row>
    <row r="252" spans="1:31" hidden="1" x14ac:dyDescent="0.25">
      <c r="A252" s="6" t="s">
        <v>280</v>
      </c>
      <c r="B252" s="21">
        <v>0.5</v>
      </c>
      <c r="C252" s="21">
        <v>0.48599999999999999</v>
      </c>
      <c r="D252" s="21"/>
      <c r="E252" s="21"/>
      <c r="F252" s="21"/>
      <c r="G252" s="21"/>
      <c r="H252" s="21"/>
      <c r="I252" s="21"/>
      <c r="J252" s="21"/>
      <c r="K252" s="21"/>
      <c r="L252" s="21"/>
      <c r="M252" s="21"/>
      <c r="N252" s="21"/>
      <c r="O252" s="21"/>
      <c r="P252" s="21"/>
      <c r="Q252" s="21"/>
      <c r="R252" s="21"/>
      <c r="S252" s="21"/>
      <c r="T252" s="21"/>
      <c r="U252" s="21"/>
      <c r="V252" s="115">
        <f t="shared" si="73"/>
        <v>0.49299999999999999</v>
      </c>
      <c r="W252" s="115">
        <f t="shared" si="74"/>
        <v>9.8994949366116736E-3</v>
      </c>
      <c r="X252" s="116">
        <f t="shared" si="75"/>
        <v>2.0080111433289399E-2</v>
      </c>
      <c r="Y252" s="7">
        <f>COUNTIF('Sample Setup'!$B$27:$AW$34,Calculations!A252)</f>
        <v>2</v>
      </c>
      <c r="AA252" s="6" t="s">
        <v>280</v>
      </c>
      <c r="AB252" s="117">
        <f>SigConcAvg(B252:U252,Report!B153)</f>
        <v>70.49627361871876</v>
      </c>
      <c r="AC252" s="113">
        <f>SigConcDev(B252:U252,Report!B153)</f>
        <v>1.4614343581830502</v>
      </c>
      <c r="AD252" s="7">
        <f t="array" ref="AD252">SUM(IF(B252:U252&gt;HLOOKUP("Section "&amp;Report!$B153,$AL$76:$AN$83,8),0,IF(B252:U252&lt;HLOOKUP("Section "&amp;Report!$B153,$AL$76:$AN$83,7),0,1)))</f>
        <v>2</v>
      </c>
      <c r="AE252" s="114">
        <f ca="1">IF(BioScale_Internal!$N$28,IF(COUNTIF(INDIRECT("'Sample Setup'!R27C"&amp;1+'Sample Setup'!$O$5,0):INDIRECT("'Sample Setup'!R34C"&amp;1+'Sample Setup'!$Q$5,0),AA252)&gt;0,1,IF(COUNTIF(INDIRECT("'Sample Setup'!R27C"&amp;1+'Sample Setup'!$O$6,0):INDIRECT("'Sample Setup'!R34C"&amp;1+'Sample Setup'!$Q$6,0),AA252)&gt;0,2,IF(COUNTIF(INDIRECT("'Sample Setup'!R27C"&amp;1+'Sample Setup'!$O$7,0):INDIRECT("'Sample Setup'!R34C"&amp;1+'Sample Setup'!$Q$7,0),AA252)&gt;0,3,NA()))),NA())</f>
        <v>1</v>
      </c>
    </row>
    <row r="253" spans="1:31" hidden="1" x14ac:dyDescent="0.25">
      <c r="A253" s="6" t="s">
        <v>281</v>
      </c>
      <c r="B253" s="21">
        <v>0.187</v>
      </c>
      <c r="C253" s="241">
        <v>0.16800000000000001</v>
      </c>
      <c r="D253" s="21"/>
      <c r="E253" s="21"/>
      <c r="F253" s="21"/>
      <c r="G253" s="21"/>
      <c r="H253" s="21"/>
      <c r="I253" s="21"/>
      <c r="J253" s="21"/>
      <c r="K253" s="21"/>
      <c r="L253" s="21"/>
      <c r="M253" s="21"/>
      <c r="N253" s="21"/>
      <c r="O253" s="21"/>
      <c r="P253" s="21"/>
      <c r="Q253" s="21"/>
      <c r="R253" s="21"/>
      <c r="S253" s="21"/>
      <c r="T253" s="21"/>
      <c r="U253" s="21"/>
      <c r="V253" s="115">
        <f t="shared" si="73"/>
        <v>0.17749999999999999</v>
      </c>
      <c r="W253" s="115">
        <f t="shared" si="74"/>
        <v>1.3435028842544395E-2</v>
      </c>
      <c r="X253" s="116">
        <f t="shared" si="75"/>
        <v>7.5690303338278281E-2</v>
      </c>
      <c r="Y253" s="7">
        <f>COUNTIF('Sample Setup'!$B$27:$AW$34,Calculations!A253)</f>
        <v>2</v>
      </c>
      <c r="AA253" s="6" t="s">
        <v>281</v>
      </c>
      <c r="AB253" s="117">
        <f>SigConcAvg(B253:U253,Report!B154)</f>
        <v>24.622082464451246</v>
      </c>
      <c r="AC253" s="113">
        <f>SigConcDev(B253:U253,Report!B154)</f>
        <v>1.9433200447689531</v>
      </c>
      <c r="AD253" s="7">
        <f t="array" ref="AD253">SUM(IF(B253:U253&gt;HLOOKUP("Section "&amp;Report!$B154,$AL$76:$AN$83,8),0,IF(B253:U253&lt;HLOOKUP("Section "&amp;Report!$B154,$AL$76:$AN$83,7),0,1)))</f>
        <v>2</v>
      </c>
      <c r="AE253" s="114">
        <f ca="1">IF(BioScale_Internal!$N$28,IF(COUNTIF(INDIRECT("'Sample Setup'!R27C"&amp;1+'Sample Setup'!$O$5,0):INDIRECT("'Sample Setup'!R34C"&amp;1+'Sample Setup'!$Q$5,0),AA253)&gt;0,1,IF(COUNTIF(INDIRECT("'Sample Setup'!R27C"&amp;1+'Sample Setup'!$O$6,0):INDIRECT("'Sample Setup'!R34C"&amp;1+'Sample Setup'!$Q$6,0),AA253)&gt;0,2,IF(COUNTIF(INDIRECT("'Sample Setup'!R27C"&amp;1+'Sample Setup'!$O$7,0):INDIRECT("'Sample Setup'!R34C"&amp;1+'Sample Setup'!$Q$7,0),AA253)&gt;0,3,NA()))),NA())</f>
        <v>1</v>
      </c>
    </row>
    <row r="254" spans="1:31" hidden="1" x14ac:dyDescent="0.25">
      <c r="A254" s="6" t="s">
        <v>282</v>
      </c>
      <c r="B254" s="241">
        <v>1.4E-2</v>
      </c>
      <c r="C254" s="21">
        <v>8.0000000000000002E-3</v>
      </c>
      <c r="D254" s="21"/>
      <c r="E254" s="21"/>
      <c r="F254" s="21"/>
      <c r="G254" s="21"/>
      <c r="H254" s="21"/>
      <c r="I254" s="21"/>
      <c r="J254" s="21"/>
      <c r="K254" s="21"/>
      <c r="L254" s="21"/>
      <c r="M254" s="21"/>
      <c r="N254" s="21"/>
      <c r="O254" s="21"/>
      <c r="P254" s="21"/>
      <c r="Q254" s="21"/>
      <c r="R254" s="21"/>
      <c r="S254" s="21"/>
      <c r="T254" s="21"/>
      <c r="U254" s="21"/>
      <c r="V254" s="115">
        <f t="shared" si="73"/>
        <v>1.0999999999999999E-2</v>
      </c>
      <c r="W254" s="115">
        <f t="shared" si="74"/>
        <v>4.2426406871192918E-3</v>
      </c>
      <c r="X254" s="116">
        <f t="shared" si="75"/>
        <v>0.38569460791993565</v>
      </c>
      <c r="Y254" s="7">
        <f>COUNTIF('Sample Setup'!$B$27:$AW$34,Calculations!A254)</f>
        <v>2</v>
      </c>
      <c r="AA254" s="6" t="s">
        <v>282</v>
      </c>
      <c r="AB254" s="117" t="str">
        <f>SigConcAvg(B254:U254,Report!B155)</f>
        <v>Low</v>
      </c>
      <c r="AC254" s="113" t="e">
        <f>SigConcDev(B254:U254,Report!B155)</f>
        <v>#DIV/0!</v>
      </c>
      <c r="AD254" s="7">
        <f t="array" ref="AD254">SUM(IF(B254:U254&gt;HLOOKUP("Section "&amp;Report!$B155,$AL$76:$AN$83,8),0,IF(B254:U254&lt;HLOOKUP("Section "&amp;Report!$B155,$AL$76:$AN$83,7),0,1)))</f>
        <v>0</v>
      </c>
      <c r="AE254" s="114">
        <f ca="1">IF(BioScale_Internal!$N$28,IF(COUNTIF(INDIRECT("'Sample Setup'!R27C"&amp;1+'Sample Setup'!$O$5,0):INDIRECT("'Sample Setup'!R34C"&amp;1+'Sample Setup'!$Q$5,0),AA254)&gt;0,1,IF(COUNTIF(INDIRECT("'Sample Setup'!R27C"&amp;1+'Sample Setup'!$O$6,0):INDIRECT("'Sample Setup'!R34C"&amp;1+'Sample Setup'!$Q$6,0),AA254)&gt;0,2,IF(COUNTIF(INDIRECT("'Sample Setup'!R27C"&amp;1+'Sample Setup'!$O$7,0):INDIRECT("'Sample Setup'!R34C"&amp;1+'Sample Setup'!$Q$7,0),AA254)&gt;0,3,NA()))),NA())</f>
        <v>1</v>
      </c>
    </row>
    <row r="255" spans="1:31" hidden="1" x14ac:dyDescent="0.25">
      <c r="A255" s="6" t="s">
        <v>283</v>
      </c>
      <c r="B255" s="21">
        <v>1.7000000000000001E-2</v>
      </c>
      <c r="C255" s="241">
        <v>8.0000000000000002E-3</v>
      </c>
      <c r="D255" s="21"/>
      <c r="E255" s="21"/>
      <c r="F255" s="21"/>
      <c r="G255" s="21"/>
      <c r="H255" s="21"/>
      <c r="I255" s="21"/>
      <c r="J255" s="21"/>
      <c r="K255" s="21"/>
      <c r="L255" s="21"/>
      <c r="M255" s="21"/>
      <c r="N255" s="21"/>
      <c r="O255" s="21"/>
      <c r="P255" s="21"/>
      <c r="Q255" s="21"/>
      <c r="R255" s="21"/>
      <c r="S255" s="21"/>
      <c r="T255" s="21"/>
      <c r="U255" s="21"/>
      <c r="V255" s="115">
        <f t="shared" si="73"/>
        <v>1.2500000000000001E-2</v>
      </c>
      <c r="W255" s="115">
        <f t="shared" si="74"/>
        <v>6.3639610306789243E-3</v>
      </c>
      <c r="X255" s="116">
        <f t="shared" si="75"/>
        <v>0.50911688245431386</v>
      </c>
      <c r="Y255" s="7">
        <f>COUNTIF('Sample Setup'!$B$27:$AW$34,Calculations!A255)</f>
        <v>2</v>
      </c>
      <c r="AA255" s="6" t="s">
        <v>283</v>
      </c>
      <c r="AB255" s="117" t="str">
        <f>SigConcAvg(B255:U255,Report!B156)</f>
        <v>Low</v>
      </c>
      <c r="AC255" s="113" t="e">
        <f>SigConcDev(B255:U255,Report!B156)</f>
        <v>#DIV/0!</v>
      </c>
      <c r="AD255" s="7">
        <f t="array" ref="AD255">SUM(IF(B255:U255&gt;HLOOKUP("Section "&amp;Report!$B156,$AL$76:$AN$83,8),0,IF(B255:U255&lt;HLOOKUP("Section "&amp;Report!$B156,$AL$76:$AN$83,7),0,1)))</f>
        <v>0</v>
      </c>
      <c r="AE255" s="114">
        <f ca="1">IF(BioScale_Internal!$N$28,IF(COUNTIF(INDIRECT("'Sample Setup'!R27C"&amp;1+'Sample Setup'!$O$5,0):INDIRECT("'Sample Setup'!R34C"&amp;1+'Sample Setup'!$Q$5,0),AA255)&gt;0,1,IF(COUNTIF(INDIRECT("'Sample Setup'!R27C"&amp;1+'Sample Setup'!$O$6,0):INDIRECT("'Sample Setup'!R34C"&amp;1+'Sample Setup'!$Q$6,0),AA255)&gt;0,2,IF(COUNTIF(INDIRECT("'Sample Setup'!R27C"&amp;1+'Sample Setup'!$O$7,0):INDIRECT("'Sample Setup'!R34C"&amp;1+'Sample Setup'!$Q$7,0),AA255)&gt;0,3,NA()))),NA())</f>
        <v>1</v>
      </c>
    </row>
    <row r="256" spans="1:31" hidden="1" x14ac:dyDescent="0.25">
      <c r="A256" s="6" t="s">
        <v>284</v>
      </c>
      <c r="B256" s="241">
        <v>1.7999999999999999E-2</v>
      </c>
      <c r="C256" s="21">
        <v>8.0000000000000002E-3</v>
      </c>
      <c r="D256" s="21"/>
      <c r="E256" s="21"/>
      <c r="F256" s="21"/>
      <c r="G256" s="21"/>
      <c r="H256" s="21"/>
      <c r="I256" s="21"/>
      <c r="J256" s="21"/>
      <c r="K256" s="21"/>
      <c r="L256" s="21"/>
      <c r="M256" s="21"/>
      <c r="N256" s="21"/>
      <c r="O256" s="21"/>
      <c r="P256" s="21"/>
      <c r="Q256" s="21"/>
      <c r="R256" s="21"/>
      <c r="S256" s="21"/>
      <c r="T256" s="21"/>
      <c r="U256" s="21"/>
      <c r="V256" s="115">
        <f t="shared" si="73"/>
        <v>1.2999999999999999E-2</v>
      </c>
      <c r="W256" s="115">
        <f t="shared" si="74"/>
        <v>7.0710678118654727E-3</v>
      </c>
      <c r="X256" s="116">
        <f t="shared" si="75"/>
        <v>0.54392829322042102</v>
      </c>
      <c r="Y256" s="7">
        <f>COUNTIF('Sample Setup'!$B$27:$AW$34,Calculations!A256)</f>
        <v>2</v>
      </c>
      <c r="AA256" s="6" t="s">
        <v>284</v>
      </c>
      <c r="AB256" s="117" t="str">
        <f>SigConcAvg(B256:U256,Report!B157)</f>
        <v>Low</v>
      </c>
      <c r="AC256" s="113" t="e">
        <f>SigConcDev(B256:U256,Report!B157)</f>
        <v>#DIV/0!</v>
      </c>
      <c r="AD256" s="7">
        <f t="array" ref="AD256">SUM(IF(B256:U256&gt;HLOOKUP("Section "&amp;Report!$B157,$AL$76:$AN$83,8),0,IF(B256:U256&lt;HLOOKUP("Section "&amp;Report!$B157,$AL$76:$AN$83,7),0,1)))</f>
        <v>0</v>
      </c>
      <c r="AE256" s="114">
        <f ca="1">IF(BioScale_Internal!$N$28,IF(COUNTIF(INDIRECT("'Sample Setup'!R27C"&amp;1+'Sample Setup'!$O$5,0):INDIRECT("'Sample Setup'!R34C"&amp;1+'Sample Setup'!$Q$5,0),AA256)&gt;0,1,IF(COUNTIF(INDIRECT("'Sample Setup'!R27C"&amp;1+'Sample Setup'!$O$6,0):INDIRECT("'Sample Setup'!R34C"&amp;1+'Sample Setup'!$Q$6,0),AA256)&gt;0,2,IF(COUNTIF(INDIRECT("'Sample Setup'!R27C"&amp;1+'Sample Setup'!$O$7,0):INDIRECT("'Sample Setup'!R34C"&amp;1+'Sample Setup'!$Q$7,0),AA256)&gt;0,3,NA()))),NA())</f>
        <v>1</v>
      </c>
    </row>
    <row r="257" spans="1:31" hidden="1" x14ac:dyDescent="0.25">
      <c r="A257" s="6" t="s">
        <v>285</v>
      </c>
      <c r="B257" s="21">
        <v>1.7000000000000001E-2</v>
      </c>
      <c r="C257" s="21">
        <v>8.0000000000000002E-3</v>
      </c>
      <c r="D257" s="21"/>
      <c r="E257" s="21"/>
      <c r="F257" s="21"/>
      <c r="G257" s="21"/>
      <c r="H257" s="21"/>
      <c r="I257" s="21"/>
      <c r="J257" s="21"/>
      <c r="K257" s="21"/>
      <c r="L257" s="21"/>
      <c r="M257" s="21"/>
      <c r="N257" s="21"/>
      <c r="O257" s="21"/>
      <c r="P257" s="21"/>
      <c r="Q257" s="21"/>
      <c r="R257" s="21"/>
      <c r="S257" s="21"/>
      <c r="T257" s="21"/>
      <c r="U257" s="21"/>
      <c r="V257" s="115">
        <f t="shared" si="73"/>
        <v>1.2500000000000001E-2</v>
      </c>
      <c r="W257" s="115">
        <f t="shared" si="74"/>
        <v>6.3639610306789243E-3</v>
      </c>
      <c r="X257" s="116">
        <f t="shared" si="75"/>
        <v>0.50911688245431386</v>
      </c>
      <c r="Y257" s="7">
        <f>COUNTIF('Sample Setup'!$B$27:$AW$34,Calculations!A257)</f>
        <v>2</v>
      </c>
      <c r="AA257" s="6" t="s">
        <v>285</v>
      </c>
      <c r="AB257" s="117" t="str">
        <f>SigConcAvg(B257:U257,Report!B158)</f>
        <v>Low</v>
      </c>
      <c r="AC257" s="113" t="e">
        <f>SigConcDev(B257:U257,Report!B158)</f>
        <v>#DIV/0!</v>
      </c>
      <c r="AD257" s="7">
        <f t="array" ref="AD257">SUM(IF(B257:U257&gt;HLOOKUP("Section "&amp;Report!$B158,$AL$76:$AN$83,8),0,IF(B257:U257&lt;HLOOKUP("Section "&amp;Report!$B158,$AL$76:$AN$83,7),0,1)))</f>
        <v>0</v>
      </c>
      <c r="AE257" s="114">
        <f ca="1">IF(BioScale_Internal!$N$28,IF(COUNTIF(INDIRECT("'Sample Setup'!R27C"&amp;1+'Sample Setup'!$O$5,0):INDIRECT("'Sample Setup'!R34C"&amp;1+'Sample Setup'!$Q$5,0),AA257)&gt;0,1,IF(COUNTIF(INDIRECT("'Sample Setup'!R27C"&amp;1+'Sample Setup'!$O$6,0):INDIRECT("'Sample Setup'!R34C"&amp;1+'Sample Setup'!$Q$6,0),AA257)&gt;0,2,IF(COUNTIF(INDIRECT("'Sample Setup'!R27C"&amp;1+'Sample Setup'!$O$7,0):INDIRECT("'Sample Setup'!R34C"&amp;1+'Sample Setup'!$Q$7,0),AA257)&gt;0,3,NA()))),NA())</f>
        <v>1</v>
      </c>
    </row>
    <row r="258" spans="1:31" hidden="1" x14ac:dyDescent="0.25">
      <c r="A258" s="6" t="s">
        <v>286</v>
      </c>
      <c r="B258" s="21">
        <v>7.0000000000000001E-3</v>
      </c>
      <c r="C258" s="241">
        <v>8.9999999999999906E-3</v>
      </c>
      <c r="D258" s="21"/>
      <c r="E258" s="21"/>
      <c r="F258" s="21"/>
      <c r="G258" s="21"/>
      <c r="H258" s="21"/>
      <c r="I258" s="21"/>
      <c r="J258" s="21"/>
      <c r="K258" s="21"/>
      <c r="L258" s="21"/>
      <c r="M258" s="21"/>
      <c r="N258" s="21"/>
      <c r="O258" s="21"/>
      <c r="P258" s="21"/>
      <c r="Q258" s="21"/>
      <c r="R258" s="21"/>
      <c r="S258" s="21"/>
      <c r="T258" s="21"/>
      <c r="U258" s="21"/>
      <c r="V258" s="115">
        <f t="shared" si="73"/>
        <v>7.999999999999995E-3</v>
      </c>
      <c r="W258" s="115">
        <f t="shared" si="74"/>
        <v>1.4142135623730883E-3</v>
      </c>
      <c r="X258" s="116">
        <f t="shared" si="75"/>
        <v>0.17677669529663614</v>
      </c>
      <c r="Y258" s="7">
        <f>COUNTIF('Sample Setup'!$B$27:$AW$34,Calculations!A258)</f>
        <v>2</v>
      </c>
      <c r="AA258" s="6" t="s">
        <v>286</v>
      </c>
      <c r="AB258" s="117" t="str">
        <f>SigConcAvg(B258:U258,Report!B159)</f>
        <v>Low</v>
      </c>
      <c r="AC258" s="113" t="e">
        <f>SigConcDev(B258:U258,Report!B159)</f>
        <v>#DIV/0!</v>
      </c>
      <c r="AD258" s="7">
        <f t="array" ref="AD258">SUM(IF(B258:U258&gt;HLOOKUP("Section "&amp;Report!$B159,$AL$76:$AN$83,8),0,IF(B258:U258&lt;HLOOKUP("Section "&amp;Report!$B159,$AL$76:$AN$83,7),0,1)))</f>
        <v>0</v>
      </c>
      <c r="AE258" s="114">
        <f ca="1">IF(BioScale_Internal!$N$28,IF(COUNTIF(INDIRECT("'Sample Setup'!R27C"&amp;1+'Sample Setup'!$O$5,0):INDIRECT("'Sample Setup'!R34C"&amp;1+'Sample Setup'!$Q$5,0),AA258)&gt;0,1,IF(COUNTIF(INDIRECT("'Sample Setup'!R27C"&amp;1+'Sample Setup'!$O$6,0):INDIRECT("'Sample Setup'!R34C"&amp;1+'Sample Setup'!$Q$6,0),AA258)&gt;0,2,IF(COUNTIF(INDIRECT("'Sample Setup'!R27C"&amp;1+'Sample Setup'!$O$7,0):INDIRECT("'Sample Setup'!R34C"&amp;1+'Sample Setup'!$Q$7,0),AA258)&gt;0,3,NA()))),NA())</f>
        <v>1</v>
      </c>
    </row>
    <row r="259" spans="1:31" hidden="1" x14ac:dyDescent="0.25">
      <c r="A259" s="6" t="s">
        <v>287</v>
      </c>
      <c r="B259" s="241">
        <v>8.9999999999999993E-3</v>
      </c>
      <c r="C259" s="241">
        <v>7.0000000000000097E-3</v>
      </c>
      <c r="D259" s="21"/>
      <c r="E259" s="21"/>
      <c r="F259" s="21"/>
      <c r="G259" s="21"/>
      <c r="H259" s="21"/>
      <c r="I259" s="21"/>
      <c r="J259" s="21"/>
      <c r="K259" s="21"/>
      <c r="L259" s="21"/>
      <c r="M259" s="21"/>
      <c r="N259" s="21"/>
      <c r="O259" s="21"/>
      <c r="P259" s="21"/>
      <c r="Q259" s="21"/>
      <c r="R259" s="21"/>
      <c r="S259" s="21"/>
      <c r="T259" s="21"/>
      <c r="U259" s="21"/>
      <c r="V259" s="115">
        <f t="shared" si="73"/>
        <v>8.0000000000000036E-3</v>
      </c>
      <c r="W259" s="115">
        <f t="shared" si="74"/>
        <v>1.4142135623730877E-3</v>
      </c>
      <c r="X259" s="116">
        <f t="shared" si="75"/>
        <v>0.17677669529663587</v>
      </c>
      <c r="Y259" s="7">
        <f>COUNTIF('Sample Setup'!$B$27:$AW$34,Calculations!A259)</f>
        <v>2</v>
      </c>
      <c r="AA259" s="6" t="s">
        <v>287</v>
      </c>
      <c r="AB259" s="117" t="str">
        <f>SigConcAvg(B259:U259,Report!B160)</f>
        <v>Low</v>
      </c>
      <c r="AC259" s="113" t="e">
        <f>SigConcDev(B259:U259,Report!B160)</f>
        <v>#DIV/0!</v>
      </c>
      <c r="AD259" s="7">
        <f t="array" ref="AD259">SUM(IF(B259:U259&gt;HLOOKUP("Section "&amp;Report!$B160,$AL$76:$AN$83,8),0,IF(B259:U259&lt;HLOOKUP("Section "&amp;Report!$B160,$AL$76:$AN$83,7),0,1)))</f>
        <v>0</v>
      </c>
      <c r="AE259" s="114">
        <f ca="1">IF(BioScale_Internal!$N$28,IF(COUNTIF(INDIRECT("'Sample Setup'!R27C"&amp;1+'Sample Setup'!$O$5,0):INDIRECT("'Sample Setup'!R34C"&amp;1+'Sample Setup'!$Q$5,0),AA259)&gt;0,1,IF(COUNTIF(INDIRECT("'Sample Setup'!R27C"&amp;1+'Sample Setup'!$O$6,0):INDIRECT("'Sample Setup'!R34C"&amp;1+'Sample Setup'!$Q$6,0),AA259)&gt;0,2,IF(COUNTIF(INDIRECT("'Sample Setup'!R27C"&amp;1+'Sample Setup'!$O$7,0):INDIRECT("'Sample Setup'!R34C"&amp;1+'Sample Setup'!$Q$7,0),AA259)&gt;0,3,NA()))),NA())</f>
        <v>1</v>
      </c>
    </row>
    <row r="260" spans="1:31" hidden="1" x14ac:dyDescent="0.25">
      <c r="A260" s="6" t="s">
        <v>288</v>
      </c>
      <c r="B260" s="241">
        <v>0.01</v>
      </c>
      <c r="C260" s="241">
        <v>8.0000000000000002E-3</v>
      </c>
      <c r="D260" s="21"/>
      <c r="E260" s="21"/>
      <c r="F260" s="21"/>
      <c r="G260" s="21"/>
      <c r="H260" s="21"/>
      <c r="I260" s="21"/>
      <c r="J260" s="21"/>
      <c r="K260" s="21"/>
      <c r="L260" s="21"/>
      <c r="M260" s="21"/>
      <c r="N260" s="21"/>
      <c r="O260" s="21"/>
      <c r="P260" s="21"/>
      <c r="Q260" s="21"/>
      <c r="R260" s="21"/>
      <c r="S260" s="21"/>
      <c r="T260" s="21"/>
      <c r="U260" s="21"/>
      <c r="V260" s="115">
        <f t="shared" si="73"/>
        <v>9.0000000000000011E-3</v>
      </c>
      <c r="W260" s="115">
        <f t="shared" si="74"/>
        <v>1.4142135623730952E-3</v>
      </c>
      <c r="X260" s="116">
        <f t="shared" si="75"/>
        <v>0.15713484026367724</v>
      </c>
      <c r="Y260" s="7">
        <f>COUNTIF('Sample Setup'!$B$27:$AW$34,Calculations!A260)</f>
        <v>2</v>
      </c>
      <c r="AA260" s="6" t="s">
        <v>288</v>
      </c>
      <c r="AB260" s="117" t="str">
        <f>SigConcAvg(B260:U260,Report!B161)</f>
        <v>Low</v>
      </c>
      <c r="AC260" s="113" t="e">
        <f>SigConcDev(B260:U260,Report!B161)</f>
        <v>#DIV/0!</v>
      </c>
      <c r="AD260" s="7">
        <f t="array" ref="AD260">SUM(IF(B260:U260&gt;HLOOKUP("Section "&amp;Report!$B161,$AL$76:$AN$83,8),0,IF(B260:U260&lt;HLOOKUP("Section "&amp;Report!$B161,$AL$76:$AN$83,7),0,1)))</f>
        <v>0</v>
      </c>
      <c r="AE260" s="114">
        <f ca="1">IF(BioScale_Internal!$N$28,IF(COUNTIF(INDIRECT("'Sample Setup'!R27C"&amp;1+'Sample Setup'!$O$5,0):INDIRECT("'Sample Setup'!R34C"&amp;1+'Sample Setup'!$Q$5,0),AA260)&gt;0,1,IF(COUNTIF(INDIRECT("'Sample Setup'!R27C"&amp;1+'Sample Setup'!$O$6,0):INDIRECT("'Sample Setup'!R34C"&amp;1+'Sample Setup'!$Q$6,0),AA260)&gt;0,2,IF(COUNTIF(INDIRECT("'Sample Setup'!R27C"&amp;1+'Sample Setup'!$O$7,0):INDIRECT("'Sample Setup'!R34C"&amp;1+'Sample Setup'!$Q$7,0),AA260)&gt;0,3,NA()))),NA())</f>
        <v>1</v>
      </c>
    </row>
    <row r="261" spans="1:31" hidden="1" x14ac:dyDescent="0.25">
      <c r="A261" s="6" t="s">
        <v>289</v>
      </c>
      <c r="B261" s="21">
        <v>1.4999999999999999E-2</v>
      </c>
      <c r="C261" s="241">
        <v>6.0000000000000097E-3</v>
      </c>
      <c r="D261" s="21"/>
      <c r="E261" s="21"/>
      <c r="F261" s="21"/>
      <c r="G261" s="21"/>
      <c r="H261" s="21"/>
      <c r="I261" s="21"/>
      <c r="J261" s="21"/>
      <c r="K261" s="21"/>
      <c r="L261" s="21"/>
      <c r="M261" s="21"/>
      <c r="N261" s="21"/>
      <c r="O261" s="21"/>
      <c r="P261" s="21"/>
      <c r="Q261" s="21"/>
      <c r="R261" s="21"/>
      <c r="S261" s="21"/>
      <c r="T261" s="21"/>
      <c r="U261" s="21"/>
      <c r="V261" s="115">
        <f t="shared" si="73"/>
        <v>1.0500000000000004E-2</v>
      </c>
      <c r="W261" s="115">
        <f t="shared" si="74"/>
        <v>6.3639610306789217E-3</v>
      </c>
      <c r="X261" s="116">
        <f t="shared" si="75"/>
        <v>0.6060915267313256</v>
      </c>
      <c r="Y261" s="7">
        <f>COUNTIF('Sample Setup'!$B$27:$AW$34,Calculations!A261)</f>
        <v>2</v>
      </c>
      <c r="AA261" s="6" t="s">
        <v>289</v>
      </c>
      <c r="AB261" s="117" t="str">
        <f>SigConcAvg(B261:U261,Report!B162)</f>
        <v>Low</v>
      </c>
      <c r="AC261" s="113" t="e">
        <f>SigConcDev(B261:U261,Report!B162)</f>
        <v>#DIV/0!</v>
      </c>
      <c r="AD261" s="7">
        <f t="array" ref="AD261">SUM(IF(B261:U261&gt;HLOOKUP("Section "&amp;Report!$B162,$AL$76:$AN$83,8),0,IF(B261:U261&lt;HLOOKUP("Section "&amp;Report!$B162,$AL$76:$AN$83,7),0,1)))</f>
        <v>0</v>
      </c>
      <c r="AE261" s="114">
        <f ca="1">IF(BioScale_Internal!$N$28,IF(COUNTIF(INDIRECT("'Sample Setup'!R27C"&amp;1+'Sample Setup'!$O$5,0):INDIRECT("'Sample Setup'!R34C"&amp;1+'Sample Setup'!$Q$5,0),AA261)&gt;0,1,IF(COUNTIF(INDIRECT("'Sample Setup'!R27C"&amp;1+'Sample Setup'!$O$6,0):INDIRECT("'Sample Setup'!R34C"&amp;1+'Sample Setup'!$Q$6,0),AA261)&gt;0,2,IF(COUNTIF(INDIRECT("'Sample Setup'!R27C"&amp;1+'Sample Setup'!$O$7,0):INDIRECT("'Sample Setup'!R34C"&amp;1+'Sample Setup'!$Q$7,0),AA261)&gt;0,3,NA()))),NA())</f>
        <v>1</v>
      </c>
    </row>
    <row r="262" spans="1:31" hidden="1" x14ac:dyDescent="0.25">
      <c r="A262" s="6" t="s">
        <v>290</v>
      </c>
      <c r="B262" s="21">
        <v>8.0000000000000002E-3</v>
      </c>
      <c r="C262" s="241">
        <v>8.0000000000000106E-3</v>
      </c>
      <c r="D262" s="21"/>
      <c r="E262" s="21"/>
      <c r="F262" s="21"/>
      <c r="G262" s="21"/>
      <c r="H262" s="21"/>
      <c r="I262" s="21"/>
      <c r="J262" s="21"/>
      <c r="K262" s="21"/>
      <c r="L262" s="21"/>
      <c r="M262" s="21"/>
      <c r="N262" s="21"/>
      <c r="O262" s="21"/>
      <c r="P262" s="21"/>
      <c r="Q262" s="21"/>
      <c r="R262" s="21"/>
      <c r="S262" s="21"/>
      <c r="T262" s="21"/>
      <c r="U262" s="21"/>
      <c r="V262" s="115">
        <f t="shared" si="73"/>
        <v>8.0000000000000054E-3</v>
      </c>
      <c r="W262" s="115">
        <f t="shared" si="74"/>
        <v>7.3598084000801949E-18</v>
      </c>
      <c r="X262" s="116">
        <f t="shared" si="75"/>
        <v>9.1997605001002379E-16</v>
      </c>
      <c r="Y262" s="7">
        <f>COUNTIF('Sample Setup'!$B$27:$AW$34,Calculations!A262)</f>
        <v>2</v>
      </c>
      <c r="AA262" s="6" t="s">
        <v>290</v>
      </c>
      <c r="AB262" s="117" t="str">
        <f>SigConcAvg(B262:U262,Report!B163)</f>
        <v>Low</v>
      </c>
      <c r="AC262" s="113" t="e">
        <f>SigConcDev(B262:U262,Report!B163)</f>
        <v>#DIV/0!</v>
      </c>
      <c r="AD262" s="7">
        <f t="array" ref="AD262">SUM(IF(B262:U262&gt;HLOOKUP("Section "&amp;Report!$B163,$AL$76:$AN$83,8),0,IF(B262:U262&lt;HLOOKUP("Section "&amp;Report!$B163,$AL$76:$AN$83,7),0,1)))</f>
        <v>0</v>
      </c>
      <c r="AE262" s="114">
        <f ca="1">IF(BioScale_Internal!$N$28,IF(COUNTIF(INDIRECT("'Sample Setup'!R27C"&amp;1+'Sample Setup'!$O$5,0):INDIRECT("'Sample Setup'!R34C"&amp;1+'Sample Setup'!$Q$5,0),AA262)&gt;0,1,IF(COUNTIF(INDIRECT("'Sample Setup'!R27C"&amp;1+'Sample Setup'!$O$6,0):INDIRECT("'Sample Setup'!R34C"&amp;1+'Sample Setup'!$Q$6,0),AA262)&gt;0,2,IF(COUNTIF(INDIRECT("'Sample Setup'!R27C"&amp;1+'Sample Setup'!$O$7,0):INDIRECT("'Sample Setup'!R34C"&amp;1+'Sample Setup'!$Q$7,0),AA262)&gt;0,3,NA()))),NA())</f>
        <v>1</v>
      </c>
    </row>
    <row r="263" spans="1:31" hidden="1" x14ac:dyDescent="0.25">
      <c r="A263" s="6" t="s">
        <v>291</v>
      </c>
      <c r="B263" s="21">
        <v>1.0999999999999999E-2</v>
      </c>
      <c r="C263" s="241">
        <v>8.0000000000000002E-3</v>
      </c>
      <c r="D263" s="21"/>
      <c r="E263" s="21"/>
      <c r="F263" s="21"/>
      <c r="G263" s="21"/>
      <c r="H263" s="21"/>
      <c r="I263" s="21"/>
      <c r="J263" s="21"/>
      <c r="K263" s="21"/>
      <c r="L263" s="21"/>
      <c r="M263" s="21"/>
      <c r="N263" s="21"/>
      <c r="O263" s="21"/>
      <c r="P263" s="21"/>
      <c r="Q263" s="21"/>
      <c r="R263" s="21"/>
      <c r="S263" s="21"/>
      <c r="T263" s="21"/>
      <c r="U263" s="21"/>
      <c r="V263" s="115">
        <f t="shared" si="73"/>
        <v>9.4999999999999998E-3</v>
      </c>
      <c r="W263" s="115">
        <f t="shared" si="74"/>
        <v>2.121320343559642E-3</v>
      </c>
      <c r="X263" s="116">
        <f t="shared" si="75"/>
        <v>0.22329687826943601</v>
      </c>
      <c r="Y263" s="7">
        <f>COUNTIF('Sample Setup'!$B$27:$AW$34,Calculations!A263)</f>
        <v>2</v>
      </c>
      <c r="AA263" s="6" t="s">
        <v>291</v>
      </c>
      <c r="AB263" s="117" t="str">
        <f>SigConcAvg(B263:U263,Report!B164)</f>
        <v>Low</v>
      </c>
      <c r="AC263" s="113" t="e">
        <f>SigConcDev(B263:U263,Report!B164)</f>
        <v>#DIV/0!</v>
      </c>
      <c r="AD263" s="7">
        <f t="array" ref="AD263">SUM(IF(B263:U263&gt;HLOOKUP("Section "&amp;Report!$B164,$AL$76:$AN$83,8),0,IF(B263:U263&lt;HLOOKUP("Section "&amp;Report!$B164,$AL$76:$AN$83,7),0,1)))</f>
        <v>0</v>
      </c>
      <c r="AE263" s="114">
        <f ca="1">IF(BioScale_Internal!$N$28,IF(COUNTIF(INDIRECT("'Sample Setup'!R27C"&amp;1+'Sample Setup'!$O$5,0):INDIRECT("'Sample Setup'!R34C"&amp;1+'Sample Setup'!$Q$5,0),AA263)&gt;0,1,IF(COUNTIF(INDIRECT("'Sample Setup'!R27C"&amp;1+'Sample Setup'!$O$6,0):INDIRECT("'Sample Setup'!R34C"&amp;1+'Sample Setup'!$Q$6,0),AA263)&gt;0,2,IF(COUNTIF(INDIRECT("'Sample Setup'!R27C"&amp;1+'Sample Setup'!$O$7,0):INDIRECT("'Sample Setup'!R34C"&amp;1+'Sample Setup'!$Q$7,0),AA263)&gt;0,3,NA()))),NA())</f>
        <v>1</v>
      </c>
    </row>
    <row r="264" spans="1:31" hidden="1" x14ac:dyDescent="0.25">
      <c r="A264" s="6" t="s">
        <v>292</v>
      </c>
      <c r="B264" s="21">
        <v>1.4E-2</v>
      </c>
      <c r="C264" s="21">
        <v>8.9999999999999993E-3</v>
      </c>
      <c r="D264" s="21"/>
      <c r="E264" s="21"/>
      <c r="F264" s="21"/>
      <c r="G264" s="21"/>
      <c r="H264" s="21"/>
      <c r="I264" s="21"/>
      <c r="J264" s="21"/>
      <c r="K264" s="21"/>
      <c r="L264" s="21"/>
      <c r="M264" s="21"/>
      <c r="N264" s="21"/>
      <c r="O264" s="21"/>
      <c r="P264" s="21"/>
      <c r="Q264" s="21"/>
      <c r="R264" s="21"/>
      <c r="S264" s="21"/>
      <c r="T264" s="21"/>
      <c r="U264" s="21"/>
      <c r="V264" s="115">
        <f t="shared" si="73"/>
        <v>1.15E-2</v>
      </c>
      <c r="W264" s="115">
        <f t="shared" si="74"/>
        <v>3.5355339059327424E-3</v>
      </c>
      <c r="X264" s="116">
        <f t="shared" si="75"/>
        <v>0.30743773095067328</v>
      </c>
      <c r="Y264" s="7">
        <f>COUNTIF('Sample Setup'!$B$27:$AW$34,Calculations!A264)</f>
        <v>2</v>
      </c>
      <c r="AA264" s="6" t="s">
        <v>292</v>
      </c>
      <c r="AB264" s="117" t="str">
        <f>SigConcAvg(B264:U264,Report!B165)</f>
        <v>Low</v>
      </c>
      <c r="AC264" s="113" t="e">
        <f>SigConcDev(B264:U264,Report!B165)</f>
        <v>#DIV/0!</v>
      </c>
      <c r="AD264" s="7">
        <f t="array" ref="AD264">SUM(IF(B264:U264&gt;HLOOKUP("Section "&amp;Report!$B165,$AL$76:$AN$83,8),0,IF(B264:U264&lt;HLOOKUP("Section "&amp;Report!$B165,$AL$76:$AN$83,7),0,1)))</f>
        <v>0</v>
      </c>
      <c r="AE264" s="114">
        <f ca="1">IF(BioScale_Internal!$N$28,IF(COUNTIF(INDIRECT("'Sample Setup'!R27C"&amp;1+'Sample Setup'!$O$5,0):INDIRECT("'Sample Setup'!R34C"&amp;1+'Sample Setup'!$Q$5,0),AA264)&gt;0,1,IF(COUNTIF(INDIRECT("'Sample Setup'!R27C"&amp;1+'Sample Setup'!$O$6,0):INDIRECT("'Sample Setup'!R34C"&amp;1+'Sample Setup'!$Q$6,0),AA264)&gt;0,2,IF(COUNTIF(INDIRECT("'Sample Setup'!R27C"&amp;1+'Sample Setup'!$O$7,0):INDIRECT("'Sample Setup'!R34C"&amp;1+'Sample Setup'!$Q$7,0),AA264)&gt;0,3,NA()))),NA())</f>
        <v>1</v>
      </c>
    </row>
    <row r="265" spans="1:31" hidden="1" x14ac:dyDescent="0.25">
      <c r="A265" s="6" t="s">
        <v>293</v>
      </c>
      <c r="B265" s="241">
        <v>1.6E-2</v>
      </c>
      <c r="C265" s="241">
        <v>2.7E-2</v>
      </c>
      <c r="D265" s="21"/>
      <c r="E265" s="21"/>
      <c r="F265" s="21"/>
      <c r="G265" s="21"/>
      <c r="H265" s="21"/>
      <c r="I265" s="21"/>
      <c r="J265" s="21"/>
      <c r="K265" s="21"/>
      <c r="L265" s="21"/>
      <c r="M265" s="21"/>
      <c r="N265" s="21"/>
      <c r="O265" s="21"/>
      <c r="P265" s="21"/>
      <c r="Q265" s="21"/>
      <c r="R265" s="21"/>
      <c r="S265" s="21"/>
      <c r="T265" s="21"/>
      <c r="U265" s="21"/>
      <c r="V265" s="115">
        <f t="shared" si="73"/>
        <v>2.1499999999999998E-2</v>
      </c>
      <c r="W265" s="115">
        <f t="shared" si="74"/>
        <v>7.7781745930520299E-3</v>
      </c>
      <c r="X265" s="116">
        <f t="shared" si="75"/>
        <v>0.36177556246753628</v>
      </c>
      <c r="Y265" s="7">
        <f>COUNTIF('Sample Setup'!$B$27:$AW$34,Calculations!A265)</f>
        <v>2</v>
      </c>
      <c r="AA265" s="6" t="s">
        <v>293</v>
      </c>
      <c r="AB265" s="117">
        <f>SigConcAvg(B265:U265,Report!B166)</f>
        <v>2.6196405224279276</v>
      </c>
      <c r="AC265" s="113" t="e">
        <f>SigConcDev(B265:U265,Report!B166)</f>
        <v>#DIV/0!</v>
      </c>
      <c r="AD265" s="7">
        <f t="array" ref="AD265">SUM(IF(B265:U265&gt;HLOOKUP("Section "&amp;Report!$B166,$AL$76:$AN$83,8),0,IF(B265:U265&lt;HLOOKUP("Section "&amp;Report!$B166,$AL$76:$AN$83,7),0,1)))</f>
        <v>1</v>
      </c>
      <c r="AE265" s="114">
        <f ca="1">IF(BioScale_Internal!$N$28,IF(COUNTIF(INDIRECT("'Sample Setup'!R27C"&amp;1+'Sample Setup'!$O$5,0):INDIRECT("'Sample Setup'!R34C"&amp;1+'Sample Setup'!$Q$5,0),AA265)&gt;0,1,IF(COUNTIF(INDIRECT("'Sample Setup'!R27C"&amp;1+'Sample Setup'!$O$6,0):INDIRECT("'Sample Setup'!R34C"&amp;1+'Sample Setup'!$Q$6,0),AA265)&gt;0,2,IF(COUNTIF(INDIRECT("'Sample Setup'!R27C"&amp;1+'Sample Setup'!$O$7,0):INDIRECT("'Sample Setup'!R34C"&amp;1+'Sample Setup'!$Q$7,0),AA265)&gt;0,3,NA()))),NA())</f>
        <v>1</v>
      </c>
    </row>
    <row r="266" spans="1:31" hidden="1" x14ac:dyDescent="0.25">
      <c r="A266" s="6" t="s">
        <v>294</v>
      </c>
      <c r="B266" s="21">
        <v>8.9999999999999993E-3</v>
      </c>
      <c r="C266" s="21">
        <v>8.0000000000000002E-3</v>
      </c>
      <c r="D266" s="21"/>
      <c r="E266" s="21"/>
      <c r="F266" s="21"/>
      <c r="G266" s="21"/>
      <c r="H266" s="21"/>
      <c r="I266" s="21"/>
      <c r="J266" s="21"/>
      <c r="K266" s="21"/>
      <c r="L266" s="21"/>
      <c r="M266" s="21"/>
      <c r="N266" s="21"/>
      <c r="O266" s="21"/>
      <c r="P266" s="21"/>
      <c r="Q266" s="21"/>
      <c r="R266" s="21"/>
      <c r="S266" s="21"/>
      <c r="T266" s="21"/>
      <c r="U266" s="21"/>
      <c r="V266" s="115">
        <f t="shared" si="73"/>
        <v>8.5000000000000006E-3</v>
      </c>
      <c r="W266" s="115">
        <f t="shared" si="74"/>
        <v>7.0710678118654697E-4</v>
      </c>
      <c r="X266" s="116">
        <f t="shared" si="75"/>
        <v>8.3189033080770219E-2</v>
      </c>
      <c r="Y266" s="7">
        <f>COUNTIF('Sample Setup'!$B$27:$AW$34,Calculations!A266)</f>
        <v>2</v>
      </c>
      <c r="AA266" s="6" t="s">
        <v>294</v>
      </c>
      <c r="AB266" s="117" t="str">
        <f>SigConcAvg(B266:U266,Report!B167)</f>
        <v>Low</v>
      </c>
      <c r="AC266" s="113" t="e">
        <f>SigConcDev(B266:U266,Report!B167)</f>
        <v>#DIV/0!</v>
      </c>
      <c r="AD266" s="7">
        <f t="array" ref="AD266">SUM(IF(B266:U266&gt;HLOOKUP("Section "&amp;Report!$B167,$AL$76:$AN$83,8),0,IF(B266:U266&lt;HLOOKUP("Section "&amp;Report!$B167,$AL$76:$AN$83,7),0,1)))</f>
        <v>0</v>
      </c>
      <c r="AE266" s="114">
        <f ca="1">IF(BioScale_Internal!$N$28,IF(COUNTIF(INDIRECT("'Sample Setup'!R27C"&amp;1+'Sample Setup'!$O$5,0):INDIRECT("'Sample Setup'!R34C"&amp;1+'Sample Setup'!$Q$5,0),AA266)&gt;0,1,IF(COUNTIF(INDIRECT("'Sample Setup'!R27C"&amp;1+'Sample Setup'!$O$6,0):INDIRECT("'Sample Setup'!R34C"&amp;1+'Sample Setup'!$Q$6,0),AA266)&gt;0,2,IF(COUNTIF(INDIRECT("'Sample Setup'!R27C"&amp;1+'Sample Setup'!$O$7,0):INDIRECT("'Sample Setup'!R34C"&amp;1+'Sample Setup'!$Q$7,0),AA266)&gt;0,3,NA()))),NA())</f>
        <v>1</v>
      </c>
    </row>
    <row r="267" spans="1:31" hidden="1" x14ac:dyDescent="0.25">
      <c r="A267" s="6" t="s">
        <v>295</v>
      </c>
      <c r="B267" s="21">
        <v>0.01</v>
      </c>
      <c r="C267" s="21">
        <v>8.0000000000000002E-3</v>
      </c>
      <c r="D267" s="21"/>
      <c r="E267" s="21"/>
      <c r="F267" s="21"/>
      <c r="G267" s="21"/>
      <c r="H267" s="21"/>
      <c r="I267" s="21"/>
      <c r="J267" s="21"/>
      <c r="K267" s="21"/>
      <c r="L267" s="21"/>
      <c r="M267" s="21"/>
      <c r="N267" s="21"/>
      <c r="O267" s="21"/>
      <c r="P267" s="21"/>
      <c r="Q267" s="21"/>
      <c r="R267" s="21"/>
      <c r="S267" s="21"/>
      <c r="T267" s="21"/>
      <c r="U267" s="21"/>
      <c r="V267" s="115">
        <f t="shared" si="73"/>
        <v>9.0000000000000011E-3</v>
      </c>
      <c r="W267" s="115">
        <f t="shared" si="74"/>
        <v>1.4142135623730952E-3</v>
      </c>
      <c r="X267" s="116">
        <f t="shared" si="75"/>
        <v>0.15713484026367724</v>
      </c>
      <c r="Y267" s="7">
        <f>COUNTIF('Sample Setup'!$B$27:$AW$34,Calculations!A267)</f>
        <v>2</v>
      </c>
      <c r="AA267" s="6" t="s">
        <v>295</v>
      </c>
      <c r="AB267" s="117" t="str">
        <f>SigConcAvg(B267:U267,Report!B168)</f>
        <v>Low</v>
      </c>
      <c r="AC267" s="113" t="e">
        <f>SigConcDev(B267:U267,Report!B168)</f>
        <v>#DIV/0!</v>
      </c>
      <c r="AD267" s="7">
        <f t="array" ref="AD267">SUM(IF(B267:U267&gt;HLOOKUP("Section "&amp;Report!$B168,$AL$76:$AN$83,8),0,IF(B267:U267&lt;HLOOKUP("Section "&amp;Report!$B168,$AL$76:$AN$83,7),0,1)))</f>
        <v>0</v>
      </c>
      <c r="AE267" s="114">
        <f ca="1">IF(BioScale_Internal!$N$28,IF(COUNTIF(INDIRECT("'Sample Setup'!R27C"&amp;1+'Sample Setup'!$O$5,0):INDIRECT("'Sample Setup'!R34C"&amp;1+'Sample Setup'!$Q$5,0),AA267)&gt;0,1,IF(COUNTIF(INDIRECT("'Sample Setup'!R27C"&amp;1+'Sample Setup'!$O$6,0):INDIRECT("'Sample Setup'!R34C"&amp;1+'Sample Setup'!$Q$6,0),AA267)&gt;0,2,IF(COUNTIF(INDIRECT("'Sample Setup'!R27C"&amp;1+'Sample Setup'!$O$7,0):INDIRECT("'Sample Setup'!R34C"&amp;1+'Sample Setup'!$Q$7,0),AA267)&gt;0,3,NA()))),NA())</f>
        <v>1</v>
      </c>
    </row>
    <row r="268" spans="1:31" hidden="1" x14ac:dyDescent="0.25">
      <c r="A268" s="6" t="s">
        <v>296</v>
      </c>
      <c r="B268" s="21">
        <v>8.9999999999999993E-3</v>
      </c>
      <c r="C268" s="21">
        <v>8.0000000000000002E-3</v>
      </c>
      <c r="D268" s="21"/>
      <c r="E268" s="21"/>
      <c r="F268" s="21"/>
      <c r="G268" s="21"/>
      <c r="H268" s="21"/>
      <c r="I268" s="21"/>
      <c r="J268" s="21"/>
      <c r="K268" s="21"/>
      <c r="L268" s="21"/>
      <c r="M268" s="21"/>
      <c r="N268" s="21"/>
      <c r="O268" s="21"/>
      <c r="P268" s="21"/>
      <c r="Q268" s="21"/>
      <c r="R268" s="21"/>
      <c r="S268" s="21"/>
      <c r="T268" s="21"/>
      <c r="U268" s="21"/>
      <c r="V268" s="115">
        <f t="shared" si="73"/>
        <v>8.5000000000000006E-3</v>
      </c>
      <c r="W268" s="115">
        <f t="shared" si="74"/>
        <v>7.0710678118654697E-4</v>
      </c>
      <c r="X268" s="116">
        <f t="shared" si="75"/>
        <v>8.3189033080770219E-2</v>
      </c>
      <c r="Y268" s="7">
        <f>COUNTIF('Sample Setup'!$B$27:$AW$34,Calculations!A268)</f>
        <v>2</v>
      </c>
      <c r="AA268" s="6" t="s">
        <v>296</v>
      </c>
      <c r="AB268" s="117" t="str">
        <f>SigConcAvg(B268:U268,Report!B169)</f>
        <v>Low</v>
      </c>
      <c r="AC268" s="113" t="e">
        <f>SigConcDev(B268:U268,Report!B169)</f>
        <v>#DIV/0!</v>
      </c>
      <c r="AD268" s="7">
        <f t="array" ref="AD268">SUM(IF(B268:U268&gt;HLOOKUP("Section "&amp;Report!$B169,$AL$76:$AN$83,8),0,IF(B268:U268&lt;HLOOKUP("Section "&amp;Report!$B169,$AL$76:$AN$83,7),0,1)))</f>
        <v>0</v>
      </c>
      <c r="AE268" s="114">
        <f ca="1">IF(BioScale_Internal!$N$28,IF(COUNTIF(INDIRECT("'Sample Setup'!R27C"&amp;1+'Sample Setup'!$O$5,0):INDIRECT("'Sample Setup'!R34C"&amp;1+'Sample Setup'!$Q$5,0),AA268)&gt;0,1,IF(COUNTIF(INDIRECT("'Sample Setup'!R27C"&amp;1+'Sample Setup'!$O$6,0):INDIRECT("'Sample Setup'!R34C"&amp;1+'Sample Setup'!$Q$6,0),AA268)&gt;0,2,IF(COUNTIF(INDIRECT("'Sample Setup'!R27C"&amp;1+'Sample Setup'!$O$7,0):INDIRECT("'Sample Setup'!R34C"&amp;1+'Sample Setup'!$Q$7,0),AA268)&gt;0,3,NA()))),NA())</f>
        <v>1</v>
      </c>
    </row>
    <row r="269" spans="1:31" hidden="1" x14ac:dyDescent="0.25">
      <c r="A269" s="6" t="s">
        <v>297</v>
      </c>
      <c r="B269" s="21">
        <v>1.0999999999999999E-2</v>
      </c>
      <c r="C269" s="241">
        <v>8.0000000000000002E-3</v>
      </c>
      <c r="D269" s="21"/>
      <c r="E269" s="21"/>
      <c r="F269" s="21"/>
      <c r="G269" s="21"/>
      <c r="H269" s="21"/>
      <c r="I269" s="21"/>
      <c r="J269" s="21"/>
      <c r="K269" s="21"/>
      <c r="L269" s="21"/>
      <c r="M269" s="21"/>
      <c r="N269" s="21"/>
      <c r="O269" s="21"/>
      <c r="P269" s="21"/>
      <c r="Q269" s="21"/>
      <c r="R269" s="21"/>
      <c r="S269" s="21"/>
      <c r="T269" s="21"/>
      <c r="U269" s="21"/>
      <c r="V269" s="115">
        <f t="shared" si="73"/>
        <v>9.4999999999999998E-3</v>
      </c>
      <c r="W269" s="115">
        <f t="shared" si="74"/>
        <v>2.121320343559642E-3</v>
      </c>
      <c r="X269" s="116">
        <f t="shared" si="75"/>
        <v>0.22329687826943601</v>
      </c>
      <c r="Y269" s="7">
        <f>COUNTIF('Sample Setup'!$B$27:$AW$34,Calculations!A269)</f>
        <v>2</v>
      </c>
      <c r="AA269" s="6" t="s">
        <v>297</v>
      </c>
      <c r="AB269" s="117" t="str">
        <f>SigConcAvg(B269:U269,Report!B170)</f>
        <v>Low</v>
      </c>
      <c r="AC269" s="113" t="e">
        <f>SigConcDev(B269:U269,Report!B170)</f>
        <v>#DIV/0!</v>
      </c>
      <c r="AD269" s="7">
        <f t="array" ref="AD269">SUM(IF(B269:U269&gt;HLOOKUP("Section "&amp;Report!$B170,$AL$76:$AN$83,8),0,IF(B269:U269&lt;HLOOKUP("Section "&amp;Report!$B170,$AL$76:$AN$83,7),0,1)))</f>
        <v>0</v>
      </c>
      <c r="AE269" s="114">
        <f ca="1">IF(BioScale_Internal!$N$28,IF(COUNTIF(INDIRECT("'Sample Setup'!R27C"&amp;1+'Sample Setup'!$O$5,0):INDIRECT("'Sample Setup'!R34C"&amp;1+'Sample Setup'!$Q$5,0),AA269)&gt;0,1,IF(COUNTIF(INDIRECT("'Sample Setup'!R27C"&amp;1+'Sample Setup'!$O$6,0):INDIRECT("'Sample Setup'!R34C"&amp;1+'Sample Setup'!$Q$6,0),AA269)&gt;0,2,IF(COUNTIF(INDIRECT("'Sample Setup'!R27C"&amp;1+'Sample Setup'!$O$7,0):INDIRECT("'Sample Setup'!R34C"&amp;1+'Sample Setup'!$Q$7,0),AA269)&gt;0,3,NA()))),NA())</f>
        <v>1</v>
      </c>
    </row>
    <row r="270" spans="1:31" hidden="1" x14ac:dyDescent="0.25">
      <c r="A270" s="6" t="s">
        <v>298</v>
      </c>
      <c r="B270" s="241">
        <v>8.9999999999999993E-3</v>
      </c>
      <c r="C270" s="241">
        <v>1.0999999999999999E-2</v>
      </c>
      <c r="D270" s="21"/>
      <c r="E270" s="21"/>
      <c r="F270" s="21"/>
      <c r="G270" s="21"/>
      <c r="H270" s="21"/>
      <c r="I270" s="21"/>
      <c r="J270" s="21"/>
      <c r="K270" s="21"/>
      <c r="L270" s="21"/>
      <c r="M270" s="21"/>
      <c r="N270" s="21"/>
      <c r="O270" s="21"/>
      <c r="P270" s="21"/>
      <c r="Q270" s="21"/>
      <c r="R270" s="21"/>
      <c r="S270" s="21"/>
      <c r="T270" s="21"/>
      <c r="U270" s="21"/>
      <c r="V270" s="115">
        <f t="shared" si="73"/>
        <v>9.9999999999999985E-3</v>
      </c>
      <c r="W270" s="115">
        <f t="shared" si="74"/>
        <v>1.4142135623730952E-3</v>
      </c>
      <c r="X270" s="116">
        <f t="shared" si="75"/>
        <v>0.14142135623730956</v>
      </c>
      <c r="Y270" s="7">
        <f>COUNTIF('Sample Setup'!$B$27:$AW$34,Calculations!A270)</f>
        <v>2</v>
      </c>
      <c r="AA270" s="6" t="s">
        <v>298</v>
      </c>
      <c r="AB270" s="117" t="str">
        <f>SigConcAvg(B270:U270,Report!B171)</f>
        <v>Low</v>
      </c>
      <c r="AC270" s="113" t="e">
        <f>SigConcDev(B270:U270,Report!B171)</f>
        <v>#DIV/0!</v>
      </c>
      <c r="AD270" s="7">
        <f t="array" ref="AD270">SUM(IF(B270:U270&gt;HLOOKUP("Section "&amp;Report!$B171,$AL$76:$AN$83,8),0,IF(B270:U270&lt;HLOOKUP("Section "&amp;Report!$B171,$AL$76:$AN$83,7),0,1)))</f>
        <v>0</v>
      </c>
      <c r="AE270" s="114">
        <f ca="1">IF(BioScale_Internal!$N$28,IF(COUNTIF(INDIRECT("'Sample Setup'!R27C"&amp;1+'Sample Setup'!$O$5,0):INDIRECT("'Sample Setup'!R34C"&amp;1+'Sample Setup'!$Q$5,0),AA270)&gt;0,1,IF(COUNTIF(INDIRECT("'Sample Setup'!R27C"&amp;1+'Sample Setup'!$O$6,0):INDIRECT("'Sample Setup'!R34C"&amp;1+'Sample Setup'!$Q$6,0),AA270)&gt;0,2,IF(COUNTIF(INDIRECT("'Sample Setup'!R27C"&amp;1+'Sample Setup'!$O$7,0):INDIRECT("'Sample Setup'!R34C"&amp;1+'Sample Setup'!$Q$7,0),AA270)&gt;0,3,NA()))),NA())</f>
        <v>1</v>
      </c>
    </row>
    <row r="271" spans="1:31" hidden="1" x14ac:dyDescent="0.25">
      <c r="A271" s="6" t="s">
        <v>299</v>
      </c>
      <c r="B271" s="21">
        <v>1.4E-2</v>
      </c>
      <c r="C271" s="241">
        <v>9.0000000000000097E-3</v>
      </c>
      <c r="D271" s="21"/>
      <c r="E271" s="21"/>
      <c r="F271" s="21"/>
      <c r="G271" s="21"/>
      <c r="H271" s="21"/>
      <c r="I271" s="21"/>
      <c r="J271" s="21"/>
      <c r="K271" s="21"/>
      <c r="L271" s="21"/>
      <c r="M271" s="21"/>
      <c r="N271" s="21"/>
      <c r="O271" s="21"/>
      <c r="P271" s="21"/>
      <c r="Q271" s="21"/>
      <c r="R271" s="21"/>
      <c r="S271" s="21"/>
      <c r="T271" s="21"/>
      <c r="U271" s="21"/>
      <c r="V271" s="115">
        <f t="shared" si="73"/>
        <v>1.1500000000000005E-2</v>
      </c>
      <c r="W271" s="115">
        <f t="shared" si="74"/>
        <v>3.5355339059327346E-3</v>
      </c>
      <c r="X271" s="116">
        <f t="shared" si="75"/>
        <v>0.30743773095067245</v>
      </c>
      <c r="Y271" s="7">
        <f>COUNTIF('Sample Setup'!$B$27:$AW$34,Calculations!A271)</f>
        <v>2</v>
      </c>
      <c r="AA271" s="6" t="s">
        <v>299</v>
      </c>
      <c r="AB271" s="117" t="str">
        <f>SigConcAvg(B271:U271,Report!B172)</f>
        <v>Low</v>
      </c>
      <c r="AC271" s="113" t="e">
        <f>SigConcDev(B271:U271,Report!B172)</f>
        <v>#DIV/0!</v>
      </c>
      <c r="AD271" s="7">
        <f t="array" ref="AD271">SUM(IF(B271:U271&gt;HLOOKUP("Section "&amp;Report!$B172,$AL$76:$AN$83,8),0,IF(B271:U271&lt;HLOOKUP("Section "&amp;Report!$B172,$AL$76:$AN$83,7),0,1)))</f>
        <v>0</v>
      </c>
      <c r="AE271" s="114">
        <f ca="1">IF(BioScale_Internal!$N$28,IF(COUNTIF(INDIRECT("'Sample Setup'!R27C"&amp;1+'Sample Setup'!$O$5,0):INDIRECT("'Sample Setup'!R34C"&amp;1+'Sample Setup'!$Q$5,0),AA271)&gt;0,1,IF(COUNTIF(INDIRECT("'Sample Setup'!R27C"&amp;1+'Sample Setup'!$O$6,0):INDIRECT("'Sample Setup'!R34C"&amp;1+'Sample Setup'!$Q$6,0),AA271)&gt;0,2,IF(COUNTIF(INDIRECT("'Sample Setup'!R27C"&amp;1+'Sample Setup'!$O$7,0):INDIRECT("'Sample Setup'!R34C"&amp;1+'Sample Setup'!$Q$7,0),AA271)&gt;0,3,NA()))),NA())</f>
        <v>1</v>
      </c>
    </row>
    <row r="272" spans="1:31" hidden="1" x14ac:dyDescent="0.25">
      <c r="A272" s="6" t="s">
        <v>300</v>
      </c>
      <c r="B272" s="21">
        <v>1.0999999999999999E-2</v>
      </c>
      <c r="C272" s="241">
        <v>1.0999999999999999E-2</v>
      </c>
      <c r="D272" s="21"/>
      <c r="E272" s="21"/>
      <c r="F272" s="21"/>
      <c r="G272" s="21"/>
      <c r="H272" s="21"/>
      <c r="I272" s="21"/>
      <c r="J272" s="21"/>
      <c r="K272" s="21"/>
      <c r="L272" s="21"/>
      <c r="M272" s="21"/>
      <c r="N272" s="21"/>
      <c r="O272" s="21"/>
      <c r="P272" s="21"/>
      <c r="Q272" s="21"/>
      <c r="R272" s="21"/>
      <c r="S272" s="21"/>
      <c r="T272" s="21"/>
      <c r="U272" s="21"/>
      <c r="V272" s="115">
        <f t="shared" si="73"/>
        <v>1.0999999999999999E-2</v>
      </c>
      <c r="W272" s="115">
        <f t="shared" si="74"/>
        <v>0</v>
      </c>
      <c r="X272" s="116">
        <f t="shared" si="75"/>
        <v>0</v>
      </c>
      <c r="Y272" s="7">
        <f>COUNTIF('Sample Setup'!$B$27:$AW$34,Calculations!A272)</f>
        <v>2</v>
      </c>
      <c r="AA272" s="6" t="s">
        <v>300</v>
      </c>
      <c r="AB272" s="117" t="str">
        <f>SigConcAvg(B272:U272,Report!B173)</f>
        <v>Low</v>
      </c>
      <c r="AC272" s="113" t="e">
        <f>SigConcDev(B272:U272,Report!B173)</f>
        <v>#DIV/0!</v>
      </c>
      <c r="AD272" s="7">
        <f t="array" ref="AD272">SUM(IF(B272:U272&gt;HLOOKUP("Section "&amp;Report!$B173,$AL$76:$AN$83,8),0,IF(B272:U272&lt;HLOOKUP("Section "&amp;Report!$B173,$AL$76:$AN$83,7),0,1)))</f>
        <v>0</v>
      </c>
      <c r="AE272" s="114">
        <f ca="1">IF(BioScale_Internal!$N$28,IF(COUNTIF(INDIRECT("'Sample Setup'!R27C"&amp;1+'Sample Setup'!$O$5,0):INDIRECT("'Sample Setup'!R34C"&amp;1+'Sample Setup'!$Q$5,0),AA272)&gt;0,1,IF(COUNTIF(INDIRECT("'Sample Setup'!R27C"&amp;1+'Sample Setup'!$O$6,0):INDIRECT("'Sample Setup'!R34C"&amp;1+'Sample Setup'!$Q$6,0),AA272)&gt;0,2,IF(COUNTIF(INDIRECT("'Sample Setup'!R27C"&amp;1+'Sample Setup'!$O$7,0):INDIRECT("'Sample Setup'!R34C"&amp;1+'Sample Setup'!$Q$7,0),AA272)&gt;0,3,NA()))),NA())</f>
        <v>1</v>
      </c>
    </row>
    <row r="273" spans="1:31" hidden="1" x14ac:dyDescent="0.25">
      <c r="A273" s="6" t="s">
        <v>301</v>
      </c>
      <c r="B273" s="21">
        <v>0.01</v>
      </c>
      <c r="C273" s="241">
        <v>1.7000000000000001E-2</v>
      </c>
      <c r="D273" s="21"/>
      <c r="E273" s="21"/>
      <c r="F273" s="21"/>
      <c r="G273" s="21"/>
      <c r="H273" s="21"/>
      <c r="I273" s="21"/>
      <c r="J273" s="21"/>
      <c r="K273" s="21"/>
      <c r="L273" s="21"/>
      <c r="M273" s="21"/>
      <c r="N273" s="21"/>
      <c r="O273" s="21"/>
      <c r="P273" s="21"/>
      <c r="Q273" s="21"/>
      <c r="R273" s="21"/>
      <c r="S273" s="21"/>
      <c r="T273" s="21"/>
      <c r="U273" s="21"/>
      <c r="V273" s="115">
        <f t="shared" si="73"/>
        <v>1.3500000000000002E-2</v>
      </c>
      <c r="W273" s="115">
        <f t="shared" si="74"/>
        <v>4.9497474683058273E-3</v>
      </c>
      <c r="X273" s="116">
        <f t="shared" si="75"/>
        <v>0.3666479606152464</v>
      </c>
      <c r="Y273" s="7">
        <f>COUNTIF('Sample Setup'!$B$27:$AW$34,Calculations!A273)</f>
        <v>2</v>
      </c>
      <c r="AA273" s="6" t="s">
        <v>301</v>
      </c>
      <c r="AB273" s="117" t="str">
        <f>SigConcAvg(B273:U273,Report!B174)</f>
        <v>Low</v>
      </c>
      <c r="AC273" s="113" t="e">
        <f>SigConcDev(B273:U273,Report!B174)</f>
        <v>#DIV/0!</v>
      </c>
      <c r="AD273" s="7">
        <f t="array" ref="AD273">SUM(IF(B273:U273&gt;HLOOKUP("Section "&amp;Report!$B174,$AL$76:$AN$83,8),0,IF(B273:U273&lt;HLOOKUP("Section "&amp;Report!$B174,$AL$76:$AN$83,7),0,1)))</f>
        <v>0</v>
      </c>
      <c r="AE273" s="114">
        <f ca="1">IF(BioScale_Internal!$N$28,IF(COUNTIF(INDIRECT("'Sample Setup'!R27C"&amp;1+'Sample Setup'!$O$5,0):INDIRECT("'Sample Setup'!R34C"&amp;1+'Sample Setup'!$Q$5,0),AA273)&gt;0,1,IF(COUNTIF(INDIRECT("'Sample Setup'!R27C"&amp;1+'Sample Setup'!$O$6,0):INDIRECT("'Sample Setup'!R34C"&amp;1+'Sample Setup'!$Q$6,0),AA273)&gt;0,2,IF(COUNTIF(INDIRECT("'Sample Setup'!R27C"&amp;1+'Sample Setup'!$O$7,0):INDIRECT("'Sample Setup'!R34C"&amp;1+'Sample Setup'!$Q$7,0),AA273)&gt;0,3,NA()))),NA())</f>
        <v>1</v>
      </c>
    </row>
    <row r="274" spans="1:31" hidden="1" x14ac:dyDescent="0.25">
      <c r="A274" s="6" t="s">
        <v>302</v>
      </c>
      <c r="B274" s="241">
        <v>1.2E-2</v>
      </c>
      <c r="C274" s="21">
        <v>8.0000000000000002E-3</v>
      </c>
      <c r="D274" s="21"/>
      <c r="E274" s="21"/>
      <c r="F274" s="21"/>
      <c r="G274" s="21"/>
      <c r="H274" s="21"/>
      <c r="I274" s="21"/>
      <c r="J274" s="21"/>
      <c r="K274" s="21"/>
      <c r="L274" s="21"/>
      <c r="M274" s="21"/>
      <c r="N274" s="21"/>
      <c r="O274" s="21"/>
      <c r="P274" s="21"/>
      <c r="Q274" s="21"/>
      <c r="R274" s="21"/>
      <c r="S274" s="21"/>
      <c r="T274" s="21"/>
      <c r="U274" s="21"/>
      <c r="V274" s="115">
        <f t="shared" si="73"/>
        <v>0.01</v>
      </c>
      <c r="W274" s="115">
        <f t="shared" si="74"/>
        <v>2.8284271247461901E-3</v>
      </c>
      <c r="X274" s="116">
        <f t="shared" si="75"/>
        <v>0.28284271247461901</v>
      </c>
      <c r="Y274" s="7">
        <f>COUNTIF('Sample Setup'!$B$27:$AW$34,Calculations!A274)</f>
        <v>2</v>
      </c>
      <c r="AA274" s="6" t="s">
        <v>302</v>
      </c>
      <c r="AB274" s="117" t="str">
        <f>SigConcAvg(B274:U274,Report!B175)</f>
        <v>Low</v>
      </c>
      <c r="AC274" s="113" t="e">
        <f>SigConcDev(B274:U274,Report!B175)</f>
        <v>#DIV/0!</v>
      </c>
      <c r="AD274" s="7">
        <f t="array" ref="AD274">SUM(IF(B274:U274&gt;HLOOKUP("Section "&amp;Report!$B175,$AL$76:$AN$83,8),0,IF(B274:U274&lt;HLOOKUP("Section "&amp;Report!$B175,$AL$76:$AN$83,7),0,1)))</f>
        <v>0</v>
      </c>
      <c r="AE274" s="114">
        <f ca="1">IF(BioScale_Internal!$N$28,IF(COUNTIF(INDIRECT("'Sample Setup'!R27C"&amp;1+'Sample Setup'!$O$5,0):INDIRECT("'Sample Setup'!R34C"&amp;1+'Sample Setup'!$Q$5,0),AA274)&gt;0,1,IF(COUNTIF(INDIRECT("'Sample Setup'!R27C"&amp;1+'Sample Setup'!$O$6,0):INDIRECT("'Sample Setup'!R34C"&amp;1+'Sample Setup'!$Q$6,0),AA274)&gt;0,2,IF(COUNTIF(INDIRECT("'Sample Setup'!R27C"&amp;1+'Sample Setup'!$O$7,0):INDIRECT("'Sample Setup'!R34C"&amp;1+'Sample Setup'!$Q$7,0),AA274)&gt;0,3,NA()))),NA())</f>
        <v>1</v>
      </c>
    </row>
    <row r="275" spans="1:31" hidden="1" x14ac:dyDescent="0.25">
      <c r="A275" s="6" t="s">
        <v>303</v>
      </c>
      <c r="B275" s="21">
        <v>0.01</v>
      </c>
      <c r="C275" s="21">
        <v>8.0000000000000002E-3</v>
      </c>
      <c r="D275" s="21"/>
      <c r="E275" s="21"/>
      <c r="F275" s="21"/>
      <c r="G275" s="21"/>
      <c r="H275" s="21"/>
      <c r="I275" s="21"/>
      <c r="J275" s="21"/>
      <c r="K275" s="21"/>
      <c r="L275" s="21"/>
      <c r="M275" s="21"/>
      <c r="N275" s="21"/>
      <c r="O275" s="21"/>
      <c r="P275" s="21"/>
      <c r="Q275" s="21"/>
      <c r="R275" s="21"/>
      <c r="S275" s="21"/>
      <c r="T275" s="21"/>
      <c r="U275" s="21"/>
      <c r="V275" s="115">
        <f t="shared" si="73"/>
        <v>9.0000000000000011E-3</v>
      </c>
      <c r="W275" s="115">
        <f t="shared" si="74"/>
        <v>1.4142135623730952E-3</v>
      </c>
      <c r="X275" s="116">
        <f t="shared" si="75"/>
        <v>0.15713484026367724</v>
      </c>
      <c r="Y275" s="7">
        <f>COUNTIF('Sample Setup'!$B$27:$AW$34,Calculations!A275)</f>
        <v>2</v>
      </c>
      <c r="AA275" s="6" t="s">
        <v>303</v>
      </c>
      <c r="AB275" s="117" t="str">
        <f>SigConcAvg(B275:U275,Report!B176)</f>
        <v>Low</v>
      </c>
      <c r="AC275" s="113" t="e">
        <f>SigConcDev(B275:U275,Report!B176)</f>
        <v>#DIV/0!</v>
      </c>
      <c r="AD275" s="7">
        <f t="array" ref="AD275">SUM(IF(B275:U275&gt;HLOOKUP("Section "&amp;Report!$B176,$AL$76:$AN$83,8),0,IF(B275:U275&lt;HLOOKUP("Section "&amp;Report!$B176,$AL$76:$AN$83,7),0,1)))</f>
        <v>0</v>
      </c>
      <c r="AE275" s="114">
        <f ca="1">IF(BioScale_Internal!$N$28,IF(COUNTIF(INDIRECT("'Sample Setup'!R27C"&amp;1+'Sample Setup'!$O$5,0):INDIRECT("'Sample Setup'!R34C"&amp;1+'Sample Setup'!$Q$5,0),AA275)&gt;0,1,IF(COUNTIF(INDIRECT("'Sample Setup'!R27C"&amp;1+'Sample Setup'!$O$6,0):INDIRECT("'Sample Setup'!R34C"&amp;1+'Sample Setup'!$Q$6,0),AA275)&gt;0,2,IF(COUNTIF(INDIRECT("'Sample Setup'!R27C"&amp;1+'Sample Setup'!$O$7,0):INDIRECT("'Sample Setup'!R34C"&amp;1+'Sample Setup'!$Q$7,0),AA275)&gt;0,3,NA()))),NA())</f>
        <v>1</v>
      </c>
    </row>
    <row r="276" spans="1:31" hidden="1" x14ac:dyDescent="0.25">
      <c r="A276" s="6" t="s">
        <v>304</v>
      </c>
      <c r="B276" s="21">
        <v>8.0000000000000002E-3</v>
      </c>
      <c r="C276" s="21">
        <v>6.0000000000000001E-3</v>
      </c>
      <c r="D276" s="21"/>
      <c r="E276" s="21"/>
      <c r="F276" s="21"/>
      <c r="G276" s="21"/>
      <c r="H276" s="21"/>
      <c r="I276" s="21"/>
      <c r="J276" s="21"/>
      <c r="K276" s="21"/>
      <c r="L276" s="21"/>
      <c r="M276" s="21"/>
      <c r="N276" s="21"/>
      <c r="O276" s="21"/>
      <c r="P276" s="21"/>
      <c r="Q276" s="21"/>
      <c r="R276" s="21"/>
      <c r="S276" s="21"/>
      <c r="T276" s="21"/>
      <c r="U276" s="21"/>
      <c r="V276" s="115">
        <f t="shared" si="73"/>
        <v>7.0000000000000001E-3</v>
      </c>
      <c r="W276" s="115">
        <f t="shared" si="74"/>
        <v>1.414213562373095E-3</v>
      </c>
      <c r="X276" s="116">
        <f t="shared" si="75"/>
        <v>0.20203050891044214</v>
      </c>
      <c r="Y276" s="7">
        <f>COUNTIF('Sample Setup'!$B$27:$AW$34,Calculations!A276)</f>
        <v>2</v>
      </c>
      <c r="AA276" s="6" t="s">
        <v>304</v>
      </c>
      <c r="AB276" s="117" t="str">
        <f>SigConcAvg(B276:U276,Report!B177)</f>
        <v>Low</v>
      </c>
      <c r="AC276" s="113" t="e">
        <f>SigConcDev(B276:U276,Report!B177)</f>
        <v>#DIV/0!</v>
      </c>
      <c r="AD276" s="7">
        <f t="array" ref="AD276">SUM(IF(B276:U276&gt;HLOOKUP("Section "&amp;Report!$B177,$AL$76:$AN$83,8),0,IF(B276:U276&lt;HLOOKUP("Section "&amp;Report!$B177,$AL$76:$AN$83,7),0,1)))</f>
        <v>0</v>
      </c>
      <c r="AE276" s="114">
        <f ca="1">IF(BioScale_Internal!$N$28,IF(COUNTIF(INDIRECT("'Sample Setup'!R27C"&amp;1+'Sample Setup'!$O$5,0):INDIRECT("'Sample Setup'!R34C"&amp;1+'Sample Setup'!$Q$5,0),AA276)&gt;0,1,IF(COUNTIF(INDIRECT("'Sample Setup'!R27C"&amp;1+'Sample Setup'!$O$6,0):INDIRECT("'Sample Setup'!R34C"&amp;1+'Sample Setup'!$Q$6,0),AA276)&gt;0,2,IF(COUNTIF(INDIRECT("'Sample Setup'!R27C"&amp;1+'Sample Setup'!$O$7,0):INDIRECT("'Sample Setup'!R34C"&amp;1+'Sample Setup'!$Q$7,0),AA276)&gt;0,3,NA()))),NA())</f>
        <v>1</v>
      </c>
    </row>
    <row r="277" spans="1:31" hidden="1" x14ac:dyDescent="0.25">
      <c r="A277" s="6" t="s">
        <v>305</v>
      </c>
      <c r="B277" s="21">
        <v>1.6E-2</v>
      </c>
      <c r="C277" s="241">
        <v>6.0000000000000097E-3</v>
      </c>
      <c r="D277" s="21"/>
      <c r="E277" s="21"/>
      <c r="F277" s="21"/>
      <c r="G277" s="21"/>
      <c r="H277" s="21"/>
      <c r="I277" s="21"/>
      <c r="J277" s="21"/>
      <c r="K277" s="21"/>
      <c r="L277" s="21"/>
      <c r="M277" s="21"/>
      <c r="N277" s="21"/>
      <c r="O277" s="21"/>
      <c r="P277" s="21"/>
      <c r="Q277" s="21"/>
      <c r="R277" s="21"/>
      <c r="S277" s="21"/>
      <c r="T277" s="21"/>
      <c r="U277" s="21"/>
      <c r="V277" s="115">
        <f t="shared" si="73"/>
        <v>1.1000000000000005E-2</v>
      </c>
      <c r="W277" s="115">
        <f t="shared" si="74"/>
        <v>7.0710678118654693E-3</v>
      </c>
      <c r="X277" s="116">
        <f t="shared" si="75"/>
        <v>0.64282434653322418</v>
      </c>
      <c r="Y277" s="7">
        <f>COUNTIF('Sample Setup'!$B$27:$AW$34,Calculations!A277)</f>
        <v>2</v>
      </c>
      <c r="AA277" s="6" t="s">
        <v>305</v>
      </c>
      <c r="AB277" s="117" t="str">
        <f>SigConcAvg(B277:U277,Report!B178)</f>
        <v>Low</v>
      </c>
      <c r="AC277" s="113" t="e">
        <f>SigConcDev(B277:U277,Report!B178)</f>
        <v>#DIV/0!</v>
      </c>
      <c r="AD277" s="7">
        <f t="array" ref="AD277">SUM(IF(B277:U277&gt;HLOOKUP("Section "&amp;Report!$B178,$AL$76:$AN$83,8),0,IF(B277:U277&lt;HLOOKUP("Section "&amp;Report!$B178,$AL$76:$AN$83,7),0,1)))</f>
        <v>0</v>
      </c>
      <c r="AE277" s="114">
        <f ca="1">IF(BioScale_Internal!$N$28,IF(COUNTIF(INDIRECT("'Sample Setup'!R27C"&amp;1+'Sample Setup'!$O$5,0):INDIRECT("'Sample Setup'!R34C"&amp;1+'Sample Setup'!$Q$5,0),AA277)&gt;0,1,IF(COUNTIF(INDIRECT("'Sample Setup'!R27C"&amp;1+'Sample Setup'!$O$6,0):INDIRECT("'Sample Setup'!R34C"&amp;1+'Sample Setup'!$Q$6,0),AA277)&gt;0,2,IF(COUNTIF(INDIRECT("'Sample Setup'!R27C"&amp;1+'Sample Setup'!$O$7,0):INDIRECT("'Sample Setup'!R34C"&amp;1+'Sample Setup'!$Q$7,0),AA277)&gt;0,3,NA()))),NA())</f>
        <v>1</v>
      </c>
    </row>
    <row r="278" spans="1:31" hidden="1" x14ac:dyDescent="0.25">
      <c r="A278" s="6" t="s">
        <v>306</v>
      </c>
      <c r="B278" s="241">
        <v>7.0000000000000001E-3</v>
      </c>
      <c r="C278" s="241">
        <v>7.0000000000000001E-3</v>
      </c>
      <c r="D278" s="21"/>
      <c r="E278" s="21"/>
      <c r="F278" s="21"/>
      <c r="G278" s="21"/>
      <c r="H278" s="21"/>
      <c r="I278" s="21"/>
      <c r="J278" s="21"/>
      <c r="K278" s="21"/>
      <c r="L278" s="21"/>
      <c r="M278" s="21"/>
      <c r="N278" s="21"/>
      <c r="O278" s="21"/>
      <c r="P278" s="21"/>
      <c r="Q278" s="21"/>
      <c r="R278" s="21"/>
      <c r="S278" s="21"/>
      <c r="T278" s="21"/>
      <c r="U278" s="21"/>
      <c r="V278" s="115">
        <f t="shared" si="73"/>
        <v>7.0000000000000001E-3</v>
      </c>
      <c r="W278" s="115">
        <f t="shared" si="74"/>
        <v>0</v>
      </c>
      <c r="X278" s="116">
        <f t="shared" si="75"/>
        <v>0</v>
      </c>
      <c r="Y278" s="7">
        <f>COUNTIF('Sample Setup'!$B$27:$AW$34,Calculations!A278)</f>
        <v>2</v>
      </c>
      <c r="AA278" s="6" t="s">
        <v>306</v>
      </c>
      <c r="AB278" s="117" t="str">
        <f>SigConcAvg(B278:U278,Report!B179)</f>
        <v>Low</v>
      </c>
      <c r="AC278" s="113" t="e">
        <f>SigConcDev(B278:U278,Report!B179)</f>
        <v>#DIV/0!</v>
      </c>
      <c r="AD278" s="7">
        <f t="array" ref="AD278">SUM(IF(B278:U278&gt;HLOOKUP("Section "&amp;Report!$B179,$AL$76:$AN$83,8),0,IF(B278:U278&lt;HLOOKUP("Section "&amp;Report!$B179,$AL$76:$AN$83,7),0,1)))</f>
        <v>0</v>
      </c>
      <c r="AE278" s="114">
        <f ca="1">IF(BioScale_Internal!$N$28,IF(COUNTIF(INDIRECT("'Sample Setup'!R27C"&amp;1+'Sample Setup'!$O$5,0):INDIRECT("'Sample Setup'!R34C"&amp;1+'Sample Setup'!$Q$5,0),AA278)&gt;0,1,IF(COUNTIF(INDIRECT("'Sample Setup'!R27C"&amp;1+'Sample Setup'!$O$6,0):INDIRECT("'Sample Setup'!R34C"&amp;1+'Sample Setup'!$Q$6,0),AA278)&gt;0,2,IF(COUNTIF(INDIRECT("'Sample Setup'!R27C"&amp;1+'Sample Setup'!$O$7,0):INDIRECT("'Sample Setup'!R34C"&amp;1+'Sample Setup'!$Q$7,0),AA278)&gt;0,3,NA()))),NA())</f>
        <v>1</v>
      </c>
    </row>
    <row r="279" spans="1:31" hidden="1" x14ac:dyDescent="0.25">
      <c r="A279" s="6" t="s">
        <v>307</v>
      </c>
      <c r="B279" s="21">
        <v>8.0000000000000002E-3</v>
      </c>
      <c r="C279" s="21">
        <v>6.0000000000000001E-3</v>
      </c>
      <c r="D279" s="21"/>
      <c r="E279" s="21"/>
      <c r="F279" s="21"/>
      <c r="G279" s="21"/>
      <c r="H279" s="21"/>
      <c r="I279" s="21"/>
      <c r="J279" s="21"/>
      <c r="K279" s="21"/>
      <c r="L279" s="21"/>
      <c r="M279" s="21"/>
      <c r="N279" s="21"/>
      <c r="O279" s="21"/>
      <c r="P279" s="21"/>
      <c r="Q279" s="21"/>
      <c r="R279" s="21"/>
      <c r="S279" s="21"/>
      <c r="T279" s="21"/>
      <c r="U279" s="21"/>
      <c r="V279" s="115">
        <f t="shared" si="73"/>
        <v>7.0000000000000001E-3</v>
      </c>
      <c r="W279" s="115">
        <f t="shared" si="74"/>
        <v>1.414213562373095E-3</v>
      </c>
      <c r="X279" s="116">
        <f t="shared" si="75"/>
        <v>0.20203050891044214</v>
      </c>
      <c r="Y279" s="7">
        <f>COUNTIF('Sample Setup'!$B$27:$AW$34,Calculations!A279)</f>
        <v>2</v>
      </c>
      <c r="AA279" s="6" t="s">
        <v>307</v>
      </c>
      <c r="AB279" s="117" t="str">
        <f>SigConcAvg(B279:U279,Report!B180)</f>
        <v>Low</v>
      </c>
      <c r="AC279" s="113" t="e">
        <f>SigConcDev(B279:U279,Report!B180)</f>
        <v>#DIV/0!</v>
      </c>
      <c r="AD279" s="7">
        <f t="array" ref="AD279">SUM(IF(B279:U279&gt;HLOOKUP("Section "&amp;Report!$B180,$AL$76:$AN$83,8),0,IF(B279:U279&lt;HLOOKUP("Section "&amp;Report!$B180,$AL$76:$AN$83,7),0,1)))</f>
        <v>0</v>
      </c>
      <c r="AE279" s="114">
        <f ca="1">IF(BioScale_Internal!$N$28,IF(COUNTIF(INDIRECT("'Sample Setup'!R27C"&amp;1+'Sample Setup'!$O$5,0):INDIRECT("'Sample Setup'!R34C"&amp;1+'Sample Setup'!$Q$5,0),AA279)&gt;0,1,IF(COUNTIF(INDIRECT("'Sample Setup'!R27C"&amp;1+'Sample Setup'!$O$6,0):INDIRECT("'Sample Setup'!R34C"&amp;1+'Sample Setup'!$Q$6,0),AA279)&gt;0,2,IF(COUNTIF(INDIRECT("'Sample Setup'!R27C"&amp;1+'Sample Setup'!$O$7,0):INDIRECT("'Sample Setup'!R34C"&amp;1+'Sample Setup'!$Q$7,0),AA279)&gt;0,3,NA()))),NA())</f>
        <v>1</v>
      </c>
    </row>
    <row r="280" spans="1:31" hidden="1" x14ac:dyDescent="0.25">
      <c r="A280" s="6" t="s">
        <v>308</v>
      </c>
      <c r="B280" s="21">
        <v>8.9999999999999993E-3</v>
      </c>
      <c r="C280" s="21">
        <v>8.0000000000000002E-3</v>
      </c>
      <c r="D280" s="21"/>
      <c r="E280" s="21"/>
      <c r="F280" s="21"/>
      <c r="G280" s="21"/>
      <c r="H280" s="21"/>
      <c r="I280" s="21"/>
      <c r="J280" s="21"/>
      <c r="K280" s="21"/>
      <c r="L280" s="21"/>
      <c r="M280" s="21"/>
      <c r="N280" s="21"/>
      <c r="O280" s="21"/>
      <c r="P280" s="21"/>
      <c r="Q280" s="21"/>
      <c r="R280" s="21"/>
      <c r="S280" s="21"/>
      <c r="T280" s="21"/>
      <c r="U280" s="21"/>
      <c r="V280" s="115">
        <f t="shared" si="73"/>
        <v>8.5000000000000006E-3</v>
      </c>
      <c r="W280" s="115">
        <f t="shared" si="74"/>
        <v>7.0710678118654697E-4</v>
      </c>
      <c r="X280" s="116">
        <f t="shared" si="75"/>
        <v>8.3189033080770219E-2</v>
      </c>
      <c r="Y280" s="7">
        <f>COUNTIF('Sample Setup'!$B$27:$AW$34,Calculations!A280)</f>
        <v>2</v>
      </c>
      <c r="AA280" s="6" t="s">
        <v>308</v>
      </c>
      <c r="AB280" s="117" t="str">
        <f>SigConcAvg(B280:U280,Report!B181)</f>
        <v>Low</v>
      </c>
      <c r="AC280" s="113" t="e">
        <f>SigConcDev(B280:U280,Report!B181)</f>
        <v>#DIV/0!</v>
      </c>
      <c r="AD280" s="7">
        <f t="array" ref="AD280">SUM(IF(B280:U280&gt;HLOOKUP("Section "&amp;Report!$B181,$AL$76:$AN$83,8),0,IF(B280:U280&lt;HLOOKUP("Section "&amp;Report!$B181,$AL$76:$AN$83,7),0,1)))</f>
        <v>0</v>
      </c>
      <c r="AE280" s="114">
        <f ca="1">IF(BioScale_Internal!$N$28,IF(COUNTIF(INDIRECT("'Sample Setup'!R27C"&amp;1+'Sample Setup'!$O$5,0):INDIRECT("'Sample Setup'!R34C"&amp;1+'Sample Setup'!$Q$5,0),AA280)&gt;0,1,IF(COUNTIF(INDIRECT("'Sample Setup'!R27C"&amp;1+'Sample Setup'!$O$6,0):INDIRECT("'Sample Setup'!R34C"&amp;1+'Sample Setup'!$Q$6,0),AA280)&gt;0,2,IF(COUNTIF(INDIRECT("'Sample Setup'!R27C"&amp;1+'Sample Setup'!$O$7,0):INDIRECT("'Sample Setup'!R34C"&amp;1+'Sample Setup'!$Q$7,0),AA280)&gt;0,3,NA()))),NA())</f>
        <v>1</v>
      </c>
    </row>
    <row r="281" spans="1:31" hidden="1" x14ac:dyDescent="0.25">
      <c r="A281" s="6" t="s">
        <v>309</v>
      </c>
      <c r="B281" s="21">
        <v>0.01</v>
      </c>
      <c r="C281" s="241">
        <v>1.2E-2</v>
      </c>
      <c r="D281" s="21"/>
      <c r="E281" s="21"/>
      <c r="F281" s="21"/>
      <c r="G281" s="21"/>
      <c r="H281" s="21"/>
      <c r="I281" s="21"/>
      <c r="J281" s="21"/>
      <c r="K281" s="21"/>
      <c r="L281" s="21"/>
      <c r="M281" s="21"/>
      <c r="N281" s="21"/>
      <c r="O281" s="21"/>
      <c r="P281" s="21"/>
      <c r="Q281" s="21"/>
      <c r="R281" s="21"/>
      <c r="S281" s="21"/>
      <c r="T281" s="21"/>
      <c r="U281" s="21"/>
      <c r="V281" s="115">
        <f t="shared" si="73"/>
        <v>1.0999999999999999E-2</v>
      </c>
      <c r="W281" s="115">
        <f t="shared" si="74"/>
        <v>1.4142135623730952E-3</v>
      </c>
      <c r="X281" s="116">
        <f t="shared" si="75"/>
        <v>0.12856486930664504</v>
      </c>
      <c r="Y281" s="7">
        <f>COUNTIF('Sample Setup'!$B$27:$AW$34,Calculations!A281)</f>
        <v>2</v>
      </c>
      <c r="AA281" s="6" t="s">
        <v>309</v>
      </c>
      <c r="AB281" s="117" t="str">
        <f>SigConcAvg(B281:U281,Report!B182)</f>
        <v>Low</v>
      </c>
      <c r="AC281" s="113" t="e">
        <f>SigConcDev(B281:U281,Report!B182)</f>
        <v>#DIV/0!</v>
      </c>
      <c r="AD281" s="7">
        <f t="array" ref="AD281">SUM(IF(B281:U281&gt;HLOOKUP("Section "&amp;Report!$B182,$AL$76:$AN$83,8),0,IF(B281:U281&lt;HLOOKUP("Section "&amp;Report!$B182,$AL$76:$AN$83,7),0,1)))</f>
        <v>0</v>
      </c>
      <c r="AE281" s="114">
        <f ca="1">IF(BioScale_Internal!$N$28,IF(COUNTIF(INDIRECT("'Sample Setup'!R27C"&amp;1+'Sample Setup'!$O$5,0):INDIRECT("'Sample Setup'!R34C"&amp;1+'Sample Setup'!$Q$5,0),AA281)&gt;0,1,IF(COUNTIF(INDIRECT("'Sample Setup'!R27C"&amp;1+'Sample Setup'!$O$6,0):INDIRECT("'Sample Setup'!R34C"&amp;1+'Sample Setup'!$Q$6,0),AA281)&gt;0,2,IF(COUNTIF(INDIRECT("'Sample Setup'!R27C"&amp;1+'Sample Setup'!$O$7,0):INDIRECT("'Sample Setup'!R34C"&amp;1+'Sample Setup'!$Q$7,0),AA281)&gt;0,3,NA()))),NA())</f>
        <v>1</v>
      </c>
    </row>
    <row r="282" spans="1:31" hidden="1" x14ac:dyDescent="0.25">
      <c r="A282" s="6" t="s">
        <v>310</v>
      </c>
      <c r="B282" s="241">
        <v>0.01</v>
      </c>
      <c r="C282" s="241">
        <v>8.0000000000000002E-3</v>
      </c>
      <c r="D282" s="21"/>
      <c r="E282" s="21"/>
      <c r="F282" s="21"/>
      <c r="G282" s="21"/>
      <c r="H282" s="21"/>
      <c r="I282" s="21"/>
      <c r="J282" s="21"/>
      <c r="K282" s="21"/>
      <c r="L282" s="21"/>
      <c r="M282" s="21"/>
      <c r="N282" s="21"/>
      <c r="O282" s="21"/>
      <c r="P282" s="21"/>
      <c r="Q282" s="21"/>
      <c r="R282" s="21"/>
      <c r="S282" s="21"/>
      <c r="T282" s="21"/>
      <c r="U282" s="21"/>
      <c r="V282" s="115">
        <f t="shared" si="73"/>
        <v>9.0000000000000011E-3</v>
      </c>
      <c r="W282" s="115">
        <f t="shared" si="74"/>
        <v>1.4142135623730952E-3</v>
      </c>
      <c r="X282" s="116">
        <f t="shared" si="75"/>
        <v>0.15713484026367724</v>
      </c>
      <c r="Y282" s="7">
        <f>COUNTIF('Sample Setup'!$B$27:$AW$34,Calculations!A282)</f>
        <v>2</v>
      </c>
      <c r="AA282" s="6" t="s">
        <v>310</v>
      </c>
      <c r="AB282" s="117" t="str">
        <f>SigConcAvg(B282:U282,Report!B183)</f>
        <v>Low</v>
      </c>
      <c r="AC282" s="113" t="e">
        <f>SigConcDev(B282:U282,Report!B183)</f>
        <v>#DIV/0!</v>
      </c>
      <c r="AD282" s="7">
        <f t="array" ref="AD282">SUM(IF(B282:U282&gt;HLOOKUP("Section "&amp;Report!$B183,$AL$76:$AN$83,8),0,IF(B282:U282&lt;HLOOKUP("Section "&amp;Report!$B183,$AL$76:$AN$83,7),0,1)))</f>
        <v>0</v>
      </c>
      <c r="AE282" s="114">
        <f ca="1">IF(BioScale_Internal!$N$28,IF(COUNTIF(INDIRECT("'Sample Setup'!R27C"&amp;1+'Sample Setup'!$O$5,0):INDIRECT("'Sample Setup'!R34C"&amp;1+'Sample Setup'!$Q$5,0),AA282)&gt;0,1,IF(COUNTIF(INDIRECT("'Sample Setup'!R27C"&amp;1+'Sample Setup'!$O$6,0):INDIRECT("'Sample Setup'!R34C"&amp;1+'Sample Setup'!$Q$6,0),AA282)&gt;0,2,IF(COUNTIF(INDIRECT("'Sample Setup'!R27C"&amp;1+'Sample Setup'!$O$7,0):INDIRECT("'Sample Setup'!R34C"&amp;1+'Sample Setup'!$Q$7,0),AA282)&gt;0,3,NA()))),NA())</f>
        <v>1</v>
      </c>
    </row>
    <row r="283" spans="1:31" hidden="1" x14ac:dyDescent="0.25">
      <c r="A283" s="6" t="s">
        <v>311</v>
      </c>
      <c r="B283" s="241">
        <v>8.0000000000000002E-3</v>
      </c>
      <c r="C283" s="241">
        <v>0.01</v>
      </c>
      <c r="D283" s="21"/>
      <c r="E283" s="21"/>
      <c r="F283" s="21"/>
      <c r="G283" s="21"/>
      <c r="H283" s="21"/>
      <c r="I283" s="21"/>
      <c r="J283" s="21"/>
      <c r="K283" s="21"/>
      <c r="L283" s="21"/>
      <c r="M283" s="21"/>
      <c r="N283" s="21"/>
      <c r="O283" s="21"/>
      <c r="P283" s="21"/>
      <c r="Q283" s="21"/>
      <c r="R283" s="21"/>
      <c r="S283" s="21"/>
      <c r="T283" s="21"/>
      <c r="U283" s="21"/>
      <c r="V283" s="115">
        <f t="shared" si="73"/>
        <v>9.0000000000000011E-3</v>
      </c>
      <c r="W283" s="115">
        <f t="shared" si="74"/>
        <v>1.4142135623730952E-3</v>
      </c>
      <c r="X283" s="116">
        <f t="shared" si="75"/>
        <v>0.15713484026367724</v>
      </c>
      <c r="Y283" s="7">
        <f>COUNTIF('Sample Setup'!$B$27:$AW$34,Calculations!A283)</f>
        <v>2</v>
      </c>
      <c r="AA283" s="6" t="s">
        <v>311</v>
      </c>
      <c r="AB283" s="117" t="str">
        <f>SigConcAvg(B283:U283,Report!B184)</f>
        <v>Low</v>
      </c>
      <c r="AC283" s="113" t="e">
        <f>SigConcDev(B283:U283,Report!B184)</f>
        <v>#DIV/0!</v>
      </c>
      <c r="AD283" s="7">
        <f t="array" ref="AD283">SUM(IF(B283:U283&gt;HLOOKUP("Section "&amp;Report!$B184,$AL$76:$AN$83,8),0,IF(B283:U283&lt;HLOOKUP("Section "&amp;Report!$B184,$AL$76:$AN$83,7),0,1)))</f>
        <v>0</v>
      </c>
      <c r="AE283" s="114">
        <f ca="1">IF(BioScale_Internal!$N$28,IF(COUNTIF(INDIRECT("'Sample Setup'!R27C"&amp;1+'Sample Setup'!$O$5,0):INDIRECT("'Sample Setup'!R34C"&amp;1+'Sample Setup'!$Q$5,0),AA283)&gt;0,1,IF(COUNTIF(INDIRECT("'Sample Setup'!R27C"&amp;1+'Sample Setup'!$O$6,0):INDIRECT("'Sample Setup'!R34C"&amp;1+'Sample Setup'!$Q$6,0),AA283)&gt;0,2,IF(COUNTIF(INDIRECT("'Sample Setup'!R27C"&amp;1+'Sample Setup'!$O$7,0):INDIRECT("'Sample Setup'!R34C"&amp;1+'Sample Setup'!$Q$7,0),AA283)&gt;0,3,NA()))),NA())</f>
        <v>1</v>
      </c>
    </row>
    <row r="284" spans="1:31" hidden="1" x14ac:dyDescent="0.25">
      <c r="A284" s="6" t="s">
        <v>312</v>
      </c>
      <c r="B284" s="21">
        <v>8.0000000000000002E-3</v>
      </c>
      <c r="C284" s="241">
        <v>7.0000000000000001E-3</v>
      </c>
      <c r="D284" s="21"/>
      <c r="E284" s="21"/>
      <c r="F284" s="21"/>
      <c r="G284" s="21"/>
      <c r="H284" s="21"/>
      <c r="I284" s="21"/>
      <c r="J284" s="21"/>
      <c r="K284" s="21"/>
      <c r="L284" s="21"/>
      <c r="M284" s="21"/>
      <c r="N284" s="21"/>
      <c r="O284" s="21"/>
      <c r="P284" s="21"/>
      <c r="Q284" s="21"/>
      <c r="R284" s="21"/>
      <c r="S284" s="21"/>
      <c r="T284" s="21"/>
      <c r="U284" s="21"/>
      <c r="V284" s="115">
        <f t="shared" si="73"/>
        <v>7.4999999999999997E-3</v>
      </c>
      <c r="W284" s="115">
        <f t="shared" si="74"/>
        <v>7.0710678118654762E-4</v>
      </c>
      <c r="X284" s="116">
        <f t="shared" si="75"/>
        <v>9.428090415820635E-2</v>
      </c>
      <c r="Y284" s="7">
        <f>COUNTIF('Sample Setup'!$B$27:$AW$34,Calculations!A284)</f>
        <v>2</v>
      </c>
      <c r="AA284" s="6" t="s">
        <v>312</v>
      </c>
      <c r="AB284" s="117" t="str">
        <f>SigConcAvg(B284:U284,Report!B185)</f>
        <v>Low</v>
      </c>
      <c r="AC284" s="113" t="e">
        <f>SigConcDev(B284:U284,Report!B185)</f>
        <v>#DIV/0!</v>
      </c>
      <c r="AD284" s="7">
        <f t="array" ref="AD284">SUM(IF(B284:U284&gt;HLOOKUP("Section "&amp;Report!$B185,$AL$76:$AN$83,8),0,IF(B284:U284&lt;HLOOKUP("Section "&amp;Report!$B185,$AL$76:$AN$83,7),0,1)))</f>
        <v>0</v>
      </c>
      <c r="AE284" s="114">
        <f ca="1">IF(BioScale_Internal!$N$28,IF(COUNTIF(INDIRECT("'Sample Setup'!R27C"&amp;1+'Sample Setup'!$O$5,0):INDIRECT("'Sample Setup'!R34C"&amp;1+'Sample Setup'!$Q$5,0),AA284)&gt;0,1,IF(COUNTIF(INDIRECT("'Sample Setup'!R27C"&amp;1+'Sample Setup'!$O$6,0):INDIRECT("'Sample Setup'!R34C"&amp;1+'Sample Setup'!$Q$6,0),AA284)&gt;0,2,IF(COUNTIF(INDIRECT("'Sample Setup'!R27C"&amp;1+'Sample Setup'!$O$7,0):INDIRECT("'Sample Setup'!R34C"&amp;1+'Sample Setup'!$Q$7,0),AA284)&gt;0,3,NA()))),NA())</f>
        <v>1</v>
      </c>
    </row>
    <row r="285" spans="1:31" hidden="1" x14ac:dyDescent="0.25">
      <c r="A285" s="6" t="s">
        <v>313</v>
      </c>
      <c r="B285" s="21">
        <v>8.9999999999999993E-3</v>
      </c>
      <c r="C285" s="21">
        <v>6.0000000000000001E-3</v>
      </c>
      <c r="D285" s="21"/>
      <c r="E285" s="21"/>
      <c r="F285" s="21"/>
      <c r="G285" s="21"/>
      <c r="H285" s="21"/>
      <c r="I285" s="21"/>
      <c r="J285" s="21"/>
      <c r="K285" s="21"/>
      <c r="L285" s="21"/>
      <c r="M285" s="21"/>
      <c r="N285" s="21"/>
      <c r="O285" s="21"/>
      <c r="P285" s="21"/>
      <c r="Q285" s="21"/>
      <c r="R285" s="21"/>
      <c r="S285" s="21"/>
      <c r="T285" s="21"/>
      <c r="U285" s="21"/>
      <c r="V285" s="115">
        <f t="shared" si="73"/>
        <v>7.4999999999999997E-3</v>
      </c>
      <c r="W285" s="115">
        <f t="shared" si="74"/>
        <v>2.121320343559642E-3</v>
      </c>
      <c r="X285" s="116">
        <f t="shared" si="75"/>
        <v>0.28284271247461895</v>
      </c>
      <c r="Y285" s="7">
        <f>COUNTIF('Sample Setup'!$B$27:$AW$34,Calculations!A285)</f>
        <v>2</v>
      </c>
      <c r="AA285" s="6" t="s">
        <v>313</v>
      </c>
      <c r="AB285" s="117" t="str">
        <f>SigConcAvg(B285:U285,Report!B186)</f>
        <v>Low</v>
      </c>
      <c r="AC285" s="113" t="e">
        <f>SigConcDev(B285:U285,Report!B186)</f>
        <v>#DIV/0!</v>
      </c>
      <c r="AD285" s="7">
        <f t="array" ref="AD285">SUM(IF(B285:U285&gt;HLOOKUP("Section "&amp;Report!$B186,$AL$76:$AN$83,8),0,IF(B285:U285&lt;HLOOKUP("Section "&amp;Report!$B186,$AL$76:$AN$83,7),0,1)))</f>
        <v>0</v>
      </c>
      <c r="AE285" s="114">
        <f ca="1">IF(BioScale_Internal!$N$28,IF(COUNTIF(INDIRECT("'Sample Setup'!R27C"&amp;1+'Sample Setup'!$O$5,0):INDIRECT("'Sample Setup'!R34C"&amp;1+'Sample Setup'!$Q$5,0),AA285)&gt;0,1,IF(COUNTIF(INDIRECT("'Sample Setup'!R27C"&amp;1+'Sample Setup'!$O$6,0):INDIRECT("'Sample Setup'!R34C"&amp;1+'Sample Setup'!$Q$6,0),AA285)&gt;0,2,IF(COUNTIF(INDIRECT("'Sample Setup'!R27C"&amp;1+'Sample Setup'!$O$7,0):INDIRECT("'Sample Setup'!R34C"&amp;1+'Sample Setup'!$Q$7,0),AA285)&gt;0,3,NA()))),NA())</f>
        <v>1</v>
      </c>
    </row>
    <row r="286" spans="1:31" hidden="1" x14ac:dyDescent="0.25">
      <c r="A286" s="6" t="s">
        <v>314</v>
      </c>
      <c r="B286" s="21">
        <v>7.0000000000000001E-3</v>
      </c>
      <c r="C286" s="241">
        <v>6.0000000000000097E-3</v>
      </c>
      <c r="D286" s="21"/>
      <c r="E286" s="21"/>
      <c r="F286" s="21"/>
      <c r="G286" s="21"/>
      <c r="H286" s="21"/>
      <c r="I286" s="21"/>
      <c r="J286" s="21"/>
      <c r="K286" s="21"/>
      <c r="L286" s="21"/>
      <c r="M286" s="21"/>
      <c r="N286" s="21"/>
      <c r="O286" s="21"/>
      <c r="P286" s="21"/>
      <c r="Q286" s="21"/>
      <c r="R286" s="21"/>
      <c r="S286" s="21"/>
      <c r="T286" s="21"/>
      <c r="U286" s="21"/>
      <c r="V286" s="115">
        <f t="shared" si="73"/>
        <v>6.5000000000000049E-3</v>
      </c>
      <c r="W286" s="115">
        <f t="shared" si="74"/>
        <v>7.0710678118654079E-4</v>
      </c>
      <c r="X286" s="116">
        <f t="shared" si="75"/>
        <v>0.10878565864408311</v>
      </c>
      <c r="Y286" s="7">
        <f>COUNTIF('Sample Setup'!$B$27:$AW$34,Calculations!A286)</f>
        <v>2</v>
      </c>
      <c r="AA286" s="6" t="s">
        <v>314</v>
      </c>
      <c r="AB286" s="117" t="str">
        <f>SigConcAvg(B286:U286,Report!B187)</f>
        <v>Low</v>
      </c>
      <c r="AC286" s="113" t="e">
        <f>SigConcDev(B286:U286,Report!B187)</f>
        <v>#DIV/0!</v>
      </c>
      <c r="AD286" s="7">
        <f t="array" ref="AD286">SUM(IF(B286:U286&gt;HLOOKUP("Section "&amp;Report!$B187,$AL$76:$AN$83,8),0,IF(B286:U286&lt;HLOOKUP("Section "&amp;Report!$B187,$AL$76:$AN$83,7),0,1)))</f>
        <v>0</v>
      </c>
      <c r="AE286" s="114">
        <f ca="1">IF(BioScale_Internal!$N$28,IF(COUNTIF(INDIRECT("'Sample Setup'!R27C"&amp;1+'Sample Setup'!$O$5,0):INDIRECT("'Sample Setup'!R34C"&amp;1+'Sample Setup'!$Q$5,0),AA286)&gt;0,1,IF(COUNTIF(INDIRECT("'Sample Setup'!R27C"&amp;1+'Sample Setup'!$O$6,0):INDIRECT("'Sample Setup'!R34C"&amp;1+'Sample Setup'!$Q$6,0),AA286)&gt;0,2,IF(COUNTIF(INDIRECT("'Sample Setup'!R27C"&amp;1+'Sample Setup'!$O$7,0):INDIRECT("'Sample Setup'!R34C"&amp;1+'Sample Setup'!$Q$7,0),AA286)&gt;0,3,NA()))),NA())</f>
        <v>1</v>
      </c>
    </row>
    <row r="287" spans="1:31" hidden="1" x14ac:dyDescent="0.25">
      <c r="A287" s="6" t="s">
        <v>315</v>
      </c>
      <c r="B287" s="241">
        <v>2.1999999999999999E-2</v>
      </c>
      <c r="C287" s="21">
        <v>8.0000000000000002E-3</v>
      </c>
      <c r="D287" s="21"/>
      <c r="E287" s="21"/>
      <c r="F287" s="21"/>
      <c r="G287" s="21"/>
      <c r="H287" s="21"/>
      <c r="I287" s="21"/>
      <c r="J287" s="21"/>
      <c r="K287" s="21"/>
      <c r="L287" s="21"/>
      <c r="M287" s="21"/>
      <c r="N287" s="21"/>
      <c r="O287" s="21"/>
      <c r="P287" s="21"/>
      <c r="Q287" s="21"/>
      <c r="R287" s="21"/>
      <c r="S287" s="21"/>
      <c r="T287" s="21"/>
      <c r="U287" s="21"/>
      <c r="V287" s="115">
        <f t="shared" si="73"/>
        <v>1.4999999999999999E-2</v>
      </c>
      <c r="W287" s="115">
        <f t="shared" si="74"/>
        <v>9.899494936611665E-3</v>
      </c>
      <c r="X287" s="116">
        <f t="shared" si="75"/>
        <v>0.65996632910744435</v>
      </c>
      <c r="Y287" s="7">
        <f>COUNTIF('Sample Setup'!$B$27:$AW$34,Calculations!A287)</f>
        <v>2</v>
      </c>
      <c r="AA287" s="6" t="s">
        <v>315</v>
      </c>
      <c r="AB287" s="117">
        <f>SigConcAvg(B287:U287,Report!B188)</f>
        <v>1.8659192735965175</v>
      </c>
      <c r="AC287" s="113" t="e">
        <f>SigConcDev(B287:U287,Report!B188)</f>
        <v>#DIV/0!</v>
      </c>
      <c r="AD287" s="7">
        <f t="array" ref="AD287">SUM(IF(B287:U287&gt;HLOOKUP("Section "&amp;Report!$B188,$AL$76:$AN$83,8),0,IF(B287:U287&lt;HLOOKUP("Section "&amp;Report!$B188,$AL$76:$AN$83,7),0,1)))</f>
        <v>1</v>
      </c>
      <c r="AE287" s="114">
        <f ca="1">IF(BioScale_Internal!$N$28,IF(COUNTIF(INDIRECT("'Sample Setup'!R27C"&amp;1+'Sample Setup'!$O$5,0):INDIRECT("'Sample Setup'!R34C"&amp;1+'Sample Setup'!$Q$5,0),AA287)&gt;0,1,IF(COUNTIF(INDIRECT("'Sample Setup'!R27C"&amp;1+'Sample Setup'!$O$6,0):INDIRECT("'Sample Setup'!R34C"&amp;1+'Sample Setup'!$Q$6,0),AA287)&gt;0,2,IF(COUNTIF(INDIRECT("'Sample Setup'!R27C"&amp;1+'Sample Setup'!$O$7,0):INDIRECT("'Sample Setup'!R34C"&amp;1+'Sample Setup'!$Q$7,0),AA287)&gt;0,3,NA()))),NA())</f>
        <v>1</v>
      </c>
    </row>
    <row r="288" spans="1:31" hidden="1" x14ac:dyDescent="0.25">
      <c r="A288" s="6" t="s">
        <v>316</v>
      </c>
      <c r="B288" s="241">
        <v>8.0000000000000002E-3</v>
      </c>
      <c r="C288" s="241">
        <v>7.0000000000000001E-3</v>
      </c>
      <c r="D288" s="21"/>
      <c r="E288" s="21"/>
      <c r="F288" s="21"/>
      <c r="G288" s="21"/>
      <c r="H288" s="21"/>
      <c r="I288" s="21"/>
      <c r="J288" s="21"/>
      <c r="K288" s="21"/>
      <c r="L288" s="21"/>
      <c r="M288" s="21"/>
      <c r="N288" s="21"/>
      <c r="O288" s="21"/>
      <c r="P288" s="21"/>
      <c r="Q288" s="21"/>
      <c r="R288" s="21"/>
      <c r="S288" s="21"/>
      <c r="T288" s="21"/>
      <c r="U288" s="21"/>
      <c r="V288" s="115">
        <f t="shared" si="73"/>
        <v>7.4999999999999997E-3</v>
      </c>
      <c r="W288" s="115">
        <f t="shared" si="74"/>
        <v>7.0710678118654762E-4</v>
      </c>
      <c r="X288" s="116">
        <f t="shared" si="75"/>
        <v>9.428090415820635E-2</v>
      </c>
      <c r="Y288" s="7">
        <f>COUNTIF('Sample Setup'!$B$27:$AW$34,Calculations!A288)</f>
        <v>2</v>
      </c>
      <c r="AA288" s="6" t="s">
        <v>316</v>
      </c>
      <c r="AB288" s="117" t="str">
        <f>SigConcAvg(B288:U288,Report!B189)</f>
        <v>Low</v>
      </c>
      <c r="AC288" s="113" t="e">
        <f>SigConcDev(B288:U288,Report!B189)</f>
        <v>#DIV/0!</v>
      </c>
      <c r="AD288" s="7">
        <f t="array" ref="AD288">SUM(IF(B288:U288&gt;HLOOKUP("Section "&amp;Report!$B189,$AL$76:$AN$83,8),0,IF(B288:U288&lt;HLOOKUP("Section "&amp;Report!$B189,$AL$76:$AN$83,7),0,1)))</f>
        <v>0</v>
      </c>
      <c r="AE288" s="114">
        <f ca="1">IF(BioScale_Internal!$N$28,IF(COUNTIF(INDIRECT("'Sample Setup'!R27C"&amp;1+'Sample Setup'!$O$5,0):INDIRECT("'Sample Setup'!R34C"&amp;1+'Sample Setup'!$Q$5,0),AA288)&gt;0,1,IF(COUNTIF(INDIRECT("'Sample Setup'!R27C"&amp;1+'Sample Setup'!$O$6,0):INDIRECT("'Sample Setup'!R34C"&amp;1+'Sample Setup'!$Q$6,0),AA288)&gt;0,2,IF(COUNTIF(INDIRECT("'Sample Setup'!R27C"&amp;1+'Sample Setup'!$O$7,0):INDIRECT("'Sample Setup'!R34C"&amp;1+'Sample Setup'!$Q$7,0),AA288)&gt;0,3,NA()))),NA())</f>
        <v>1</v>
      </c>
    </row>
    <row r="289" spans="1:31" hidden="1" x14ac:dyDescent="0.25">
      <c r="A289" s="6" t="s">
        <v>317</v>
      </c>
      <c r="B289" s="21">
        <v>1.2E-2</v>
      </c>
      <c r="C289" s="241">
        <v>7.0000000000000097E-3</v>
      </c>
      <c r="D289" s="21"/>
      <c r="E289" s="21"/>
      <c r="F289" s="21"/>
      <c r="G289" s="21"/>
      <c r="H289" s="21"/>
      <c r="I289" s="21"/>
      <c r="J289" s="21"/>
      <c r="K289" s="21"/>
      <c r="L289" s="21"/>
      <c r="M289" s="21"/>
      <c r="N289" s="21"/>
      <c r="O289" s="21"/>
      <c r="P289" s="21"/>
      <c r="Q289" s="21"/>
      <c r="R289" s="21"/>
      <c r="S289" s="21"/>
      <c r="T289" s="21"/>
      <c r="U289" s="21"/>
      <c r="V289" s="115">
        <f t="shared" ref="V289:V339" si="76">IF(ISERROR(AVERAGE(B289:U289)),IF(ISERROR(MATCH("Low",B289:U289,0)),IF(ISERROR(MATCH("High",B289:U289,0)),AVERAGE(B289:U289),"High"),"Low"),AVERAGE(B289:U289))</f>
        <v>9.500000000000005E-3</v>
      </c>
      <c r="W289" s="115">
        <f t="shared" ref="W289:W339" si="77">STDEV(B289:U289)</f>
        <v>3.5355339059327307E-3</v>
      </c>
      <c r="X289" s="116">
        <f t="shared" ref="X289:X339" si="78">W289/V289</f>
        <v>0.37216146378239251</v>
      </c>
      <c r="Y289" s="7">
        <f>COUNTIF('Sample Setup'!$B$27:$AW$34,Calculations!A289)</f>
        <v>2</v>
      </c>
      <c r="AA289" s="6" t="s">
        <v>317</v>
      </c>
      <c r="AB289" s="117" t="str">
        <f>SigConcAvg(B289:U289,Report!B190)</f>
        <v>Low</v>
      </c>
      <c r="AC289" s="113" t="e">
        <f>SigConcDev(B289:U289,Report!B190)</f>
        <v>#DIV/0!</v>
      </c>
      <c r="AD289" s="7">
        <f t="array" ref="AD289">SUM(IF(B289:U289&gt;HLOOKUP("Section "&amp;Report!$B190,$AL$76:$AN$83,8),0,IF(B289:U289&lt;HLOOKUP("Section "&amp;Report!$B190,$AL$76:$AN$83,7),0,1)))</f>
        <v>0</v>
      </c>
      <c r="AE289" s="114">
        <f ca="1">IF(BioScale_Internal!$N$28,IF(COUNTIF(INDIRECT("'Sample Setup'!R27C"&amp;1+'Sample Setup'!$O$5,0):INDIRECT("'Sample Setup'!R34C"&amp;1+'Sample Setup'!$Q$5,0),AA289)&gt;0,1,IF(COUNTIF(INDIRECT("'Sample Setup'!R27C"&amp;1+'Sample Setup'!$O$6,0):INDIRECT("'Sample Setup'!R34C"&amp;1+'Sample Setup'!$Q$6,0),AA289)&gt;0,2,IF(COUNTIF(INDIRECT("'Sample Setup'!R27C"&amp;1+'Sample Setup'!$O$7,0):INDIRECT("'Sample Setup'!R34C"&amp;1+'Sample Setup'!$Q$7,0),AA289)&gt;0,3,NA()))),NA())</f>
        <v>1</v>
      </c>
    </row>
    <row r="290" spans="1:31" hidden="1" x14ac:dyDescent="0.25">
      <c r="A290" s="6" t="s">
        <v>318</v>
      </c>
      <c r="B290" s="21">
        <v>0.01</v>
      </c>
      <c r="C290" s="241">
        <v>0.01</v>
      </c>
      <c r="D290" s="21"/>
      <c r="E290" s="21"/>
      <c r="F290" s="21"/>
      <c r="G290" s="21"/>
      <c r="H290" s="21"/>
      <c r="I290" s="21"/>
      <c r="J290" s="21"/>
      <c r="K290" s="21"/>
      <c r="L290" s="21"/>
      <c r="M290" s="21"/>
      <c r="N290" s="21"/>
      <c r="O290" s="21"/>
      <c r="P290" s="21"/>
      <c r="Q290" s="21"/>
      <c r="R290" s="21"/>
      <c r="S290" s="21"/>
      <c r="T290" s="21"/>
      <c r="U290" s="21"/>
      <c r="V290" s="115">
        <f t="shared" si="76"/>
        <v>0.01</v>
      </c>
      <c r="W290" s="115">
        <f t="shared" si="77"/>
        <v>0</v>
      </c>
      <c r="X290" s="116">
        <f t="shared" si="78"/>
        <v>0</v>
      </c>
      <c r="Y290" s="7">
        <f>COUNTIF('Sample Setup'!$B$27:$AW$34,Calculations!A290)</f>
        <v>2</v>
      </c>
      <c r="AA290" s="6" t="s">
        <v>318</v>
      </c>
      <c r="AB290" s="117" t="str">
        <f>SigConcAvg(B290:U290,Report!B191)</f>
        <v>Low</v>
      </c>
      <c r="AC290" s="113" t="e">
        <f>SigConcDev(B290:U290,Report!B191)</f>
        <v>#DIV/0!</v>
      </c>
      <c r="AD290" s="7">
        <f t="array" ref="AD290">SUM(IF(B290:U290&gt;HLOOKUP("Section "&amp;Report!$B191,$AL$76:$AN$83,8),0,IF(B290:U290&lt;HLOOKUP("Section "&amp;Report!$B191,$AL$76:$AN$83,7),0,1)))</f>
        <v>0</v>
      </c>
      <c r="AE290" s="114">
        <f ca="1">IF(BioScale_Internal!$N$28,IF(COUNTIF(INDIRECT("'Sample Setup'!R27C"&amp;1+'Sample Setup'!$O$5,0):INDIRECT("'Sample Setup'!R34C"&amp;1+'Sample Setup'!$Q$5,0),AA290)&gt;0,1,IF(COUNTIF(INDIRECT("'Sample Setup'!R27C"&amp;1+'Sample Setup'!$O$6,0):INDIRECT("'Sample Setup'!R34C"&amp;1+'Sample Setup'!$Q$6,0),AA290)&gt;0,2,IF(COUNTIF(INDIRECT("'Sample Setup'!R27C"&amp;1+'Sample Setup'!$O$7,0):INDIRECT("'Sample Setup'!R34C"&amp;1+'Sample Setup'!$Q$7,0),AA290)&gt;0,3,NA()))),NA())</f>
        <v>1</v>
      </c>
    </row>
    <row r="291" spans="1:31" hidden="1" x14ac:dyDescent="0.25">
      <c r="A291" s="6" t="s">
        <v>319</v>
      </c>
      <c r="B291" s="21">
        <v>8.0000000000000002E-3</v>
      </c>
      <c r="C291" s="241">
        <v>7.0000000000000001E-3</v>
      </c>
      <c r="D291" s="21"/>
      <c r="E291" s="21"/>
      <c r="F291" s="21"/>
      <c r="G291" s="21"/>
      <c r="H291" s="21"/>
      <c r="I291" s="21"/>
      <c r="J291" s="21"/>
      <c r="K291" s="21"/>
      <c r="L291" s="21"/>
      <c r="M291" s="21"/>
      <c r="N291" s="21"/>
      <c r="O291" s="21"/>
      <c r="P291" s="21"/>
      <c r="Q291" s="21"/>
      <c r="R291" s="21"/>
      <c r="S291" s="21"/>
      <c r="T291" s="21"/>
      <c r="U291" s="21"/>
      <c r="V291" s="115">
        <f t="shared" si="76"/>
        <v>7.4999999999999997E-3</v>
      </c>
      <c r="W291" s="115">
        <f t="shared" si="77"/>
        <v>7.0710678118654762E-4</v>
      </c>
      <c r="X291" s="116">
        <f t="shared" si="78"/>
        <v>9.428090415820635E-2</v>
      </c>
      <c r="Y291" s="7">
        <f>COUNTIF('Sample Setup'!$B$27:$AW$34,Calculations!A291)</f>
        <v>2</v>
      </c>
      <c r="AA291" s="6" t="s">
        <v>319</v>
      </c>
      <c r="AB291" s="117" t="str">
        <f>SigConcAvg(B291:U291,Report!B192)</f>
        <v>Low</v>
      </c>
      <c r="AC291" s="113" t="e">
        <f>SigConcDev(B291:U291,Report!B192)</f>
        <v>#DIV/0!</v>
      </c>
      <c r="AD291" s="7">
        <f t="array" ref="AD291">SUM(IF(B291:U291&gt;HLOOKUP("Section "&amp;Report!$B192,$AL$76:$AN$83,8),0,IF(B291:U291&lt;HLOOKUP("Section "&amp;Report!$B192,$AL$76:$AN$83,7),0,1)))</f>
        <v>0</v>
      </c>
      <c r="AE291" s="114">
        <f ca="1">IF(BioScale_Internal!$N$28,IF(COUNTIF(INDIRECT("'Sample Setup'!R27C"&amp;1+'Sample Setup'!$O$5,0):INDIRECT("'Sample Setup'!R34C"&amp;1+'Sample Setup'!$Q$5,0),AA291)&gt;0,1,IF(COUNTIF(INDIRECT("'Sample Setup'!R27C"&amp;1+'Sample Setup'!$O$6,0):INDIRECT("'Sample Setup'!R34C"&amp;1+'Sample Setup'!$Q$6,0),AA291)&gt;0,2,IF(COUNTIF(INDIRECT("'Sample Setup'!R27C"&amp;1+'Sample Setup'!$O$7,0):INDIRECT("'Sample Setup'!R34C"&amp;1+'Sample Setup'!$Q$7,0),AA291)&gt;0,3,NA()))),NA())</f>
        <v>1</v>
      </c>
    </row>
    <row r="292" spans="1:31" hidden="1" x14ac:dyDescent="0.25">
      <c r="A292" s="6" t="s">
        <v>320</v>
      </c>
      <c r="B292" s="241">
        <v>8.9999999999999993E-3</v>
      </c>
      <c r="C292" s="241">
        <v>7.0000000000000001E-3</v>
      </c>
      <c r="D292" s="21"/>
      <c r="E292" s="21"/>
      <c r="F292" s="21"/>
      <c r="G292" s="21"/>
      <c r="H292" s="21"/>
      <c r="I292" s="21"/>
      <c r="J292" s="21"/>
      <c r="K292" s="21"/>
      <c r="L292" s="21"/>
      <c r="M292" s="21"/>
      <c r="N292" s="21"/>
      <c r="O292" s="21"/>
      <c r="P292" s="21"/>
      <c r="Q292" s="21"/>
      <c r="R292" s="21"/>
      <c r="S292" s="21"/>
      <c r="T292" s="21"/>
      <c r="U292" s="21"/>
      <c r="V292" s="115">
        <f t="shared" si="76"/>
        <v>8.0000000000000002E-3</v>
      </c>
      <c r="W292" s="115">
        <f t="shared" si="77"/>
        <v>1.4142135623730944E-3</v>
      </c>
      <c r="X292" s="116">
        <f t="shared" si="78"/>
        <v>0.17677669529663678</v>
      </c>
      <c r="Y292" s="7">
        <f>COUNTIF('Sample Setup'!$B$27:$AW$34,Calculations!A292)</f>
        <v>2</v>
      </c>
      <c r="AA292" s="6" t="s">
        <v>320</v>
      </c>
      <c r="AB292" s="117" t="str">
        <f>SigConcAvg(B292:U292,Report!B193)</f>
        <v>Low</v>
      </c>
      <c r="AC292" s="113" t="e">
        <f>SigConcDev(B292:U292,Report!B193)</f>
        <v>#DIV/0!</v>
      </c>
      <c r="AD292" s="7">
        <f t="array" ref="AD292">SUM(IF(B292:U292&gt;HLOOKUP("Section "&amp;Report!$B193,$AL$76:$AN$83,8),0,IF(B292:U292&lt;HLOOKUP("Section "&amp;Report!$B193,$AL$76:$AN$83,7),0,1)))</f>
        <v>0</v>
      </c>
      <c r="AE292" s="114">
        <f ca="1">IF(BioScale_Internal!$N$28,IF(COUNTIF(INDIRECT("'Sample Setup'!R27C"&amp;1+'Sample Setup'!$O$5,0):INDIRECT("'Sample Setup'!R34C"&amp;1+'Sample Setup'!$Q$5,0),AA292)&gt;0,1,IF(COUNTIF(INDIRECT("'Sample Setup'!R27C"&amp;1+'Sample Setup'!$O$6,0):INDIRECT("'Sample Setup'!R34C"&amp;1+'Sample Setup'!$Q$6,0),AA292)&gt;0,2,IF(COUNTIF(INDIRECT("'Sample Setup'!R27C"&amp;1+'Sample Setup'!$O$7,0):INDIRECT("'Sample Setup'!R34C"&amp;1+'Sample Setup'!$Q$7,0),AA292)&gt;0,3,NA()))),NA())</f>
        <v>1</v>
      </c>
    </row>
    <row r="293" spans="1:31" hidden="1" x14ac:dyDescent="0.25">
      <c r="A293" s="6" t="s">
        <v>321</v>
      </c>
      <c r="B293" s="241">
        <v>8.9999999999999906E-3</v>
      </c>
      <c r="C293" s="241">
        <v>5.0000000000000001E-3</v>
      </c>
      <c r="D293" s="21"/>
      <c r="E293" s="21"/>
      <c r="F293" s="21"/>
      <c r="G293" s="21"/>
      <c r="H293" s="21"/>
      <c r="I293" s="21"/>
      <c r="J293" s="21"/>
      <c r="K293" s="21"/>
      <c r="L293" s="21"/>
      <c r="M293" s="21"/>
      <c r="N293" s="21"/>
      <c r="O293" s="21"/>
      <c r="P293" s="21"/>
      <c r="Q293" s="21"/>
      <c r="R293" s="21"/>
      <c r="S293" s="21"/>
      <c r="T293" s="21"/>
      <c r="U293" s="21"/>
      <c r="V293" s="115">
        <f t="shared" si="76"/>
        <v>6.9999999999999958E-3</v>
      </c>
      <c r="W293" s="115">
        <f t="shared" si="77"/>
        <v>2.8284271247461788E-3</v>
      </c>
      <c r="X293" s="116">
        <f t="shared" si="78"/>
        <v>0.40406101782088294</v>
      </c>
      <c r="Y293" s="7">
        <f>COUNTIF('Sample Setup'!$B$27:$AW$34,Calculations!A293)</f>
        <v>2</v>
      </c>
      <c r="AA293" s="6" t="s">
        <v>321</v>
      </c>
      <c r="AB293" s="117" t="str">
        <f>SigConcAvg(B293:U293,Report!B194)</f>
        <v>Low</v>
      </c>
      <c r="AC293" s="113" t="e">
        <f>SigConcDev(B293:U293,Report!B194)</f>
        <v>#DIV/0!</v>
      </c>
      <c r="AD293" s="7">
        <f t="array" ref="AD293">SUM(IF(B293:U293&gt;HLOOKUP("Section "&amp;Report!$B194,$AL$76:$AN$83,8),0,IF(B293:U293&lt;HLOOKUP("Section "&amp;Report!$B194,$AL$76:$AN$83,7),0,1)))</f>
        <v>0</v>
      </c>
      <c r="AE293" s="114">
        <f ca="1">IF(BioScale_Internal!$N$28,IF(COUNTIF(INDIRECT("'Sample Setup'!R27C"&amp;1+'Sample Setup'!$O$5,0):INDIRECT("'Sample Setup'!R34C"&amp;1+'Sample Setup'!$Q$5,0),AA293)&gt;0,1,IF(COUNTIF(INDIRECT("'Sample Setup'!R27C"&amp;1+'Sample Setup'!$O$6,0):INDIRECT("'Sample Setup'!R34C"&amp;1+'Sample Setup'!$Q$6,0),AA293)&gt;0,2,IF(COUNTIF(INDIRECT("'Sample Setup'!R27C"&amp;1+'Sample Setup'!$O$7,0):INDIRECT("'Sample Setup'!R34C"&amp;1+'Sample Setup'!$Q$7,0),AA293)&gt;0,3,NA()))),NA())</f>
        <v>1</v>
      </c>
    </row>
    <row r="294" spans="1:31" hidden="1" x14ac:dyDescent="0.25">
      <c r="A294" s="6" t="s">
        <v>322</v>
      </c>
      <c r="B294" s="21">
        <v>8.0000000000000002E-3</v>
      </c>
      <c r="C294" s="21">
        <v>6.0000000000000001E-3</v>
      </c>
      <c r="D294" s="21"/>
      <c r="E294" s="21"/>
      <c r="F294" s="21"/>
      <c r="G294" s="21"/>
      <c r="H294" s="21"/>
      <c r="I294" s="21"/>
      <c r="J294" s="21"/>
      <c r="K294" s="21"/>
      <c r="L294" s="21"/>
      <c r="M294" s="21"/>
      <c r="N294" s="21"/>
      <c r="O294" s="21"/>
      <c r="P294" s="21"/>
      <c r="Q294" s="21"/>
      <c r="R294" s="21"/>
      <c r="S294" s="21"/>
      <c r="T294" s="21"/>
      <c r="U294" s="21"/>
      <c r="V294" s="115">
        <f t="shared" si="76"/>
        <v>7.0000000000000001E-3</v>
      </c>
      <c r="W294" s="115">
        <f t="shared" si="77"/>
        <v>1.414213562373095E-3</v>
      </c>
      <c r="X294" s="116">
        <f t="shared" si="78"/>
        <v>0.20203050891044214</v>
      </c>
      <c r="Y294" s="7">
        <f>COUNTIF('Sample Setup'!$B$27:$AW$34,Calculations!A294)</f>
        <v>2</v>
      </c>
      <c r="AA294" s="6" t="s">
        <v>322</v>
      </c>
      <c r="AB294" s="117" t="str">
        <f>SigConcAvg(B294:U294,Report!B195)</f>
        <v>Low</v>
      </c>
      <c r="AC294" s="113" t="e">
        <f>SigConcDev(B294:U294,Report!B195)</f>
        <v>#DIV/0!</v>
      </c>
      <c r="AD294" s="7">
        <f t="array" ref="AD294">SUM(IF(B294:U294&gt;HLOOKUP("Section "&amp;Report!$B195,$AL$76:$AN$83,8),0,IF(B294:U294&lt;HLOOKUP("Section "&amp;Report!$B195,$AL$76:$AN$83,7),0,1)))</f>
        <v>0</v>
      </c>
      <c r="AE294" s="114">
        <f ca="1">IF(BioScale_Internal!$N$28,IF(COUNTIF(INDIRECT("'Sample Setup'!R27C"&amp;1+'Sample Setup'!$O$5,0):INDIRECT("'Sample Setup'!R34C"&amp;1+'Sample Setup'!$Q$5,0),AA294)&gt;0,1,IF(COUNTIF(INDIRECT("'Sample Setup'!R27C"&amp;1+'Sample Setup'!$O$6,0):INDIRECT("'Sample Setup'!R34C"&amp;1+'Sample Setup'!$Q$6,0),AA294)&gt;0,2,IF(COUNTIF(INDIRECT("'Sample Setup'!R27C"&amp;1+'Sample Setup'!$O$7,0):INDIRECT("'Sample Setup'!R34C"&amp;1+'Sample Setup'!$Q$7,0),AA294)&gt;0,3,NA()))),NA())</f>
        <v>1</v>
      </c>
    </row>
    <row r="295" spans="1:31" hidden="1" x14ac:dyDescent="0.25">
      <c r="A295" s="6" t="s">
        <v>323</v>
      </c>
      <c r="B295" s="21">
        <v>0.01</v>
      </c>
      <c r="C295" s="21">
        <v>6.0000000000000001E-3</v>
      </c>
      <c r="D295" s="21"/>
      <c r="E295" s="21"/>
      <c r="F295" s="21"/>
      <c r="G295" s="21"/>
      <c r="H295" s="21"/>
      <c r="I295" s="21"/>
      <c r="J295" s="21"/>
      <c r="K295" s="21"/>
      <c r="L295" s="21"/>
      <c r="M295" s="21"/>
      <c r="N295" s="21"/>
      <c r="O295" s="21"/>
      <c r="P295" s="21"/>
      <c r="Q295" s="21"/>
      <c r="R295" s="21"/>
      <c r="S295" s="21"/>
      <c r="T295" s="21"/>
      <c r="U295" s="21"/>
      <c r="V295" s="115">
        <f t="shared" si="76"/>
        <v>8.0000000000000002E-3</v>
      </c>
      <c r="W295" s="115">
        <f t="shared" si="77"/>
        <v>2.8284271247461909E-3</v>
      </c>
      <c r="X295" s="116">
        <f t="shared" si="78"/>
        <v>0.35355339059327384</v>
      </c>
      <c r="Y295" s="7">
        <f>COUNTIF('Sample Setup'!$B$27:$AW$34,Calculations!A295)</f>
        <v>2</v>
      </c>
      <c r="AA295" s="6" t="s">
        <v>323</v>
      </c>
      <c r="AB295" s="117" t="str">
        <f>SigConcAvg(B295:U295,Report!B196)</f>
        <v>Low</v>
      </c>
      <c r="AC295" s="113" t="e">
        <f>SigConcDev(B295:U295,Report!B196)</f>
        <v>#DIV/0!</v>
      </c>
      <c r="AD295" s="7">
        <f t="array" ref="AD295">SUM(IF(B295:U295&gt;HLOOKUP("Section "&amp;Report!$B196,$AL$76:$AN$83,8),0,IF(B295:U295&lt;HLOOKUP("Section "&amp;Report!$B196,$AL$76:$AN$83,7),0,1)))</f>
        <v>0</v>
      </c>
      <c r="AE295" s="114">
        <f ca="1">IF(BioScale_Internal!$N$28,IF(COUNTIF(INDIRECT("'Sample Setup'!R27C"&amp;1+'Sample Setup'!$O$5,0):INDIRECT("'Sample Setup'!R34C"&amp;1+'Sample Setup'!$Q$5,0),AA295)&gt;0,1,IF(COUNTIF(INDIRECT("'Sample Setup'!R27C"&amp;1+'Sample Setup'!$O$6,0):INDIRECT("'Sample Setup'!R34C"&amp;1+'Sample Setup'!$Q$6,0),AA295)&gt;0,2,IF(COUNTIF(INDIRECT("'Sample Setup'!R27C"&amp;1+'Sample Setup'!$O$7,0):INDIRECT("'Sample Setup'!R34C"&amp;1+'Sample Setup'!$Q$7,0),AA295)&gt;0,3,NA()))),NA())</f>
        <v>1</v>
      </c>
    </row>
    <row r="296" spans="1:31" hidden="1" x14ac:dyDescent="0.25">
      <c r="A296" s="6" t="s">
        <v>324</v>
      </c>
      <c r="B296" s="21">
        <v>8.0000000000000002E-3</v>
      </c>
      <c r="C296" s="21">
        <v>8.0000000000000002E-3</v>
      </c>
      <c r="D296" s="21"/>
      <c r="E296" s="21"/>
      <c r="F296" s="21"/>
      <c r="G296" s="21"/>
      <c r="H296" s="21"/>
      <c r="I296" s="21"/>
      <c r="J296" s="21"/>
      <c r="K296" s="21"/>
      <c r="L296" s="21"/>
      <c r="M296" s="21"/>
      <c r="N296" s="21"/>
      <c r="O296" s="21"/>
      <c r="P296" s="21"/>
      <c r="Q296" s="21"/>
      <c r="R296" s="21"/>
      <c r="S296" s="21"/>
      <c r="T296" s="21"/>
      <c r="U296" s="21"/>
      <c r="V296" s="115">
        <f t="shared" si="76"/>
        <v>8.0000000000000002E-3</v>
      </c>
      <c r="W296" s="115">
        <f t="shared" si="77"/>
        <v>0</v>
      </c>
      <c r="X296" s="116">
        <f t="shared" si="78"/>
        <v>0</v>
      </c>
      <c r="Y296" s="7">
        <f>COUNTIF('Sample Setup'!$B$27:$AW$34,Calculations!A296)</f>
        <v>2</v>
      </c>
      <c r="AA296" s="6" t="s">
        <v>324</v>
      </c>
      <c r="AB296" s="117" t="str">
        <f>SigConcAvg(B296:U296,Report!B197)</f>
        <v>Low</v>
      </c>
      <c r="AC296" s="113" t="e">
        <f>SigConcDev(B296:U296,Report!B197)</f>
        <v>#DIV/0!</v>
      </c>
      <c r="AD296" s="7">
        <f t="array" ref="AD296">SUM(IF(B296:U296&gt;HLOOKUP("Section "&amp;Report!$B197,$AL$76:$AN$83,8),0,IF(B296:U296&lt;HLOOKUP("Section "&amp;Report!$B197,$AL$76:$AN$83,7),0,1)))</f>
        <v>0</v>
      </c>
      <c r="AE296" s="114">
        <f ca="1">IF(BioScale_Internal!$N$28,IF(COUNTIF(INDIRECT("'Sample Setup'!R27C"&amp;1+'Sample Setup'!$O$5,0):INDIRECT("'Sample Setup'!R34C"&amp;1+'Sample Setup'!$Q$5,0),AA296)&gt;0,1,IF(COUNTIF(INDIRECT("'Sample Setup'!R27C"&amp;1+'Sample Setup'!$O$6,0):INDIRECT("'Sample Setup'!R34C"&amp;1+'Sample Setup'!$Q$6,0),AA296)&gt;0,2,IF(COUNTIF(INDIRECT("'Sample Setup'!R27C"&amp;1+'Sample Setup'!$O$7,0):INDIRECT("'Sample Setup'!R34C"&amp;1+'Sample Setup'!$Q$7,0),AA296)&gt;0,3,NA()))),NA())</f>
        <v>1</v>
      </c>
    </row>
    <row r="297" spans="1:31" hidden="1" x14ac:dyDescent="0.25">
      <c r="A297" s="6" t="s">
        <v>325</v>
      </c>
      <c r="B297" s="241">
        <v>0.01</v>
      </c>
      <c r="C297" s="241">
        <v>1.0999999999999999E-2</v>
      </c>
      <c r="D297" s="21"/>
      <c r="E297" s="21"/>
      <c r="F297" s="21"/>
      <c r="G297" s="21"/>
      <c r="H297" s="21"/>
      <c r="I297" s="21"/>
      <c r="J297" s="21"/>
      <c r="K297" s="21"/>
      <c r="L297" s="21"/>
      <c r="M297" s="21"/>
      <c r="N297" s="21"/>
      <c r="O297" s="21"/>
      <c r="P297" s="21"/>
      <c r="Q297" s="21"/>
      <c r="R297" s="21"/>
      <c r="S297" s="21"/>
      <c r="T297" s="21"/>
      <c r="U297" s="21"/>
      <c r="V297" s="115">
        <f t="shared" si="76"/>
        <v>1.0499999999999999E-2</v>
      </c>
      <c r="W297" s="115">
        <f t="shared" si="77"/>
        <v>7.0710678118654697E-4</v>
      </c>
      <c r="X297" s="116">
        <f t="shared" si="78"/>
        <v>6.7343502970147337E-2</v>
      </c>
      <c r="Y297" s="7">
        <f>COUNTIF('Sample Setup'!$B$27:$AW$34,Calculations!A297)</f>
        <v>2</v>
      </c>
      <c r="AA297" s="6" t="s">
        <v>325</v>
      </c>
      <c r="AB297" s="117" t="str">
        <f>SigConcAvg(B297:U297,Report!B198)</f>
        <v>Low</v>
      </c>
      <c r="AC297" s="113" t="e">
        <f>SigConcDev(B297:U297,Report!B198)</f>
        <v>#DIV/0!</v>
      </c>
      <c r="AD297" s="7">
        <f t="array" ref="AD297">SUM(IF(B297:U297&gt;HLOOKUP("Section "&amp;Report!$B198,$AL$76:$AN$83,8),0,IF(B297:U297&lt;HLOOKUP("Section "&amp;Report!$B198,$AL$76:$AN$83,7),0,1)))</f>
        <v>0</v>
      </c>
      <c r="AE297" s="114">
        <f ca="1">IF(BioScale_Internal!$N$28,IF(COUNTIF(INDIRECT("'Sample Setup'!R27C"&amp;1+'Sample Setup'!$O$5,0):INDIRECT("'Sample Setup'!R34C"&amp;1+'Sample Setup'!$Q$5,0),AA297)&gt;0,1,IF(COUNTIF(INDIRECT("'Sample Setup'!R27C"&amp;1+'Sample Setup'!$O$6,0):INDIRECT("'Sample Setup'!R34C"&amp;1+'Sample Setup'!$Q$6,0),AA297)&gt;0,2,IF(COUNTIF(INDIRECT("'Sample Setup'!R27C"&amp;1+'Sample Setup'!$O$7,0):INDIRECT("'Sample Setup'!R34C"&amp;1+'Sample Setup'!$Q$7,0),AA297)&gt;0,3,NA()))),NA())</f>
        <v>1</v>
      </c>
    </row>
    <row r="298" spans="1:31" hidden="1" x14ac:dyDescent="0.25">
      <c r="A298" s="6" t="s">
        <v>326</v>
      </c>
      <c r="B298" s="241">
        <v>1.4999999999999999E-2</v>
      </c>
      <c r="C298" s="241">
        <v>8.9999999999999993E-3</v>
      </c>
      <c r="D298" s="21"/>
      <c r="E298" s="21"/>
      <c r="F298" s="21"/>
      <c r="G298" s="21"/>
      <c r="H298" s="21"/>
      <c r="I298" s="21"/>
      <c r="J298" s="21"/>
      <c r="K298" s="21"/>
      <c r="L298" s="21"/>
      <c r="M298" s="21"/>
      <c r="N298" s="21"/>
      <c r="O298" s="21"/>
      <c r="P298" s="21"/>
      <c r="Q298" s="21"/>
      <c r="R298" s="21"/>
      <c r="S298" s="21"/>
      <c r="T298" s="21"/>
      <c r="U298" s="21"/>
      <c r="V298" s="115">
        <f t="shared" si="76"/>
        <v>1.2E-2</v>
      </c>
      <c r="W298" s="115">
        <f t="shared" si="77"/>
        <v>4.2426406871192788E-3</v>
      </c>
      <c r="X298" s="116">
        <f t="shared" si="78"/>
        <v>0.35355339059327323</v>
      </c>
      <c r="Y298" s="7">
        <f>COUNTIF('Sample Setup'!$B$27:$AW$34,Calculations!A298)</f>
        <v>2</v>
      </c>
      <c r="AA298" s="6" t="s">
        <v>326</v>
      </c>
      <c r="AB298" s="117" t="str">
        <f>SigConcAvg(B298:U298,Report!B199)</f>
        <v>Low</v>
      </c>
      <c r="AC298" s="113" t="e">
        <f>SigConcDev(B298:U298,Report!B199)</f>
        <v>#DIV/0!</v>
      </c>
      <c r="AD298" s="7">
        <f t="array" ref="AD298">SUM(IF(B298:U298&gt;HLOOKUP("Section "&amp;Report!$B199,$AL$76:$AN$83,8),0,IF(B298:U298&lt;HLOOKUP("Section "&amp;Report!$B199,$AL$76:$AN$83,7),0,1)))</f>
        <v>0</v>
      </c>
      <c r="AE298" s="114">
        <f ca="1">IF(BioScale_Internal!$N$28,IF(COUNTIF(INDIRECT("'Sample Setup'!R27C"&amp;1+'Sample Setup'!$O$5,0):INDIRECT("'Sample Setup'!R34C"&amp;1+'Sample Setup'!$Q$5,0),AA298)&gt;0,1,IF(COUNTIF(INDIRECT("'Sample Setup'!R27C"&amp;1+'Sample Setup'!$O$6,0):INDIRECT("'Sample Setup'!R34C"&amp;1+'Sample Setup'!$Q$6,0),AA298)&gt;0,2,IF(COUNTIF(INDIRECT("'Sample Setup'!R27C"&amp;1+'Sample Setup'!$O$7,0):INDIRECT("'Sample Setup'!R34C"&amp;1+'Sample Setup'!$Q$7,0),AA298)&gt;0,3,NA()))),NA())</f>
        <v>1</v>
      </c>
    </row>
    <row r="299" spans="1:31" hidden="1" x14ac:dyDescent="0.25">
      <c r="A299" s="6" t="s">
        <v>327</v>
      </c>
      <c r="B299" s="241">
        <v>7.0000000000000001E-3</v>
      </c>
      <c r="C299" s="241">
        <v>0.01</v>
      </c>
      <c r="D299" s="21"/>
      <c r="E299" s="21"/>
      <c r="F299" s="21"/>
      <c r="G299" s="21"/>
      <c r="H299" s="21"/>
      <c r="I299" s="21"/>
      <c r="J299" s="21"/>
      <c r="K299" s="21"/>
      <c r="L299" s="21"/>
      <c r="M299" s="21"/>
      <c r="N299" s="21"/>
      <c r="O299" s="21"/>
      <c r="P299" s="21"/>
      <c r="Q299" s="21"/>
      <c r="R299" s="21"/>
      <c r="S299" s="21"/>
      <c r="T299" s="21"/>
      <c r="U299" s="21"/>
      <c r="V299" s="115">
        <f t="shared" si="76"/>
        <v>8.5000000000000006E-3</v>
      </c>
      <c r="W299" s="115">
        <f t="shared" si="77"/>
        <v>2.1213203435596424E-3</v>
      </c>
      <c r="X299" s="116">
        <f t="shared" si="78"/>
        <v>0.24956709924231085</v>
      </c>
      <c r="Y299" s="7">
        <f>COUNTIF('Sample Setup'!$B$27:$AW$34,Calculations!A299)</f>
        <v>2</v>
      </c>
      <c r="AA299" s="6" t="s">
        <v>327</v>
      </c>
      <c r="AB299" s="117" t="str">
        <f>SigConcAvg(B299:U299,Report!B200)</f>
        <v>Low</v>
      </c>
      <c r="AC299" s="113" t="e">
        <f>SigConcDev(B299:U299,Report!B200)</f>
        <v>#DIV/0!</v>
      </c>
      <c r="AD299" s="7">
        <f t="array" ref="AD299">SUM(IF(B299:U299&gt;HLOOKUP("Section "&amp;Report!$B200,$AL$76:$AN$83,8),0,IF(B299:U299&lt;HLOOKUP("Section "&amp;Report!$B200,$AL$76:$AN$83,7),0,1)))</f>
        <v>0</v>
      </c>
      <c r="AE299" s="114">
        <f ca="1">IF(BioScale_Internal!$N$28,IF(COUNTIF(INDIRECT("'Sample Setup'!R27C"&amp;1+'Sample Setup'!$O$5,0):INDIRECT("'Sample Setup'!R34C"&amp;1+'Sample Setup'!$Q$5,0),AA299)&gt;0,1,IF(COUNTIF(INDIRECT("'Sample Setup'!R27C"&amp;1+'Sample Setup'!$O$6,0):INDIRECT("'Sample Setup'!R34C"&amp;1+'Sample Setup'!$Q$6,0),AA299)&gt;0,2,IF(COUNTIF(INDIRECT("'Sample Setup'!R27C"&amp;1+'Sample Setup'!$O$7,0):INDIRECT("'Sample Setup'!R34C"&amp;1+'Sample Setup'!$Q$7,0),AA299)&gt;0,3,NA()))),NA())</f>
        <v>1</v>
      </c>
    </row>
    <row r="300" spans="1:31" hidden="1" x14ac:dyDescent="0.25">
      <c r="A300" s="6" t="s">
        <v>328</v>
      </c>
      <c r="B300" s="241">
        <v>7.0000000000000001E-3</v>
      </c>
      <c r="C300" s="241">
        <v>1.4E-2</v>
      </c>
      <c r="D300" s="21"/>
      <c r="E300" s="21"/>
      <c r="F300" s="21"/>
      <c r="G300" s="21"/>
      <c r="H300" s="21"/>
      <c r="I300" s="21"/>
      <c r="J300" s="21"/>
      <c r="K300" s="21"/>
      <c r="L300" s="21"/>
      <c r="M300" s="21"/>
      <c r="N300" s="21"/>
      <c r="O300" s="21"/>
      <c r="P300" s="21"/>
      <c r="Q300" s="21"/>
      <c r="R300" s="21"/>
      <c r="S300" s="21"/>
      <c r="T300" s="21"/>
      <c r="U300" s="21"/>
      <c r="V300" s="115">
        <f t="shared" si="76"/>
        <v>1.0500000000000001E-2</v>
      </c>
      <c r="W300" s="115">
        <f t="shared" si="77"/>
        <v>4.9497474683058351E-3</v>
      </c>
      <c r="X300" s="116">
        <f t="shared" si="78"/>
        <v>0.4714045207910319</v>
      </c>
      <c r="Y300" s="7">
        <f>COUNTIF('Sample Setup'!$B$27:$AW$34,Calculations!A300)</f>
        <v>2</v>
      </c>
      <c r="AA300" s="6" t="s">
        <v>328</v>
      </c>
      <c r="AB300" s="117" t="str">
        <f>SigConcAvg(B300:U300,Report!B201)</f>
        <v>Low</v>
      </c>
      <c r="AC300" s="113" t="e">
        <f>SigConcDev(B300:U300,Report!B201)</f>
        <v>#DIV/0!</v>
      </c>
      <c r="AD300" s="7">
        <f t="array" ref="AD300">SUM(IF(B300:U300&gt;HLOOKUP("Section "&amp;Report!$B201,$AL$76:$AN$83,8),0,IF(B300:U300&lt;HLOOKUP("Section "&amp;Report!$B201,$AL$76:$AN$83,7),0,1)))</f>
        <v>0</v>
      </c>
      <c r="AE300" s="114">
        <f ca="1">IF(BioScale_Internal!$N$28,IF(COUNTIF(INDIRECT("'Sample Setup'!R27C"&amp;1+'Sample Setup'!$O$5,0):INDIRECT("'Sample Setup'!R34C"&amp;1+'Sample Setup'!$Q$5,0),AA300)&gt;0,1,IF(COUNTIF(INDIRECT("'Sample Setup'!R27C"&amp;1+'Sample Setup'!$O$6,0):INDIRECT("'Sample Setup'!R34C"&amp;1+'Sample Setup'!$Q$6,0),AA300)&gt;0,2,IF(COUNTIF(INDIRECT("'Sample Setup'!R27C"&amp;1+'Sample Setup'!$O$7,0):INDIRECT("'Sample Setup'!R34C"&amp;1+'Sample Setup'!$Q$7,0),AA300)&gt;0,3,NA()))),NA())</f>
        <v>1</v>
      </c>
    </row>
    <row r="301" spans="1:31" hidden="1" x14ac:dyDescent="0.25">
      <c r="A301" s="6" t="s">
        <v>329</v>
      </c>
      <c r="B301" s="241">
        <v>7.0000000000000097E-3</v>
      </c>
      <c r="C301" s="21">
        <v>8.9999999999999993E-3</v>
      </c>
      <c r="D301" s="21"/>
      <c r="E301" s="21"/>
      <c r="F301" s="21"/>
      <c r="G301" s="21"/>
      <c r="H301" s="21"/>
      <c r="I301" s="21"/>
      <c r="J301" s="21"/>
      <c r="K301" s="21"/>
      <c r="L301" s="21"/>
      <c r="M301" s="21"/>
      <c r="N301" s="21"/>
      <c r="O301" s="21"/>
      <c r="P301" s="21"/>
      <c r="Q301" s="21"/>
      <c r="R301" s="21"/>
      <c r="S301" s="21"/>
      <c r="T301" s="21"/>
      <c r="U301" s="21"/>
      <c r="V301" s="115">
        <f t="shared" si="76"/>
        <v>8.0000000000000036E-3</v>
      </c>
      <c r="W301" s="115">
        <f t="shared" si="77"/>
        <v>1.4142135623730877E-3</v>
      </c>
      <c r="X301" s="116">
        <f t="shared" si="78"/>
        <v>0.17677669529663587</v>
      </c>
      <c r="Y301" s="7">
        <f>COUNTIF('Sample Setup'!$B$27:$AW$34,Calculations!A301)</f>
        <v>2</v>
      </c>
      <c r="AA301" s="6" t="s">
        <v>329</v>
      </c>
      <c r="AB301" s="117" t="str">
        <f>SigConcAvg(B301:U301,Report!B202)</f>
        <v>Low</v>
      </c>
      <c r="AC301" s="113" t="e">
        <f>SigConcDev(B301:U301,Report!B202)</f>
        <v>#DIV/0!</v>
      </c>
      <c r="AD301" s="7">
        <f t="array" ref="AD301">SUM(IF(B301:U301&gt;HLOOKUP("Section "&amp;Report!$B202,$AL$76:$AN$83,8),0,IF(B301:U301&lt;HLOOKUP("Section "&amp;Report!$B202,$AL$76:$AN$83,7),0,1)))</f>
        <v>0</v>
      </c>
      <c r="AE301" s="114">
        <f ca="1">IF(BioScale_Internal!$N$28,IF(COUNTIF(INDIRECT("'Sample Setup'!R27C"&amp;1+'Sample Setup'!$O$5,0):INDIRECT("'Sample Setup'!R34C"&amp;1+'Sample Setup'!$Q$5,0),AA301)&gt;0,1,IF(COUNTIF(INDIRECT("'Sample Setup'!R27C"&amp;1+'Sample Setup'!$O$6,0):INDIRECT("'Sample Setup'!R34C"&amp;1+'Sample Setup'!$Q$6,0),AA301)&gt;0,2,IF(COUNTIF(INDIRECT("'Sample Setup'!R27C"&amp;1+'Sample Setup'!$O$7,0):INDIRECT("'Sample Setup'!R34C"&amp;1+'Sample Setup'!$Q$7,0),AA301)&gt;0,3,NA()))),NA())</f>
        <v>1</v>
      </c>
    </row>
    <row r="302" spans="1:31" hidden="1" x14ac:dyDescent="0.25">
      <c r="A302" s="6" t="s">
        <v>330</v>
      </c>
      <c r="B302" s="21">
        <v>3.0000000000000001E-3</v>
      </c>
      <c r="C302" s="241">
        <v>1.2E-2</v>
      </c>
      <c r="D302" s="21"/>
      <c r="E302" s="21"/>
      <c r="F302" s="21"/>
      <c r="G302" s="21"/>
      <c r="H302" s="21"/>
      <c r="I302" s="21"/>
      <c r="J302" s="21"/>
      <c r="K302" s="21"/>
      <c r="L302" s="21"/>
      <c r="M302" s="21"/>
      <c r="N302" s="21"/>
      <c r="O302" s="21"/>
      <c r="P302" s="21"/>
      <c r="Q302" s="21"/>
      <c r="R302" s="21"/>
      <c r="S302" s="21"/>
      <c r="T302" s="21"/>
      <c r="U302" s="21"/>
      <c r="V302" s="115">
        <f t="shared" si="76"/>
        <v>7.4999999999999997E-3</v>
      </c>
      <c r="W302" s="115">
        <f t="shared" si="77"/>
        <v>6.3639610306789286E-3</v>
      </c>
      <c r="X302" s="116">
        <f t="shared" si="78"/>
        <v>0.84852813742385713</v>
      </c>
      <c r="Y302" s="7">
        <f>COUNTIF('Sample Setup'!$B$27:$AW$34,Calculations!A302)</f>
        <v>2</v>
      </c>
      <c r="AA302" s="6" t="s">
        <v>330</v>
      </c>
      <c r="AB302" s="117" t="str">
        <f>SigConcAvg(B302:U302,Report!B203)</f>
        <v>Low</v>
      </c>
      <c r="AC302" s="113" t="e">
        <f>SigConcDev(B302:U302,Report!B203)</f>
        <v>#DIV/0!</v>
      </c>
      <c r="AD302" s="7">
        <f t="array" ref="AD302">SUM(IF(B302:U302&gt;HLOOKUP("Section "&amp;Report!$B203,$AL$76:$AN$83,8),0,IF(B302:U302&lt;HLOOKUP("Section "&amp;Report!$B203,$AL$76:$AN$83,7),0,1)))</f>
        <v>0</v>
      </c>
      <c r="AE302" s="114">
        <f ca="1">IF(BioScale_Internal!$N$28,IF(COUNTIF(INDIRECT("'Sample Setup'!R27C"&amp;1+'Sample Setup'!$O$5,0):INDIRECT("'Sample Setup'!R34C"&amp;1+'Sample Setup'!$Q$5,0),AA302)&gt;0,1,IF(COUNTIF(INDIRECT("'Sample Setup'!R27C"&amp;1+'Sample Setup'!$O$6,0):INDIRECT("'Sample Setup'!R34C"&amp;1+'Sample Setup'!$Q$6,0),AA302)&gt;0,2,IF(COUNTIF(INDIRECT("'Sample Setup'!R27C"&amp;1+'Sample Setup'!$O$7,0):INDIRECT("'Sample Setup'!R34C"&amp;1+'Sample Setup'!$Q$7,0),AA302)&gt;0,3,NA()))),NA())</f>
        <v>1</v>
      </c>
    </row>
    <row r="303" spans="1:31" hidden="1" x14ac:dyDescent="0.25">
      <c r="A303" s="6" t="s">
        <v>331</v>
      </c>
      <c r="B303" s="21">
        <v>1.4E-2</v>
      </c>
      <c r="C303" s="241">
        <v>0.01</v>
      </c>
      <c r="D303" s="21"/>
      <c r="E303" s="21"/>
      <c r="F303" s="21"/>
      <c r="G303" s="21"/>
      <c r="H303" s="21"/>
      <c r="I303" s="21"/>
      <c r="J303" s="21"/>
      <c r="K303" s="21"/>
      <c r="L303" s="21"/>
      <c r="M303" s="21"/>
      <c r="N303" s="21"/>
      <c r="O303" s="21"/>
      <c r="P303" s="21"/>
      <c r="Q303" s="21"/>
      <c r="R303" s="21"/>
      <c r="S303" s="21"/>
      <c r="T303" s="21"/>
      <c r="U303" s="21"/>
      <c r="V303" s="115">
        <f t="shared" si="76"/>
        <v>1.2E-2</v>
      </c>
      <c r="W303" s="115">
        <f t="shared" si="77"/>
        <v>2.8284271247461901E-3</v>
      </c>
      <c r="X303" s="116">
        <f t="shared" si="78"/>
        <v>0.23570226039551584</v>
      </c>
      <c r="Y303" s="7">
        <f>COUNTIF('Sample Setup'!$B$27:$AW$34,Calculations!A303)</f>
        <v>2</v>
      </c>
      <c r="AA303" s="6" t="s">
        <v>331</v>
      </c>
      <c r="AB303" s="117" t="str">
        <f>SigConcAvg(B303:U303,Report!B204)</f>
        <v>Low</v>
      </c>
      <c r="AC303" s="113" t="e">
        <f>SigConcDev(B303:U303,Report!B204)</f>
        <v>#DIV/0!</v>
      </c>
      <c r="AD303" s="7">
        <f t="array" ref="AD303">SUM(IF(B303:U303&gt;HLOOKUP("Section "&amp;Report!$B204,$AL$76:$AN$83,8),0,IF(B303:U303&lt;HLOOKUP("Section "&amp;Report!$B204,$AL$76:$AN$83,7),0,1)))</f>
        <v>0</v>
      </c>
      <c r="AE303" s="114">
        <f ca="1">IF(BioScale_Internal!$N$28,IF(COUNTIF(INDIRECT("'Sample Setup'!R27C"&amp;1+'Sample Setup'!$O$5,0):INDIRECT("'Sample Setup'!R34C"&amp;1+'Sample Setup'!$Q$5,0),AA303)&gt;0,1,IF(COUNTIF(INDIRECT("'Sample Setup'!R27C"&amp;1+'Sample Setup'!$O$6,0):INDIRECT("'Sample Setup'!R34C"&amp;1+'Sample Setup'!$Q$6,0),AA303)&gt;0,2,IF(COUNTIF(INDIRECT("'Sample Setup'!R27C"&amp;1+'Sample Setup'!$O$7,0):INDIRECT("'Sample Setup'!R34C"&amp;1+'Sample Setup'!$Q$7,0),AA303)&gt;0,3,NA()))),NA())</f>
        <v>1</v>
      </c>
    </row>
    <row r="304" spans="1:31" hidden="1" x14ac:dyDescent="0.25">
      <c r="A304" s="6" t="s">
        <v>332</v>
      </c>
      <c r="B304" s="241">
        <v>6.0000000000000001E-3</v>
      </c>
      <c r="C304" s="241">
        <v>1.0999999999999999E-2</v>
      </c>
      <c r="D304" s="21"/>
      <c r="E304" s="21"/>
      <c r="F304" s="21"/>
      <c r="G304" s="21"/>
      <c r="H304" s="21"/>
      <c r="I304" s="21"/>
      <c r="J304" s="21"/>
      <c r="K304" s="21"/>
      <c r="L304" s="21"/>
      <c r="M304" s="21"/>
      <c r="N304" s="21"/>
      <c r="O304" s="21"/>
      <c r="P304" s="21"/>
      <c r="Q304" s="21"/>
      <c r="R304" s="21"/>
      <c r="S304" s="21"/>
      <c r="T304" s="21"/>
      <c r="U304" s="21"/>
      <c r="V304" s="115">
        <f t="shared" si="76"/>
        <v>8.5000000000000006E-3</v>
      </c>
      <c r="W304" s="115">
        <f t="shared" si="77"/>
        <v>3.5355339059327346E-3</v>
      </c>
      <c r="X304" s="116">
        <f t="shared" si="78"/>
        <v>0.41594516540385112</v>
      </c>
      <c r="Y304" s="7">
        <f>COUNTIF('Sample Setup'!$B$27:$AW$34,Calculations!A304)</f>
        <v>2</v>
      </c>
      <c r="AA304" s="6" t="s">
        <v>332</v>
      </c>
      <c r="AB304" s="117" t="str">
        <f>SigConcAvg(B304:U304,Report!B205)</f>
        <v>Low</v>
      </c>
      <c r="AC304" s="113" t="e">
        <f>SigConcDev(B304:U304,Report!B205)</f>
        <v>#DIV/0!</v>
      </c>
      <c r="AD304" s="7">
        <f t="array" ref="AD304">SUM(IF(B304:U304&gt;HLOOKUP("Section "&amp;Report!$B205,$AL$76:$AN$83,8),0,IF(B304:U304&lt;HLOOKUP("Section "&amp;Report!$B205,$AL$76:$AN$83,7),0,1)))</f>
        <v>0</v>
      </c>
      <c r="AE304" s="114">
        <f ca="1">IF(BioScale_Internal!$N$28,IF(COUNTIF(INDIRECT("'Sample Setup'!R27C"&amp;1+'Sample Setup'!$O$5,0):INDIRECT("'Sample Setup'!R34C"&amp;1+'Sample Setup'!$Q$5,0),AA304)&gt;0,1,IF(COUNTIF(INDIRECT("'Sample Setup'!R27C"&amp;1+'Sample Setup'!$O$6,0):INDIRECT("'Sample Setup'!R34C"&amp;1+'Sample Setup'!$Q$6,0),AA304)&gt;0,2,IF(COUNTIF(INDIRECT("'Sample Setup'!R27C"&amp;1+'Sample Setup'!$O$7,0):INDIRECT("'Sample Setup'!R34C"&amp;1+'Sample Setup'!$Q$7,0),AA304)&gt;0,3,NA()))),NA())</f>
        <v>1</v>
      </c>
    </row>
    <row r="305" spans="1:31" hidden="1" x14ac:dyDescent="0.25">
      <c r="A305" s="6" t="s">
        <v>333</v>
      </c>
      <c r="B305" s="21">
        <v>8.9999999999999993E-3</v>
      </c>
      <c r="C305" s="241">
        <v>0.01</v>
      </c>
      <c r="D305" s="21"/>
      <c r="E305" s="21"/>
      <c r="F305" s="21"/>
      <c r="G305" s="21"/>
      <c r="H305" s="21"/>
      <c r="I305" s="21"/>
      <c r="J305" s="21"/>
      <c r="K305" s="21"/>
      <c r="L305" s="21"/>
      <c r="M305" s="21"/>
      <c r="N305" s="21"/>
      <c r="O305" s="21"/>
      <c r="P305" s="21"/>
      <c r="Q305" s="21"/>
      <c r="R305" s="21"/>
      <c r="S305" s="21"/>
      <c r="T305" s="21"/>
      <c r="U305" s="21"/>
      <c r="V305" s="115">
        <f t="shared" si="76"/>
        <v>9.4999999999999998E-3</v>
      </c>
      <c r="W305" s="115">
        <f t="shared" si="77"/>
        <v>7.0710678118654816E-4</v>
      </c>
      <c r="X305" s="116">
        <f t="shared" si="78"/>
        <v>7.4432292756478752E-2</v>
      </c>
      <c r="Y305" s="7">
        <f>COUNTIF('Sample Setup'!$B$27:$AW$34,Calculations!A305)</f>
        <v>2</v>
      </c>
      <c r="AA305" s="6" t="s">
        <v>333</v>
      </c>
      <c r="AB305" s="117" t="str">
        <f>SigConcAvg(B305:U305,Report!B206)</f>
        <v>Low</v>
      </c>
      <c r="AC305" s="113" t="e">
        <f>SigConcDev(B305:U305,Report!B206)</f>
        <v>#DIV/0!</v>
      </c>
      <c r="AD305" s="7">
        <f t="array" ref="AD305">SUM(IF(B305:U305&gt;HLOOKUP("Section "&amp;Report!$B206,$AL$76:$AN$83,8),0,IF(B305:U305&lt;HLOOKUP("Section "&amp;Report!$B206,$AL$76:$AN$83,7),0,1)))</f>
        <v>0</v>
      </c>
      <c r="AE305" s="114">
        <f ca="1">IF(BioScale_Internal!$N$28,IF(COUNTIF(INDIRECT("'Sample Setup'!R27C"&amp;1+'Sample Setup'!$O$5,0):INDIRECT("'Sample Setup'!R34C"&amp;1+'Sample Setup'!$Q$5,0),AA305)&gt;0,1,IF(COUNTIF(INDIRECT("'Sample Setup'!R27C"&amp;1+'Sample Setup'!$O$6,0):INDIRECT("'Sample Setup'!R34C"&amp;1+'Sample Setup'!$Q$6,0),AA305)&gt;0,2,IF(COUNTIF(INDIRECT("'Sample Setup'!R27C"&amp;1+'Sample Setup'!$O$7,0):INDIRECT("'Sample Setup'!R34C"&amp;1+'Sample Setup'!$Q$7,0),AA305)&gt;0,3,NA()))),NA())</f>
        <v>1</v>
      </c>
    </row>
    <row r="306" spans="1:31" hidden="1" x14ac:dyDescent="0.25">
      <c r="A306" s="6" t="s">
        <v>334</v>
      </c>
      <c r="B306" s="241">
        <v>1.2E-2</v>
      </c>
      <c r="C306" s="21">
        <v>8.0000000000000002E-3</v>
      </c>
      <c r="D306" s="21"/>
      <c r="E306" s="21"/>
      <c r="F306" s="21"/>
      <c r="G306" s="21"/>
      <c r="H306" s="21"/>
      <c r="I306" s="21"/>
      <c r="J306" s="21"/>
      <c r="K306" s="21"/>
      <c r="L306" s="21"/>
      <c r="M306" s="21"/>
      <c r="N306" s="21"/>
      <c r="O306" s="21"/>
      <c r="P306" s="21"/>
      <c r="Q306" s="21"/>
      <c r="R306" s="21"/>
      <c r="S306" s="21"/>
      <c r="T306" s="21"/>
      <c r="U306" s="21"/>
      <c r="V306" s="115">
        <f t="shared" si="76"/>
        <v>0.01</v>
      </c>
      <c r="W306" s="115">
        <f t="shared" si="77"/>
        <v>2.8284271247461901E-3</v>
      </c>
      <c r="X306" s="116">
        <f t="shared" si="78"/>
        <v>0.28284271247461901</v>
      </c>
      <c r="Y306" s="7">
        <f>COUNTIF('Sample Setup'!$B$27:$AW$34,Calculations!A306)</f>
        <v>2</v>
      </c>
      <c r="AA306" s="6" t="s">
        <v>334</v>
      </c>
      <c r="AB306" s="117" t="str">
        <f>SigConcAvg(B306:U306,Report!B207)</f>
        <v>Low</v>
      </c>
      <c r="AC306" s="113" t="e">
        <f>SigConcDev(B306:U306,Report!B207)</f>
        <v>#DIV/0!</v>
      </c>
      <c r="AD306" s="7">
        <f t="array" ref="AD306">SUM(IF(B306:U306&gt;HLOOKUP("Section "&amp;Report!$B207,$AL$76:$AN$83,8),0,IF(B306:U306&lt;HLOOKUP("Section "&amp;Report!$B207,$AL$76:$AN$83,7),0,1)))</f>
        <v>0</v>
      </c>
      <c r="AE306" s="114">
        <f ca="1">IF(BioScale_Internal!$N$28,IF(COUNTIF(INDIRECT("'Sample Setup'!R27C"&amp;1+'Sample Setup'!$O$5,0):INDIRECT("'Sample Setup'!R34C"&amp;1+'Sample Setup'!$Q$5,0),AA306)&gt;0,1,IF(COUNTIF(INDIRECT("'Sample Setup'!R27C"&amp;1+'Sample Setup'!$O$6,0):INDIRECT("'Sample Setup'!R34C"&amp;1+'Sample Setup'!$Q$6,0),AA306)&gt;0,2,IF(COUNTIF(INDIRECT("'Sample Setup'!R27C"&amp;1+'Sample Setup'!$O$7,0):INDIRECT("'Sample Setup'!R34C"&amp;1+'Sample Setup'!$Q$7,0),AA306)&gt;0,3,NA()))),NA())</f>
        <v>1</v>
      </c>
    </row>
    <row r="307" spans="1:31" hidden="1" x14ac:dyDescent="0.25">
      <c r="A307" s="6" t="s">
        <v>335</v>
      </c>
      <c r="B307" s="21"/>
      <c r="C307" s="21"/>
      <c r="D307" s="21"/>
      <c r="E307" s="21"/>
      <c r="F307" s="21"/>
      <c r="G307" s="21"/>
      <c r="H307" s="21"/>
      <c r="I307" s="21"/>
      <c r="J307" s="21"/>
      <c r="K307" s="21"/>
      <c r="L307" s="21"/>
      <c r="M307" s="21"/>
      <c r="N307" s="21"/>
      <c r="O307" s="21"/>
      <c r="P307" s="21"/>
      <c r="Q307" s="21"/>
      <c r="R307" s="21"/>
      <c r="S307" s="21"/>
      <c r="T307" s="21"/>
      <c r="U307" s="21"/>
      <c r="V307" s="115" t="e">
        <f t="shared" si="76"/>
        <v>#DIV/0!</v>
      </c>
      <c r="W307" s="115" t="e">
        <f t="shared" si="77"/>
        <v>#DIV/0!</v>
      </c>
      <c r="X307" s="116" t="e">
        <f t="shared" si="78"/>
        <v>#DIV/0!</v>
      </c>
      <c r="Y307" s="7">
        <f>COUNTIF('Sample Setup'!$B$27:$AW$34,Calculations!A307)</f>
        <v>0</v>
      </c>
      <c r="AA307" s="6" t="s">
        <v>335</v>
      </c>
      <c r="AB307" s="117" t="str">
        <f>SigConcAvg(B307:U307,Report!B208)</f>
        <v xml:space="preserve"> </v>
      </c>
      <c r="AC307" s="113" t="str">
        <f>SigConcDev(B307:U307,Report!B208)</f>
        <v xml:space="preserve"> </v>
      </c>
      <c r="AD307" s="7" t="e">
        <f t="array" ref="AD307">SUM(IF(B307:U307&gt;HLOOKUP("Section "&amp;Report!$B208,$AL$76:$AN$83,8),0,IF(B307:U307&lt;HLOOKUP("Section "&amp;Report!$B208,$AL$76:$AN$83,7),0,1)))</f>
        <v>#N/A</v>
      </c>
      <c r="AE307" s="114" t="e">
        <f ca="1">IF(BioScale_Internal!$N$28,IF(COUNTIF(INDIRECT("'Sample Setup'!R27C"&amp;1+'Sample Setup'!$O$5,0):INDIRECT("'Sample Setup'!R34C"&amp;1+'Sample Setup'!$Q$5,0),AA307)&gt;0,1,IF(COUNTIF(INDIRECT("'Sample Setup'!R27C"&amp;1+'Sample Setup'!$O$6,0):INDIRECT("'Sample Setup'!R34C"&amp;1+'Sample Setup'!$Q$6,0),AA307)&gt;0,2,IF(COUNTIF(INDIRECT("'Sample Setup'!R27C"&amp;1+'Sample Setup'!$O$7,0):INDIRECT("'Sample Setup'!R34C"&amp;1+'Sample Setup'!$Q$7,0),AA307)&gt;0,3,NA()))),NA())</f>
        <v>#N/A</v>
      </c>
    </row>
    <row r="308" spans="1:31" hidden="1" x14ac:dyDescent="0.25">
      <c r="A308" s="6" t="s">
        <v>336</v>
      </c>
      <c r="B308" s="21"/>
      <c r="C308" s="21"/>
      <c r="D308" s="21"/>
      <c r="E308" s="21"/>
      <c r="F308" s="21"/>
      <c r="G308" s="21"/>
      <c r="H308" s="21"/>
      <c r="I308" s="21"/>
      <c r="J308" s="21"/>
      <c r="K308" s="21"/>
      <c r="L308" s="21"/>
      <c r="M308" s="21"/>
      <c r="N308" s="21"/>
      <c r="O308" s="21"/>
      <c r="P308" s="21"/>
      <c r="Q308" s="21"/>
      <c r="R308" s="21"/>
      <c r="S308" s="21"/>
      <c r="T308" s="21"/>
      <c r="U308" s="21"/>
      <c r="V308" s="115" t="e">
        <f t="shared" si="76"/>
        <v>#DIV/0!</v>
      </c>
      <c r="W308" s="115" t="e">
        <f t="shared" si="77"/>
        <v>#DIV/0!</v>
      </c>
      <c r="X308" s="116" t="e">
        <f t="shared" si="78"/>
        <v>#DIV/0!</v>
      </c>
      <c r="Y308" s="7">
        <f>COUNTIF('Sample Setup'!$B$27:$AW$34,Calculations!A308)</f>
        <v>0</v>
      </c>
      <c r="AA308" s="6" t="s">
        <v>336</v>
      </c>
      <c r="AB308" s="117" t="str">
        <f>SigConcAvg(B308:U308,Report!B209)</f>
        <v xml:space="preserve"> </v>
      </c>
      <c r="AC308" s="113" t="str">
        <f>SigConcDev(B308:U308,Report!B209)</f>
        <v xml:space="preserve"> </v>
      </c>
      <c r="AD308" s="7" t="e">
        <f t="array" ref="AD308">SUM(IF(B308:U308&gt;HLOOKUP("Section "&amp;Report!$B209,$AL$76:$AN$83,8),0,IF(B308:U308&lt;HLOOKUP("Section "&amp;Report!$B209,$AL$76:$AN$83,7),0,1)))</f>
        <v>#N/A</v>
      </c>
      <c r="AE308" s="114" t="e">
        <f ca="1">IF(BioScale_Internal!$N$28,IF(COUNTIF(INDIRECT("'Sample Setup'!R27C"&amp;1+'Sample Setup'!$O$5,0):INDIRECT("'Sample Setup'!R34C"&amp;1+'Sample Setup'!$Q$5,0),AA308)&gt;0,1,IF(COUNTIF(INDIRECT("'Sample Setup'!R27C"&amp;1+'Sample Setup'!$O$6,0):INDIRECT("'Sample Setup'!R34C"&amp;1+'Sample Setup'!$Q$6,0),AA308)&gt;0,2,IF(COUNTIF(INDIRECT("'Sample Setup'!R27C"&amp;1+'Sample Setup'!$O$7,0):INDIRECT("'Sample Setup'!R34C"&amp;1+'Sample Setup'!$Q$7,0),AA308)&gt;0,3,NA()))),NA())</f>
        <v>#N/A</v>
      </c>
    </row>
    <row r="309" spans="1:31" hidden="1" x14ac:dyDescent="0.25">
      <c r="A309" s="6" t="s">
        <v>337</v>
      </c>
      <c r="B309" s="21"/>
      <c r="C309" s="21"/>
      <c r="D309" s="21"/>
      <c r="E309" s="21"/>
      <c r="F309" s="21"/>
      <c r="G309" s="21"/>
      <c r="H309" s="21"/>
      <c r="I309" s="21"/>
      <c r="J309" s="21"/>
      <c r="K309" s="21"/>
      <c r="L309" s="21"/>
      <c r="M309" s="21"/>
      <c r="N309" s="21"/>
      <c r="O309" s="21"/>
      <c r="P309" s="21"/>
      <c r="Q309" s="21"/>
      <c r="R309" s="21"/>
      <c r="S309" s="21"/>
      <c r="T309" s="21"/>
      <c r="U309" s="21"/>
      <c r="V309" s="115" t="e">
        <f t="shared" si="76"/>
        <v>#DIV/0!</v>
      </c>
      <c r="W309" s="115" t="e">
        <f t="shared" si="77"/>
        <v>#DIV/0!</v>
      </c>
      <c r="X309" s="116" t="e">
        <f t="shared" si="78"/>
        <v>#DIV/0!</v>
      </c>
      <c r="Y309" s="7">
        <f>COUNTIF('Sample Setup'!$B$27:$AW$34,Calculations!A309)</f>
        <v>0</v>
      </c>
      <c r="AA309" s="6" t="s">
        <v>337</v>
      </c>
      <c r="AB309" s="117" t="str">
        <f>SigConcAvg(B309:U309,Report!B210)</f>
        <v xml:space="preserve"> </v>
      </c>
      <c r="AC309" s="113" t="str">
        <f>SigConcDev(B309:U309,Report!B210)</f>
        <v xml:space="preserve"> </v>
      </c>
      <c r="AD309" s="7" t="e">
        <f t="array" ref="AD309">SUM(IF(B309:U309&gt;HLOOKUP("Section "&amp;Report!$B210,$AL$76:$AN$83,8),0,IF(B309:U309&lt;HLOOKUP("Section "&amp;Report!$B210,$AL$76:$AN$83,7),0,1)))</f>
        <v>#N/A</v>
      </c>
      <c r="AE309" s="114" t="e">
        <f ca="1">IF(BioScale_Internal!$N$28,IF(COUNTIF(INDIRECT("'Sample Setup'!R27C"&amp;1+'Sample Setup'!$O$5,0):INDIRECT("'Sample Setup'!R34C"&amp;1+'Sample Setup'!$Q$5,0),AA309)&gt;0,1,IF(COUNTIF(INDIRECT("'Sample Setup'!R27C"&amp;1+'Sample Setup'!$O$6,0):INDIRECT("'Sample Setup'!R34C"&amp;1+'Sample Setup'!$Q$6,0),AA309)&gt;0,2,IF(COUNTIF(INDIRECT("'Sample Setup'!R27C"&amp;1+'Sample Setup'!$O$7,0):INDIRECT("'Sample Setup'!R34C"&amp;1+'Sample Setup'!$Q$7,0),AA309)&gt;0,3,NA()))),NA())</f>
        <v>#N/A</v>
      </c>
    </row>
    <row r="310" spans="1:31" hidden="1" x14ac:dyDescent="0.25">
      <c r="A310" s="6" t="s">
        <v>338</v>
      </c>
      <c r="B310" s="21"/>
      <c r="C310" s="21"/>
      <c r="D310" s="21"/>
      <c r="E310" s="21"/>
      <c r="F310" s="21"/>
      <c r="G310" s="21"/>
      <c r="H310" s="21"/>
      <c r="I310" s="21"/>
      <c r="J310" s="21"/>
      <c r="K310" s="21"/>
      <c r="L310" s="21"/>
      <c r="M310" s="21"/>
      <c r="N310" s="21"/>
      <c r="O310" s="21"/>
      <c r="P310" s="21"/>
      <c r="Q310" s="21"/>
      <c r="R310" s="21"/>
      <c r="S310" s="21"/>
      <c r="T310" s="21"/>
      <c r="U310" s="21"/>
      <c r="V310" s="115" t="e">
        <f t="shared" si="76"/>
        <v>#DIV/0!</v>
      </c>
      <c r="W310" s="115" t="e">
        <f t="shared" si="77"/>
        <v>#DIV/0!</v>
      </c>
      <c r="X310" s="116" t="e">
        <f t="shared" si="78"/>
        <v>#DIV/0!</v>
      </c>
      <c r="Y310" s="7">
        <f>COUNTIF('Sample Setup'!$B$27:$AW$34,Calculations!A310)</f>
        <v>0</v>
      </c>
      <c r="AA310" s="6" t="s">
        <v>338</v>
      </c>
      <c r="AB310" s="117" t="str">
        <f>SigConcAvg(B310:U310,Report!B211)</f>
        <v xml:space="preserve"> </v>
      </c>
      <c r="AC310" s="113" t="str">
        <f>SigConcDev(B310:U310,Report!B211)</f>
        <v xml:space="preserve"> </v>
      </c>
      <c r="AD310" s="7" t="e">
        <f t="array" ref="AD310">SUM(IF(B310:U310&gt;HLOOKUP("Section "&amp;Report!$B211,$AL$76:$AN$83,8),0,IF(B310:U310&lt;HLOOKUP("Section "&amp;Report!$B211,$AL$76:$AN$83,7),0,1)))</f>
        <v>#N/A</v>
      </c>
      <c r="AE310" s="114" t="e">
        <f ca="1">IF(BioScale_Internal!$N$28,IF(COUNTIF(INDIRECT("'Sample Setup'!R27C"&amp;1+'Sample Setup'!$O$5,0):INDIRECT("'Sample Setup'!R34C"&amp;1+'Sample Setup'!$Q$5,0),AA310)&gt;0,1,IF(COUNTIF(INDIRECT("'Sample Setup'!R27C"&amp;1+'Sample Setup'!$O$6,0):INDIRECT("'Sample Setup'!R34C"&amp;1+'Sample Setup'!$Q$6,0),AA310)&gt;0,2,IF(COUNTIF(INDIRECT("'Sample Setup'!R27C"&amp;1+'Sample Setup'!$O$7,0):INDIRECT("'Sample Setup'!R34C"&amp;1+'Sample Setup'!$Q$7,0),AA310)&gt;0,3,NA()))),NA())</f>
        <v>#N/A</v>
      </c>
    </row>
    <row r="311" spans="1:31" hidden="1" x14ac:dyDescent="0.25">
      <c r="A311" s="6" t="s">
        <v>339</v>
      </c>
      <c r="B311" s="21"/>
      <c r="C311" s="21"/>
      <c r="D311" s="21"/>
      <c r="E311" s="21"/>
      <c r="F311" s="21"/>
      <c r="G311" s="21"/>
      <c r="H311" s="21"/>
      <c r="I311" s="21"/>
      <c r="J311" s="21"/>
      <c r="K311" s="21"/>
      <c r="L311" s="21"/>
      <c r="M311" s="21"/>
      <c r="N311" s="21"/>
      <c r="O311" s="21"/>
      <c r="P311" s="21"/>
      <c r="Q311" s="21"/>
      <c r="R311" s="21"/>
      <c r="S311" s="21"/>
      <c r="T311" s="21"/>
      <c r="U311" s="21"/>
      <c r="V311" s="115" t="e">
        <f t="shared" si="76"/>
        <v>#DIV/0!</v>
      </c>
      <c r="W311" s="115" t="e">
        <f t="shared" si="77"/>
        <v>#DIV/0!</v>
      </c>
      <c r="X311" s="116" t="e">
        <f t="shared" si="78"/>
        <v>#DIV/0!</v>
      </c>
      <c r="Y311" s="7">
        <f>COUNTIF('Sample Setup'!$B$27:$AW$34,Calculations!A311)</f>
        <v>0</v>
      </c>
      <c r="AA311" s="6" t="s">
        <v>339</v>
      </c>
      <c r="AB311" s="117" t="str">
        <f>SigConcAvg(B311:U311,Report!B212)</f>
        <v xml:space="preserve"> </v>
      </c>
      <c r="AC311" s="113" t="str">
        <f>SigConcDev(B311:U311,Report!B212)</f>
        <v xml:space="preserve"> </v>
      </c>
      <c r="AD311" s="7" t="e">
        <f t="array" ref="AD311">SUM(IF(B311:U311&gt;HLOOKUP("Section "&amp;Report!$B212,$AL$76:$AN$83,8),0,IF(B311:U311&lt;HLOOKUP("Section "&amp;Report!$B212,$AL$76:$AN$83,7),0,1)))</f>
        <v>#N/A</v>
      </c>
      <c r="AE311" s="114" t="e">
        <f ca="1">IF(BioScale_Internal!$N$28,IF(COUNTIF(INDIRECT("'Sample Setup'!R27C"&amp;1+'Sample Setup'!$O$5,0):INDIRECT("'Sample Setup'!R34C"&amp;1+'Sample Setup'!$Q$5,0),AA311)&gt;0,1,IF(COUNTIF(INDIRECT("'Sample Setup'!R27C"&amp;1+'Sample Setup'!$O$6,0):INDIRECT("'Sample Setup'!R34C"&amp;1+'Sample Setup'!$Q$6,0),AA311)&gt;0,2,IF(COUNTIF(INDIRECT("'Sample Setup'!R27C"&amp;1+'Sample Setup'!$O$7,0):INDIRECT("'Sample Setup'!R34C"&amp;1+'Sample Setup'!$Q$7,0),AA311)&gt;0,3,NA()))),NA())</f>
        <v>#N/A</v>
      </c>
    </row>
    <row r="312" spans="1:31" hidden="1" x14ac:dyDescent="0.25">
      <c r="A312" s="6" t="s">
        <v>340</v>
      </c>
      <c r="B312" s="21"/>
      <c r="C312" s="21"/>
      <c r="D312" s="21"/>
      <c r="E312" s="21"/>
      <c r="F312" s="21"/>
      <c r="G312" s="21"/>
      <c r="H312" s="21"/>
      <c r="I312" s="21"/>
      <c r="J312" s="21"/>
      <c r="K312" s="21"/>
      <c r="L312" s="21"/>
      <c r="M312" s="21"/>
      <c r="N312" s="21"/>
      <c r="O312" s="21"/>
      <c r="P312" s="21"/>
      <c r="Q312" s="21"/>
      <c r="R312" s="21"/>
      <c r="S312" s="21"/>
      <c r="T312" s="21"/>
      <c r="U312" s="21"/>
      <c r="V312" s="115" t="e">
        <f t="shared" si="76"/>
        <v>#DIV/0!</v>
      </c>
      <c r="W312" s="115" t="e">
        <f t="shared" si="77"/>
        <v>#DIV/0!</v>
      </c>
      <c r="X312" s="116" t="e">
        <f t="shared" si="78"/>
        <v>#DIV/0!</v>
      </c>
      <c r="Y312" s="7">
        <f>COUNTIF('Sample Setup'!$B$27:$AW$34,Calculations!A312)</f>
        <v>0</v>
      </c>
      <c r="AA312" s="6" t="s">
        <v>340</v>
      </c>
      <c r="AB312" s="117" t="str">
        <f>SigConcAvg(B312:U312,Report!B213)</f>
        <v xml:space="preserve"> </v>
      </c>
      <c r="AC312" s="113" t="str">
        <f>SigConcDev(B312:U312,Report!B213)</f>
        <v xml:space="preserve"> </v>
      </c>
      <c r="AD312" s="7" t="e">
        <f t="array" ref="AD312">SUM(IF(B312:U312&gt;HLOOKUP("Section "&amp;Report!$B213,$AL$76:$AN$83,8),0,IF(B312:U312&lt;HLOOKUP("Section "&amp;Report!$B213,$AL$76:$AN$83,7),0,1)))</f>
        <v>#N/A</v>
      </c>
      <c r="AE312" s="114" t="e">
        <f ca="1">IF(BioScale_Internal!$N$28,IF(COUNTIF(INDIRECT("'Sample Setup'!R27C"&amp;1+'Sample Setup'!$O$5,0):INDIRECT("'Sample Setup'!R34C"&amp;1+'Sample Setup'!$Q$5,0),AA312)&gt;0,1,IF(COUNTIF(INDIRECT("'Sample Setup'!R27C"&amp;1+'Sample Setup'!$O$6,0):INDIRECT("'Sample Setup'!R34C"&amp;1+'Sample Setup'!$Q$6,0),AA312)&gt;0,2,IF(COUNTIF(INDIRECT("'Sample Setup'!R27C"&amp;1+'Sample Setup'!$O$7,0):INDIRECT("'Sample Setup'!R34C"&amp;1+'Sample Setup'!$Q$7,0),AA312)&gt;0,3,NA()))),NA())</f>
        <v>#N/A</v>
      </c>
    </row>
    <row r="313" spans="1:31" hidden="1" x14ac:dyDescent="0.25">
      <c r="A313" s="6" t="s">
        <v>341</v>
      </c>
      <c r="B313" s="21"/>
      <c r="C313" s="21"/>
      <c r="D313" s="21"/>
      <c r="E313" s="21"/>
      <c r="F313" s="21"/>
      <c r="G313" s="21"/>
      <c r="H313" s="21"/>
      <c r="I313" s="21"/>
      <c r="J313" s="21"/>
      <c r="K313" s="21"/>
      <c r="L313" s="21"/>
      <c r="M313" s="21"/>
      <c r="N313" s="21"/>
      <c r="O313" s="21"/>
      <c r="P313" s="21"/>
      <c r="Q313" s="21"/>
      <c r="R313" s="21"/>
      <c r="S313" s="21"/>
      <c r="T313" s="21"/>
      <c r="U313" s="21"/>
      <c r="V313" s="115" t="e">
        <f t="shared" si="76"/>
        <v>#DIV/0!</v>
      </c>
      <c r="W313" s="115" t="e">
        <f t="shared" si="77"/>
        <v>#DIV/0!</v>
      </c>
      <c r="X313" s="116" t="e">
        <f t="shared" si="78"/>
        <v>#DIV/0!</v>
      </c>
      <c r="Y313" s="7">
        <f>COUNTIF('Sample Setup'!$B$27:$AW$34,Calculations!A313)</f>
        <v>0</v>
      </c>
      <c r="AA313" s="6" t="s">
        <v>341</v>
      </c>
      <c r="AB313" s="117" t="str">
        <f>SigConcAvg(B313:U313,Report!B214)</f>
        <v xml:space="preserve"> </v>
      </c>
      <c r="AC313" s="113" t="str">
        <f>SigConcDev(B313:U313,Report!B214)</f>
        <v xml:space="preserve"> </v>
      </c>
      <c r="AD313" s="7" t="e">
        <f t="array" ref="AD313">SUM(IF(B313:U313&gt;HLOOKUP("Section "&amp;Report!$B214,$AL$76:$AN$83,8),0,IF(B313:U313&lt;HLOOKUP("Section "&amp;Report!$B214,$AL$76:$AN$83,7),0,1)))</f>
        <v>#N/A</v>
      </c>
      <c r="AE313" s="114" t="e">
        <f ca="1">IF(BioScale_Internal!$N$28,IF(COUNTIF(INDIRECT("'Sample Setup'!R27C"&amp;1+'Sample Setup'!$O$5,0):INDIRECT("'Sample Setup'!R34C"&amp;1+'Sample Setup'!$Q$5,0),AA313)&gt;0,1,IF(COUNTIF(INDIRECT("'Sample Setup'!R27C"&amp;1+'Sample Setup'!$O$6,0):INDIRECT("'Sample Setup'!R34C"&amp;1+'Sample Setup'!$Q$6,0),AA313)&gt;0,2,IF(COUNTIF(INDIRECT("'Sample Setup'!R27C"&amp;1+'Sample Setup'!$O$7,0):INDIRECT("'Sample Setup'!R34C"&amp;1+'Sample Setup'!$Q$7,0),AA313)&gt;0,3,NA()))),NA())</f>
        <v>#N/A</v>
      </c>
    </row>
    <row r="314" spans="1:31" hidden="1" x14ac:dyDescent="0.25">
      <c r="A314" s="6" t="s">
        <v>342</v>
      </c>
      <c r="B314" s="21"/>
      <c r="C314" s="21"/>
      <c r="D314" s="21"/>
      <c r="E314" s="21"/>
      <c r="F314" s="21"/>
      <c r="G314" s="21"/>
      <c r="H314" s="21"/>
      <c r="I314" s="21"/>
      <c r="J314" s="21"/>
      <c r="K314" s="21"/>
      <c r="L314" s="21"/>
      <c r="M314" s="21"/>
      <c r="N314" s="21"/>
      <c r="O314" s="21"/>
      <c r="P314" s="21"/>
      <c r="Q314" s="21"/>
      <c r="R314" s="21"/>
      <c r="S314" s="21"/>
      <c r="T314" s="21"/>
      <c r="U314" s="21"/>
      <c r="V314" s="115" t="e">
        <f t="shared" si="76"/>
        <v>#DIV/0!</v>
      </c>
      <c r="W314" s="115" t="e">
        <f t="shared" si="77"/>
        <v>#DIV/0!</v>
      </c>
      <c r="X314" s="116" t="e">
        <f t="shared" si="78"/>
        <v>#DIV/0!</v>
      </c>
      <c r="Y314" s="7">
        <f>COUNTIF('Sample Setup'!$B$27:$AW$34,Calculations!A314)</f>
        <v>0</v>
      </c>
      <c r="AA314" s="6" t="s">
        <v>342</v>
      </c>
      <c r="AB314" s="117" t="str">
        <f>SigConcAvg(B314:U314,Report!B215)</f>
        <v xml:space="preserve"> </v>
      </c>
      <c r="AC314" s="113" t="str">
        <f>SigConcDev(B314:U314,Report!B215)</f>
        <v xml:space="preserve"> </v>
      </c>
      <c r="AD314" s="7" t="e">
        <f t="array" ref="AD314">SUM(IF(B314:U314&gt;HLOOKUP("Section "&amp;Report!$B215,$AL$76:$AN$83,8),0,IF(B314:U314&lt;HLOOKUP("Section "&amp;Report!$B215,$AL$76:$AN$83,7),0,1)))</f>
        <v>#N/A</v>
      </c>
      <c r="AE314" s="114" t="e">
        <f ca="1">IF(BioScale_Internal!$N$28,IF(COUNTIF(INDIRECT("'Sample Setup'!R27C"&amp;1+'Sample Setup'!$O$5,0):INDIRECT("'Sample Setup'!R34C"&amp;1+'Sample Setup'!$Q$5,0),AA314)&gt;0,1,IF(COUNTIF(INDIRECT("'Sample Setup'!R27C"&amp;1+'Sample Setup'!$O$6,0):INDIRECT("'Sample Setup'!R34C"&amp;1+'Sample Setup'!$Q$6,0),AA314)&gt;0,2,IF(COUNTIF(INDIRECT("'Sample Setup'!R27C"&amp;1+'Sample Setup'!$O$7,0):INDIRECT("'Sample Setup'!R34C"&amp;1+'Sample Setup'!$Q$7,0),AA314)&gt;0,3,NA()))),NA())</f>
        <v>#N/A</v>
      </c>
    </row>
    <row r="315" spans="1:31" hidden="1" x14ac:dyDescent="0.25">
      <c r="A315" s="6" t="s">
        <v>343</v>
      </c>
      <c r="B315" s="21"/>
      <c r="C315" s="21"/>
      <c r="D315" s="21"/>
      <c r="E315" s="21"/>
      <c r="F315" s="21"/>
      <c r="G315" s="21"/>
      <c r="H315" s="21"/>
      <c r="I315" s="21"/>
      <c r="J315" s="21"/>
      <c r="K315" s="21"/>
      <c r="L315" s="21"/>
      <c r="M315" s="21"/>
      <c r="N315" s="21"/>
      <c r="O315" s="21"/>
      <c r="P315" s="21"/>
      <c r="Q315" s="21"/>
      <c r="R315" s="21"/>
      <c r="S315" s="21"/>
      <c r="T315" s="21"/>
      <c r="U315" s="21"/>
      <c r="V315" s="115" t="e">
        <f t="shared" si="76"/>
        <v>#DIV/0!</v>
      </c>
      <c r="W315" s="115" t="e">
        <f t="shared" si="77"/>
        <v>#DIV/0!</v>
      </c>
      <c r="X315" s="116" t="e">
        <f t="shared" si="78"/>
        <v>#DIV/0!</v>
      </c>
      <c r="Y315" s="7">
        <f>COUNTIF('Sample Setup'!$B$27:$AW$34,Calculations!A315)</f>
        <v>0</v>
      </c>
      <c r="AA315" s="6" t="s">
        <v>343</v>
      </c>
      <c r="AB315" s="117" t="str">
        <f>SigConcAvg(B315:U315,Report!B216)</f>
        <v xml:space="preserve"> </v>
      </c>
      <c r="AC315" s="113" t="str">
        <f>SigConcDev(B315:U315,Report!B216)</f>
        <v xml:space="preserve"> </v>
      </c>
      <c r="AD315" s="7" t="e">
        <f t="array" ref="AD315">SUM(IF(B315:U315&gt;HLOOKUP("Section "&amp;Report!$B216,$AL$76:$AN$83,8),0,IF(B315:U315&lt;HLOOKUP("Section "&amp;Report!$B216,$AL$76:$AN$83,7),0,1)))</f>
        <v>#N/A</v>
      </c>
      <c r="AE315" s="114" t="e">
        <f ca="1">IF(BioScale_Internal!$N$28,IF(COUNTIF(INDIRECT("'Sample Setup'!R27C"&amp;1+'Sample Setup'!$O$5,0):INDIRECT("'Sample Setup'!R34C"&amp;1+'Sample Setup'!$Q$5,0),AA315)&gt;0,1,IF(COUNTIF(INDIRECT("'Sample Setup'!R27C"&amp;1+'Sample Setup'!$O$6,0):INDIRECT("'Sample Setup'!R34C"&amp;1+'Sample Setup'!$Q$6,0),AA315)&gt;0,2,IF(COUNTIF(INDIRECT("'Sample Setup'!R27C"&amp;1+'Sample Setup'!$O$7,0):INDIRECT("'Sample Setup'!R34C"&amp;1+'Sample Setup'!$Q$7,0),AA315)&gt;0,3,NA()))),NA())</f>
        <v>#N/A</v>
      </c>
    </row>
    <row r="316" spans="1:31" hidden="1" x14ac:dyDescent="0.25">
      <c r="A316" s="6" t="s">
        <v>344</v>
      </c>
      <c r="B316" s="21"/>
      <c r="C316" s="21"/>
      <c r="D316" s="21"/>
      <c r="E316" s="21"/>
      <c r="F316" s="21"/>
      <c r="G316" s="21"/>
      <c r="H316" s="21"/>
      <c r="I316" s="21"/>
      <c r="J316" s="21"/>
      <c r="K316" s="21"/>
      <c r="L316" s="21"/>
      <c r="M316" s="21"/>
      <c r="N316" s="21"/>
      <c r="O316" s="21"/>
      <c r="P316" s="21"/>
      <c r="Q316" s="21"/>
      <c r="R316" s="21"/>
      <c r="S316" s="21"/>
      <c r="T316" s="21"/>
      <c r="U316" s="21"/>
      <c r="V316" s="115" t="e">
        <f t="shared" si="76"/>
        <v>#DIV/0!</v>
      </c>
      <c r="W316" s="115" t="e">
        <f t="shared" si="77"/>
        <v>#DIV/0!</v>
      </c>
      <c r="X316" s="116" t="e">
        <f t="shared" si="78"/>
        <v>#DIV/0!</v>
      </c>
      <c r="Y316" s="7">
        <f>COUNTIF('Sample Setup'!$B$27:$AW$34,Calculations!A316)</f>
        <v>0</v>
      </c>
      <c r="AA316" s="6" t="s">
        <v>344</v>
      </c>
      <c r="AB316" s="117" t="str">
        <f>SigConcAvg(B316:U316,Report!B217)</f>
        <v xml:space="preserve"> </v>
      </c>
      <c r="AC316" s="113" t="str">
        <f>SigConcDev(B316:U316,Report!B217)</f>
        <v xml:space="preserve"> </v>
      </c>
      <c r="AD316" s="7" t="e">
        <f t="array" ref="AD316">SUM(IF(B316:U316&gt;HLOOKUP("Section "&amp;Report!$B217,$AL$76:$AN$83,8),0,IF(B316:U316&lt;HLOOKUP("Section "&amp;Report!$B217,$AL$76:$AN$83,7),0,1)))</f>
        <v>#N/A</v>
      </c>
      <c r="AE316" s="114" t="e">
        <f ca="1">IF(BioScale_Internal!$N$28,IF(COUNTIF(INDIRECT("'Sample Setup'!R27C"&amp;1+'Sample Setup'!$O$5,0):INDIRECT("'Sample Setup'!R34C"&amp;1+'Sample Setup'!$Q$5,0),AA316)&gt;0,1,IF(COUNTIF(INDIRECT("'Sample Setup'!R27C"&amp;1+'Sample Setup'!$O$6,0):INDIRECT("'Sample Setup'!R34C"&amp;1+'Sample Setup'!$Q$6,0),AA316)&gt;0,2,IF(COUNTIF(INDIRECT("'Sample Setup'!R27C"&amp;1+'Sample Setup'!$O$7,0):INDIRECT("'Sample Setup'!R34C"&amp;1+'Sample Setup'!$Q$7,0),AA316)&gt;0,3,NA()))),NA())</f>
        <v>#N/A</v>
      </c>
    </row>
    <row r="317" spans="1:31" hidden="1" x14ac:dyDescent="0.25">
      <c r="A317" s="6" t="s">
        <v>345</v>
      </c>
      <c r="B317" s="21"/>
      <c r="C317" s="21"/>
      <c r="D317" s="21"/>
      <c r="E317" s="21"/>
      <c r="F317" s="21"/>
      <c r="G317" s="21"/>
      <c r="H317" s="21"/>
      <c r="I317" s="21"/>
      <c r="J317" s="21"/>
      <c r="K317" s="21"/>
      <c r="L317" s="21"/>
      <c r="M317" s="21"/>
      <c r="N317" s="21"/>
      <c r="O317" s="21"/>
      <c r="P317" s="21"/>
      <c r="Q317" s="21"/>
      <c r="R317" s="21"/>
      <c r="S317" s="21"/>
      <c r="T317" s="21"/>
      <c r="U317" s="21"/>
      <c r="V317" s="115" t="e">
        <f t="shared" si="76"/>
        <v>#DIV/0!</v>
      </c>
      <c r="W317" s="115" t="e">
        <f t="shared" si="77"/>
        <v>#DIV/0!</v>
      </c>
      <c r="X317" s="116" t="e">
        <f t="shared" si="78"/>
        <v>#DIV/0!</v>
      </c>
      <c r="Y317" s="7">
        <f>COUNTIF('Sample Setup'!$B$27:$AW$34,Calculations!A317)</f>
        <v>0</v>
      </c>
      <c r="AA317" s="6" t="s">
        <v>345</v>
      </c>
      <c r="AB317" s="117" t="str">
        <f>SigConcAvg(B317:U317,Report!B218)</f>
        <v xml:space="preserve"> </v>
      </c>
      <c r="AC317" s="113" t="str">
        <f>SigConcDev(B317:U317,Report!B218)</f>
        <v xml:space="preserve"> </v>
      </c>
      <c r="AD317" s="7" t="e">
        <f t="array" ref="AD317">SUM(IF(B317:U317&gt;HLOOKUP("Section "&amp;Report!$B218,$AL$76:$AN$83,8),0,IF(B317:U317&lt;HLOOKUP("Section "&amp;Report!$B218,$AL$76:$AN$83,7),0,1)))</f>
        <v>#N/A</v>
      </c>
      <c r="AE317" s="114" t="e">
        <f ca="1">IF(BioScale_Internal!$N$28,IF(COUNTIF(INDIRECT("'Sample Setup'!R27C"&amp;1+'Sample Setup'!$O$5,0):INDIRECT("'Sample Setup'!R34C"&amp;1+'Sample Setup'!$Q$5,0),AA317)&gt;0,1,IF(COUNTIF(INDIRECT("'Sample Setup'!R27C"&amp;1+'Sample Setup'!$O$6,0):INDIRECT("'Sample Setup'!R34C"&amp;1+'Sample Setup'!$Q$6,0),AA317)&gt;0,2,IF(COUNTIF(INDIRECT("'Sample Setup'!R27C"&amp;1+'Sample Setup'!$O$7,0):INDIRECT("'Sample Setup'!R34C"&amp;1+'Sample Setup'!$Q$7,0),AA317)&gt;0,3,NA()))),NA())</f>
        <v>#N/A</v>
      </c>
    </row>
    <row r="318" spans="1:31" hidden="1" x14ac:dyDescent="0.25">
      <c r="A318" s="6" t="s">
        <v>346</v>
      </c>
      <c r="B318" s="21"/>
      <c r="C318" s="21"/>
      <c r="D318" s="21"/>
      <c r="E318" s="21"/>
      <c r="F318" s="21"/>
      <c r="G318" s="21"/>
      <c r="H318" s="21"/>
      <c r="I318" s="21"/>
      <c r="J318" s="21"/>
      <c r="K318" s="21"/>
      <c r="L318" s="21"/>
      <c r="M318" s="21"/>
      <c r="N318" s="21"/>
      <c r="O318" s="21"/>
      <c r="P318" s="21"/>
      <c r="Q318" s="21"/>
      <c r="R318" s="21"/>
      <c r="S318" s="21"/>
      <c r="T318" s="21"/>
      <c r="U318" s="21"/>
      <c r="V318" s="115" t="e">
        <f t="shared" si="76"/>
        <v>#DIV/0!</v>
      </c>
      <c r="W318" s="115" t="e">
        <f t="shared" si="77"/>
        <v>#DIV/0!</v>
      </c>
      <c r="X318" s="116" t="e">
        <f t="shared" si="78"/>
        <v>#DIV/0!</v>
      </c>
      <c r="Y318" s="7">
        <f>COUNTIF('Sample Setup'!$B$27:$AW$34,Calculations!A318)</f>
        <v>0</v>
      </c>
      <c r="AA318" s="6" t="s">
        <v>346</v>
      </c>
      <c r="AB318" s="117" t="str">
        <f>SigConcAvg(B318:U318,Report!B219)</f>
        <v xml:space="preserve"> </v>
      </c>
      <c r="AC318" s="113" t="str">
        <f>SigConcDev(B318:U318,Report!B219)</f>
        <v xml:space="preserve"> </v>
      </c>
      <c r="AD318" s="7" t="e">
        <f t="array" ref="AD318">SUM(IF(B318:U318&gt;HLOOKUP("Section "&amp;Report!$B219,$AL$76:$AN$83,8),0,IF(B318:U318&lt;HLOOKUP("Section "&amp;Report!$B219,$AL$76:$AN$83,7),0,1)))</f>
        <v>#N/A</v>
      </c>
      <c r="AE318" s="114" t="e">
        <f ca="1">IF(BioScale_Internal!$N$28,IF(COUNTIF(INDIRECT("'Sample Setup'!R27C"&amp;1+'Sample Setup'!$O$5,0):INDIRECT("'Sample Setup'!R34C"&amp;1+'Sample Setup'!$Q$5,0),AA318)&gt;0,1,IF(COUNTIF(INDIRECT("'Sample Setup'!R27C"&amp;1+'Sample Setup'!$O$6,0):INDIRECT("'Sample Setup'!R34C"&amp;1+'Sample Setup'!$Q$6,0),AA318)&gt;0,2,IF(COUNTIF(INDIRECT("'Sample Setup'!R27C"&amp;1+'Sample Setup'!$O$7,0):INDIRECT("'Sample Setup'!R34C"&amp;1+'Sample Setup'!$Q$7,0),AA318)&gt;0,3,NA()))),NA())</f>
        <v>#N/A</v>
      </c>
    </row>
    <row r="319" spans="1:31" hidden="1" x14ac:dyDescent="0.25">
      <c r="A319" s="6" t="s">
        <v>347</v>
      </c>
      <c r="B319" s="21"/>
      <c r="C319" s="21"/>
      <c r="D319" s="21"/>
      <c r="E319" s="21"/>
      <c r="F319" s="21"/>
      <c r="G319" s="21"/>
      <c r="H319" s="21"/>
      <c r="I319" s="21"/>
      <c r="J319" s="21"/>
      <c r="K319" s="21"/>
      <c r="L319" s="21"/>
      <c r="M319" s="21"/>
      <c r="N319" s="21"/>
      <c r="O319" s="21"/>
      <c r="P319" s="21"/>
      <c r="Q319" s="21"/>
      <c r="R319" s="21"/>
      <c r="S319" s="21"/>
      <c r="T319" s="21"/>
      <c r="U319" s="21"/>
      <c r="V319" s="115" t="e">
        <f t="shared" si="76"/>
        <v>#DIV/0!</v>
      </c>
      <c r="W319" s="115" t="e">
        <f t="shared" si="77"/>
        <v>#DIV/0!</v>
      </c>
      <c r="X319" s="116" t="e">
        <f t="shared" si="78"/>
        <v>#DIV/0!</v>
      </c>
      <c r="Y319" s="7">
        <f>COUNTIF('Sample Setup'!$B$27:$AW$34,Calculations!A319)</f>
        <v>0</v>
      </c>
      <c r="AA319" s="6" t="s">
        <v>347</v>
      </c>
      <c r="AB319" s="117" t="str">
        <f>SigConcAvg(B319:U319,Report!B220)</f>
        <v xml:space="preserve"> </v>
      </c>
      <c r="AC319" s="113" t="str">
        <f>SigConcDev(B319:U319,Report!B220)</f>
        <v xml:space="preserve"> </v>
      </c>
      <c r="AD319" s="7" t="e">
        <f t="array" ref="AD319">SUM(IF(B319:U319&gt;HLOOKUP("Section "&amp;Report!$B220,$AL$76:$AN$83,8),0,IF(B319:U319&lt;HLOOKUP("Section "&amp;Report!$B220,$AL$76:$AN$83,7),0,1)))</f>
        <v>#N/A</v>
      </c>
      <c r="AE319" s="114" t="e">
        <f ca="1">IF(BioScale_Internal!$N$28,IF(COUNTIF(INDIRECT("'Sample Setup'!R27C"&amp;1+'Sample Setup'!$O$5,0):INDIRECT("'Sample Setup'!R34C"&amp;1+'Sample Setup'!$Q$5,0),AA319)&gt;0,1,IF(COUNTIF(INDIRECT("'Sample Setup'!R27C"&amp;1+'Sample Setup'!$O$6,0):INDIRECT("'Sample Setup'!R34C"&amp;1+'Sample Setup'!$Q$6,0),AA319)&gt;0,2,IF(COUNTIF(INDIRECT("'Sample Setup'!R27C"&amp;1+'Sample Setup'!$O$7,0):INDIRECT("'Sample Setup'!R34C"&amp;1+'Sample Setup'!$Q$7,0),AA319)&gt;0,3,NA()))),NA())</f>
        <v>#N/A</v>
      </c>
    </row>
    <row r="320" spans="1:31" hidden="1" x14ac:dyDescent="0.25">
      <c r="A320" s="6" t="s">
        <v>348</v>
      </c>
      <c r="B320" s="21"/>
      <c r="C320" s="21"/>
      <c r="D320" s="21"/>
      <c r="E320" s="21"/>
      <c r="F320" s="21"/>
      <c r="G320" s="21"/>
      <c r="H320" s="21"/>
      <c r="I320" s="21"/>
      <c r="J320" s="21"/>
      <c r="K320" s="21"/>
      <c r="L320" s="21"/>
      <c r="M320" s="21"/>
      <c r="N320" s="21"/>
      <c r="O320" s="21"/>
      <c r="P320" s="21"/>
      <c r="Q320" s="21"/>
      <c r="R320" s="21"/>
      <c r="S320" s="21"/>
      <c r="T320" s="21"/>
      <c r="U320" s="21"/>
      <c r="V320" s="115" t="e">
        <f t="shared" si="76"/>
        <v>#DIV/0!</v>
      </c>
      <c r="W320" s="115" t="e">
        <f t="shared" si="77"/>
        <v>#DIV/0!</v>
      </c>
      <c r="X320" s="116" t="e">
        <f t="shared" si="78"/>
        <v>#DIV/0!</v>
      </c>
      <c r="Y320" s="7">
        <f>COUNTIF('Sample Setup'!$B$27:$AW$34,Calculations!A320)</f>
        <v>0</v>
      </c>
      <c r="AA320" s="6" t="s">
        <v>348</v>
      </c>
      <c r="AB320" s="117" t="str">
        <f>SigConcAvg(B320:U320,Report!B221)</f>
        <v xml:space="preserve"> </v>
      </c>
      <c r="AC320" s="113" t="str">
        <f>SigConcDev(B320:U320,Report!B221)</f>
        <v xml:space="preserve"> </v>
      </c>
      <c r="AD320" s="7" t="e">
        <f t="array" ref="AD320">SUM(IF(B320:U320&gt;HLOOKUP("Section "&amp;Report!$B221,$AL$76:$AN$83,8),0,IF(B320:U320&lt;HLOOKUP("Section "&amp;Report!$B221,$AL$76:$AN$83,7),0,1)))</f>
        <v>#N/A</v>
      </c>
      <c r="AE320" s="114" t="e">
        <f ca="1">IF(BioScale_Internal!$N$28,IF(COUNTIF(INDIRECT("'Sample Setup'!R27C"&amp;1+'Sample Setup'!$O$5,0):INDIRECT("'Sample Setup'!R34C"&amp;1+'Sample Setup'!$Q$5,0),AA320)&gt;0,1,IF(COUNTIF(INDIRECT("'Sample Setup'!R27C"&amp;1+'Sample Setup'!$O$6,0):INDIRECT("'Sample Setup'!R34C"&amp;1+'Sample Setup'!$Q$6,0),AA320)&gt;0,2,IF(COUNTIF(INDIRECT("'Sample Setup'!R27C"&amp;1+'Sample Setup'!$O$7,0):INDIRECT("'Sample Setup'!R34C"&amp;1+'Sample Setup'!$Q$7,0),AA320)&gt;0,3,NA()))),NA())</f>
        <v>#N/A</v>
      </c>
    </row>
    <row r="321" spans="1:31" hidden="1" x14ac:dyDescent="0.25">
      <c r="A321" s="6" t="s">
        <v>349</v>
      </c>
      <c r="B321" s="21"/>
      <c r="C321" s="21"/>
      <c r="D321" s="21"/>
      <c r="E321" s="21"/>
      <c r="F321" s="21"/>
      <c r="G321" s="21"/>
      <c r="H321" s="21"/>
      <c r="I321" s="21"/>
      <c r="J321" s="21"/>
      <c r="K321" s="21"/>
      <c r="L321" s="21"/>
      <c r="M321" s="21"/>
      <c r="N321" s="21"/>
      <c r="O321" s="21"/>
      <c r="P321" s="21"/>
      <c r="Q321" s="21"/>
      <c r="R321" s="21"/>
      <c r="S321" s="21"/>
      <c r="T321" s="21"/>
      <c r="U321" s="21"/>
      <c r="V321" s="115" t="e">
        <f t="shared" si="76"/>
        <v>#DIV/0!</v>
      </c>
      <c r="W321" s="115" t="e">
        <f t="shared" si="77"/>
        <v>#DIV/0!</v>
      </c>
      <c r="X321" s="116" t="e">
        <f t="shared" si="78"/>
        <v>#DIV/0!</v>
      </c>
      <c r="Y321" s="7">
        <f>COUNTIF('Sample Setup'!$B$27:$AW$34,Calculations!A321)</f>
        <v>0</v>
      </c>
      <c r="AA321" s="6" t="s">
        <v>349</v>
      </c>
      <c r="AB321" s="117" t="str">
        <f>SigConcAvg(B321:U321,Report!B222)</f>
        <v xml:space="preserve"> </v>
      </c>
      <c r="AC321" s="113" t="str">
        <f>SigConcDev(B321:U321,Report!B222)</f>
        <v xml:space="preserve"> </v>
      </c>
      <c r="AD321" s="7" t="e">
        <f t="array" ref="AD321">SUM(IF(B321:U321&gt;HLOOKUP("Section "&amp;Report!$B222,$AL$76:$AN$83,8),0,IF(B321:U321&lt;HLOOKUP("Section "&amp;Report!$B222,$AL$76:$AN$83,7),0,1)))</f>
        <v>#N/A</v>
      </c>
      <c r="AE321" s="114" t="e">
        <f ca="1">IF(BioScale_Internal!$N$28,IF(COUNTIF(INDIRECT("'Sample Setup'!R27C"&amp;1+'Sample Setup'!$O$5,0):INDIRECT("'Sample Setup'!R34C"&amp;1+'Sample Setup'!$Q$5,0),AA321)&gt;0,1,IF(COUNTIF(INDIRECT("'Sample Setup'!R27C"&amp;1+'Sample Setup'!$O$6,0):INDIRECT("'Sample Setup'!R34C"&amp;1+'Sample Setup'!$Q$6,0),AA321)&gt;0,2,IF(COUNTIF(INDIRECT("'Sample Setup'!R27C"&amp;1+'Sample Setup'!$O$7,0):INDIRECT("'Sample Setup'!R34C"&amp;1+'Sample Setup'!$Q$7,0),AA321)&gt;0,3,NA()))),NA())</f>
        <v>#N/A</v>
      </c>
    </row>
    <row r="322" spans="1:31" hidden="1" x14ac:dyDescent="0.25">
      <c r="A322" s="6" t="s">
        <v>350</v>
      </c>
      <c r="B322" s="21"/>
      <c r="C322" s="21"/>
      <c r="D322" s="21"/>
      <c r="E322" s="21"/>
      <c r="F322" s="21"/>
      <c r="G322" s="21"/>
      <c r="H322" s="21"/>
      <c r="I322" s="21"/>
      <c r="J322" s="21"/>
      <c r="K322" s="21"/>
      <c r="L322" s="21"/>
      <c r="M322" s="21"/>
      <c r="N322" s="21"/>
      <c r="O322" s="21"/>
      <c r="P322" s="21"/>
      <c r="Q322" s="21"/>
      <c r="R322" s="21"/>
      <c r="S322" s="21"/>
      <c r="T322" s="21"/>
      <c r="U322" s="21"/>
      <c r="V322" s="115" t="e">
        <f t="shared" si="76"/>
        <v>#DIV/0!</v>
      </c>
      <c r="W322" s="115" t="e">
        <f t="shared" si="77"/>
        <v>#DIV/0!</v>
      </c>
      <c r="X322" s="116" t="e">
        <f t="shared" si="78"/>
        <v>#DIV/0!</v>
      </c>
      <c r="Y322" s="7">
        <f>COUNTIF('Sample Setup'!$B$27:$AW$34,Calculations!A322)</f>
        <v>0</v>
      </c>
      <c r="AA322" s="6" t="s">
        <v>350</v>
      </c>
      <c r="AB322" s="117" t="str">
        <f>SigConcAvg(B322:U322,Report!B223)</f>
        <v xml:space="preserve"> </v>
      </c>
      <c r="AC322" s="113" t="str">
        <f>SigConcDev(B322:U322,Report!B223)</f>
        <v xml:space="preserve"> </v>
      </c>
      <c r="AD322" s="7" t="e">
        <f t="array" ref="AD322">SUM(IF(B322:U322&gt;HLOOKUP("Section "&amp;Report!$B223,$AL$76:$AN$83,8),0,IF(B322:U322&lt;HLOOKUP("Section "&amp;Report!$B223,$AL$76:$AN$83,7),0,1)))</f>
        <v>#N/A</v>
      </c>
      <c r="AE322" s="114" t="e">
        <f ca="1">IF(BioScale_Internal!$N$28,IF(COUNTIF(INDIRECT("'Sample Setup'!R27C"&amp;1+'Sample Setup'!$O$5,0):INDIRECT("'Sample Setup'!R34C"&amp;1+'Sample Setup'!$Q$5,0),AA322)&gt;0,1,IF(COUNTIF(INDIRECT("'Sample Setup'!R27C"&amp;1+'Sample Setup'!$O$6,0):INDIRECT("'Sample Setup'!R34C"&amp;1+'Sample Setup'!$Q$6,0),AA322)&gt;0,2,IF(COUNTIF(INDIRECT("'Sample Setup'!R27C"&amp;1+'Sample Setup'!$O$7,0):INDIRECT("'Sample Setup'!R34C"&amp;1+'Sample Setup'!$Q$7,0),AA322)&gt;0,3,NA()))),NA())</f>
        <v>#N/A</v>
      </c>
    </row>
    <row r="323" spans="1:31" hidden="1" x14ac:dyDescent="0.25">
      <c r="A323" s="6" t="s">
        <v>351</v>
      </c>
      <c r="B323" s="21"/>
      <c r="C323" s="21"/>
      <c r="D323" s="21"/>
      <c r="E323" s="21"/>
      <c r="F323" s="21"/>
      <c r="G323" s="21"/>
      <c r="H323" s="21"/>
      <c r="I323" s="21"/>
      <c r="J323" s="21"/>
      <c r="K323" s="21"/>
      <c r="L323" s="21"/>
      <c r="M323" s="21"/>
      <c r="N323" s="21"/>
      <c r="O323" s="21"/>
      <c r="P323" s="21"/>
      <c r="Q323" s="21"/>
      <c r="R323" s="21"/>
      <c r="S323" s="21"/>
      <c r="T323" s="21"/>
      <c r="U323" s="21"/>
      <c r="V323" s="115" t="e">
        <f t="shared" si="76"/>
        <v>#DIV/0!</v>
      </c>
      <c r="W323" s="115" t="e">
        <f t="shared" si="77"/>
        <v>#DIV/0!</v>
      </c>
      <c r="X323" s="116" t="e">
        <f t="shared" si="78"/>
        <v>#DIV/0!</v>
      </c>
      <c r="Y323" s="7">
        <f>COUNTIF('Sample Setup'!$B$27:$AW$34,Calculations!A323)</f>
        <v>0</v>
      </c>
      <c r="AA323" s="6" t="s">
        <v>351</v>
      </c>
      <c r="AB323" s="117" t="str">
        <f>SigConcAvg(B323:U323,Report!B224)</f>
        <v xml:space="preserve"> </v>
      </c>
      <c r="AC323" s="113" t="str">
        <f>SigConcDev(B323:U323,Report!B224)</f>
        <v xml:space="preserve"> </v>
      </c>
      <c r="AD323" s="7" t="e">
        <f t="array" ref="AD323">SUM(IF(B323:U323&gt;HLOOKUP("Section "&amp;Report!$B224,$AL$76:$AN$83,8),0,IF(B323:U323&lt;HLOOKUP("Section "&amp;Report!$B224,$AL$76:$AN$83,7),0,1)))</f>
        <v>#N/A</v>
      </c>
      <c r="AE323" s="114" t="e">
        <f ca="1">IF(BioScale_Internal!$N$28,IF(COUNTIF(INDIRECT("'Sample Setup'!R27C"&amp;1+'Sample Setup'!$O$5,0):INDIRECT("'Sample Setup'!R34C"&amp;1+'Sample Setup'!$Q$5,0),AA323)&gt;0,1,IF(COUNTIF(INDIRECT("'Sample Setup'!R27C"&amp;1+'Sample Setup'!$O$6,0):INDIRECT("'Sample Setup'!R34C"&amp;1+'Sample Setup'!$Q$6,0),AA323)&gt;0,2,IF(COUNTIF(INDIRECT("'Sample Setup'!R27C"&amp;1+'Sample Setup'!$O$7,0):INDIRECT("'Sample Setup'!R34C"&amp;1+'Sample Setup'!$Q$7,0),AA323)&gt;0,3,NA()))),NA())</f>
        <v>#N/A</v>
      </c>
    </row>
    <row r="324" spans="1:31" hidden="1" x14ac:dyDescent="0.25">
      <c r="A324" s="6" t="s">
        <v>352</v>
      </c>
      <c r="B324" s="21"/>
      <c r="C324" s="21"/>
      <c r="D324" s="21"/>
      <c r="E324" s="21"/>
      <c r="F324" s="21"/>
      <c r="G324" s="21"/>
      <c r="H324" s="21"/>
      <c r="I324" s="21"/>
      <c r="J324" s="21"/>
      <c r="K324" s="21"/>
      <c r="L324" s="21"/>
      <c r="M324" s="21"/>
      <c r="N324" s="21"/>
      <c r="O324" s="21"/>
      <c r="P324" s="21"/>
      <c r="Q324" s="21"/>
      <c r="R324" s="21"/>
      <c r="S324" s="21"/>
      <c r="T324" s="21"/>
      <c r="U324" s="21"/>
      <c r="V324" s="115" t="e">
        <f t="shared" si="76"/>
        <v>#DIV/0!</v>
      </c>
      <c r="W324" s="115" t="e">
        <f t="shared" si="77"/>
        <v>#DIV/0!</v>
      </c>
      <c r="X324" s="116" t="e">
        <f t="shared" si="78"/>
        <v>#DIV/0!</v>
      </c>
      <c r="Y324" s="7">
        <f>COUNTIF('Sample Setup'!$B$27:$AW$34,Calculations!A324)</f>
        <v>0</v>
      </c>
      <c r="AA324" s="6" t="s">
        <v>352</v>
      </c>
      <c r="AB324" s="117" t="str">
        <f>SigConcAvg(B324:U324,Report!B225)</f>
        <v xml:space="preserve"> </v>
      </c>
      <c r="AC324" s="113" t="str">
        <f>SigConcDev(B324:U324,Report!B225)</f>
        <v xml:space="preserve"> </v>
      </c>
      <c r="AD324" s="7" t="e">
        <f t="array" ref="AD324">SUM(IF(B324:U324&gt;HLOOKUP("Section "&amp;Report!$B225,$AL$76:$AN$83,8),0,IF(B324:U324&lt;HLOOKUP("Section "&amp;Report!$B225,$AL$76:$AN$83,7),0,1)))</f>
        <v>#N/A</v>
      </c>
      <c r="AE324" s="114" t="e">
        <f ca="1">IF(BioScale_Internal!$N$28,IF(COUNTIF(INDIRECT("'Sample Setup'!R27C"&amp;1+'Sample Setup'!$O$5,0):INDIRECT("'Sample Setup'!R34C"&amp;1+'Sample Setup'!$Q$5,0),AA324)&gt;0,1,IF(COUNTIF(INDIRECT("'Sample Setup'!R27C"&amp;1+'Sample Setup'!$O$6,0):INDIRECT("'Sample Setup'!R34C"&amp;1+'Sample Setup'!$Q$6,0),AA324)&gt;0,2,IF(COUNTIF(INDIRECT("'Sample Setup'!R27C"&amp;1+'Sample Setup'!$O$7,0):INDIRECT("'Sample Setup'!R34C"&amp;1+'Sample Setup'!$Q$7,0),AA324)&gt;0,3,NA()))),NA())</f>
        <v>#N/A</v>
      </c>
    </row>
    <row r="325" spans="1:31" hidden="1" x14ac:dyDescent="0.25">
      <c r="A325" s="6" t="s">
        <v>353</v>
      </c>
      <c r="B325" s="21"/>
      <c r="C325" s="21"/>
      <c r="D325" s="21"/>
      <c r="E325" s="21"/>
      <c r="F325" s="21"/>
      <c r="G325" s="21"/>
      <c r="H325" s="21"/>
      <c r="I325" s="21"/>
      <c r="J325" s="21"/>
      <c r="K325" s="21"/>
      <c r="L325" s="21"/>
      <c r="M325" s="21"/>
      <c r="N325" s="21"/>
      <c r="O325" s="21"/>
      <c r="P325" s="21"/>
      <c r="Q325" s="21"/>
      <c r="R325" s="21"/>
      <c r="S325" s="21"/>
      <c r="T325" s="21"/>
      <c r="U325" s="21"/>
      <c r="V325" s="115" t="e">
        <f t="shared" si="76"/>
        <v>#DIV/0!</v>
      </c>
      <c r="W325" s="115" t="e">
        <f t="shared" si="77"/>
        <v>#DIV/0!</v>
      </c>
      <c r="X325" s="116" t="e">
        <f t="shared" si="78"/>
        <v>#DIV/0!</v>
      </c>
      <c r="Y325" s="7">
        <f>COUNTIF('Sample Setup'!$B$27:$AW$34,Calculations!A325)</f>
        <v>0</v>
      </c>
      <c r="AA325" s="6" t="s">
        <v>353</v>
      </c>
      <c r="AB325" s="117" t="str">
        <f>SigConcAvg(B325:U325,Report!B226)</f>
        <v xml:space="preserve"> </v>
      </c>
      <c r="AC325" s="113" t="str">
        <f>SigConcDev(B325:U325,Report!B226)</f>
        <v xml:space="preserve"> </v>
      </c>
      <c r="AD325" s="7" t="e">
        <f t="array" ref="AD325">SUM(IF(B325:U325&gt;HLOOKUP("Section "&amp;Report!$B226,$AL$76:$AN$83,8),0,IF(B325:U325&lt;HLOOKUP("Section "&amp;Report!$B226,$AL$76:$AN$83,7),0,1)))</f>
        <v>#N/A</v>
      </c>
      <c r="AE325" s="114" t="e">
        <f ca="1">IF(BioScale_Internal!$N$28,IF(COUNTIF(INDIRECT("'Sample Setup'!R27C"&amp;1+'Sample Setup'!$O$5,0):INDIRECT("'Sample Setup'!R34C"&amp;1+'Sample Setup'!$Q$5,0),AA325)&gt;0,1,IF(COUNTIF(INDIRECT("'Sample Setup'!R27C"&amp;1+'Sample Setup'!$O$6,0):INDIRECT("'Sample Setup'!R34C"&amp;1+'Sample Setup'!$Q$6,0),AA325)&gt;0,2,IF(COUNTIF(INDIRECT("'Sample Setup'!R27C"&amp;1+'Sample Setup'!$O$7,0):INDIRECT("'Sample Setup'!R34C"&amp;1+'Sample Setup'!$Q$7,0),AA325)&gt;0,3,NA()))),NA())</f>
        <v>#N/A</v>
      </c>
    </row>
    <row r="326" spans="1:31" hidden="1" x14ac:dyDescent="0.25">
      <c r="A326" s="6" t="s">
        <v>354</v>
      </c>
      <c r="B326" s="21"/>
      <c r="C326" s="21"/>
      <c r="D326" s="21"/>
      <c r="E326" s="21"/>
      <c r="F326" s="21"/>
      <c r="G326" s="21"/>
      <c r="H326" s="21"/>
      <c r="I326" s="21"/>
      <c r="J326" s="21"/>
      <c r="K326" s="21"/>
      <c r="L326" s="21"/>
      <c r="M326" s="21"/>
      <c r="N326" s="21"/>
      <c r="O326" s="21"/>
      <c r="P326" s="21"/>
      <c r="Q326" s="21"/>
      <c r="R326" s="21"/>
      <c r="S326" s="21"/>
      <c r="T326" s="21"/>
      <c r="U326" s="21"/>
      <c r="V326" s="115" t="e">
        <f t="shared" si="76"/>
        <v>#DIV/0!</v>
      </c>
      <c r="W326" s="115" t="e">
        <f t="shared" si="77"/>
        <v>#DIV/0!</v>
      </c>
      <c r="X326" s="116" t="e">
        <f t="shared" si="78"/>
        <v>#DIV/0!</v>
      </c>
      <c r="Y326" s="7">
        <f>COUNTIF('Sample Setup'!$B$27:$AW$34,Calculations!A326)</f>
        <v>0</v>
      </c>
      <c r="AA326" s="6" t="s">
        <v>354</v>
      </c>
      <c r="AB326" s="117" t="str">
        <f>SigConcAvg(B326:U326,Report!B227)</f>
        <v xml:space="preserve"> </v>
      </c>
      <c r="AC326" s="113" t="str">
        <f>SigConcDev(B326:U326,Report!B227)</f>
        <v xml:space="preserve"> </v>
      </c>
      <c r="AD326" s="7" t="e">
        <f t="array" ref="AD326">SUM(IF(B326:U326&gt;HLOOKUP("Section "&amp;Report!$B227,$AL$76:$AN$83,8),0,IF(B326:U326&lt;HLOOKUP("Section "&amp;Report!$B227,$AL$76:$AN$83,7),0,1)))</f>
        <v>#N/A</v>
      </c>
      <c r="AE326" s="114" t="e">
        <f ca="1">IF(BioScale_Internal!$N$28,IF(COUNTIF(INDIRECT("'Sample Setup'!R27C"&amp;1+'Sample Setup'!$O$5,0):INDIRECT("'Sample Setup'!R34C"&amp;1+'Sample Setup'!$Q$5,0),AA326)&gt;0,1,IF(COUNTIF(INDIRECT("'Sample Setup'!R27C"&amp;1+'Sample Setup'!$O$6,0):INDIRECT("'Sample Setup'!R34C"&amp;1+'Sample Setup'!$Q$6,0),AA326)&gt;0,2,IF(COUNTIF(INDIRECT("'Sample Setup'!R27C"&amp;1+'Sample Setup'!$O$7,0):INDIRECT("'Sample Setup'!R34C"&amp;1+'Sample Setup'!$Q$7,0),AA326)&gt;0,3,NA()))),NA())</f>
        <v>#N/A</v>
      </c>
    </row>
    <row r="327" spans="1:31" hidden="1" x14ac:dyDescent="0.25">
      <c r="A327" s="6" t="s">
        <v>355</v>
      </c>
      <c r="B327" s="21"/>
      <c r="C327" s="21"/>
      <c r="D327" s="21"/>
      <c r="E327" s="21"/>
      <c r="F327" s="21"/>
      <c r="G327" s="21"/>
      <c r="H327" s="21"/>
      <c r="I327" s="21"/>
      <c r="J327" s="21"/>
      <c r="K327" s="21"/>
      <c r="L327" s="21"/>
      <c r="M327" s="21"/>
      <c r="N327" s="21"/>
      <c r="O327" s="21"/>
      <c r="P327" s="21"/>
      <c r="Q327" s="21"/>
      <c r="R327" s="21"/>
      <c r="S327" s="21"/>
      <c r="T327" s="21"/>
      <c r="U327" s="21"/>
      <c r="V327" s="115" t="e">
        <f t="shared" si="76"/>
        <v>#DIV/0!</v>
      </c>
      <c r="W327" s="115" t="e">
        <f t="shared" si="77"/>
        <v>#DIV/0!</v>
      </c>
      <c r="X327" s="116" t="e">
        <f t="shared" si="78"/>
        <v>#DIV/0!</v>
      </c>
      <c r="Y327" s="7">
        <f>COUNTIF('Sample Setup'!$B$27:$AW$34,Calculations!A327)</f>
        <v>0</v>
      </c>
      <c r="AA327" s="6" t="s">
        <v>355</v>
      </c>
      <c r="AB327" s="117" t="str">
        <f>SigConcAvg(B327:U327,Report!B228)</f>
        <v xml:space="preserve"> </v>
      </c>
      <c r="AC327" s="113" t="str">
        <f>SigConcDev(B327:U327,Report!B228)</f>
        <v xml:space="preserve"> </v>
      </c>
      <c r="AD327" s="7" t="e">
        <f t="array" ref="AD327">SUM(IF(B327:U327&gt;HLOOKUP("Section "&amp;Report!$B228,$AL$76:$AN$83,8),0,IF(B327:U327&lt;HLOOKUP("Section "&amp;Report!$B228,$AL$76:$AN$83,7),0,1)))</f>
        <v>#N/A</v>
      </c>
      <c r="AE327" s="114" t="e">
        <f ca="1">IF(BioScale_Internal!$N$28,IF(COUNTIF(INDIRECT("'Sample Setup'!R27C"&amp;1+'Sample Setup'!$O$5,0):INDIRECT("'Sample Setup'!R34C"&amp;1+'Sample Setup'!$Q$5,0),AA327)&gt;0,1,IF(COUNTIF(INDIRECT("'Sample Setup'!R27C"&amp;1+'Sample Setup'!$O$6,0):INDIRECT("'Sample Setup'!R34C"&amp;1+'Sample Setup'!$Q$6,0),AA327)&gt;0,2,IF(COUNTIF(INDIRECT("'Sample Setup'!R27C"&amp;1+'Sample Setup'!$O$7,0):INDIRECT("'Sample Setup'!R34C"&amp;1+'Sample Setup'!$Q$7,0),AA327)&gt;0,3,NA()))),NA())</f>
        <v>#N/A</v>
      </c>
    </row>
    <row r="328" spans="1:31" hidden="1" x14ac:dyDescent="0.25">
      <c r="A328" s="6" t="s">
        <v>356</v>
      </c>
      <c r="B328" s="21"/>
      <c r="C328" s="21"/>
      <c r="D328" s="21"/>
      <c r="E328" s="21"/>
      <c r="F328" s="21"/>
      <c r="G328" s="21"/>
      <c r="H328" s="21"/>
      <c r="I328" s="21"/>
      <c r="J328" s="21"/>
      <c r="K328" s="21"/>
      <c r="L328" s="21"/>
      <c r="M328" s="21"/>
      <c r="N328" s="21"/>
      <c r="O328" s="21"/>
      <c r="P328" s="21"/>
      <c r="Q328" s="21"/>
      <c r="R328" s="21"/>
      <c r="S328" s="21"/>
      <c r="T328" s="21"/>
      <c r="U328" s="21"/>
      <c r="V328" s="115" t="e">
        <f t="shared" si="76"/>
        <v>#DIV/0!</v>
      </c>
      <c r="W328" s="115" t="e">
        <f t="shared" si="77"/>
        <v>#DIV/0!</v>
      </c>
      <c r="X328" s="116" t="e">
        <f t="shared" si="78"/>
        <v>#DIV/0!</v>
      </c>
      <c r="Y328" s="7">
        <f>COUNTIF('Sample Setup'!$B$27:$AW$34,Calculations!A328)</f>
        <v>0</v>
      </c>
      <c r="AA328" s="6" t="s">
        <v>356</v>
      </c>
      <c r="AB328" s="117" t="str">
        <f>SigConcAvg(B328:U328,Report!B229)</f>
        <v xml:space="preserve"> </v>
      </c>
      <c r="AC328" s="113" t="str">
        <f>SigConcDev(B328:U328,Report!B229)</f>
        <v xml:space="preserve"> </v>
      </c>
      <c r="AD328" s="7" t="e">
        <f t="array" ref="AD328">SUM(IF(B328:U328&gt;HLOOKUP("Section "&amp;Report!$B229,$AL$76:$AN$83,8),0,IF(B328:U328&lt;HLOOKUP("Section "&amp;Report!$B229,$AL$76:$AN$83,7),0,1)))</f>
        <v>#N/A</v>
      </c>
      <c r="AE328" s="114" t="e">
        <f ca="1">IF(BioScale_Internal!$N$28,IF(COUNTIF(INDIRECT("'Sample Setup'!R27C"&amp;1+'Sample Setup'!$O$5,0):INDIRECT("'Sample Setup'!R34C"&amp;1+'Sample Setup'!$Q$5,0),AA328)&gt;0,1,IF(COUNTIF(INDIRECT("'Sample Setup'!R27C"&amp;1+'Sample Setup'!$O$6,0):INDIRECT("'Sample Setup'!R34C"&amp;1+'Sample Setup'!$Q$6,0),AA328)&gt;0,2,IF(COUNTIF(INDIRECT("'Sample Setup'!R27C"&amp;1+'Sample Setup'!$O$7,0):INDIRECT("'Sample Setup'!R34C"&amp;1+'Sample Setup'!$Q$7,0),AA328)&gt;0,3,NA()))),NA())</f>
        <v>#N/A</v>
      </c>
    </row>
    <row r="329" spans="1:31" hidden="1" x14ac:dyDescent="0.25">
      <c r="A329" s="6" t="s">
        <v>357</v>
      </c>
      <c r="B329" s="21"/>
      <c r="C329" s="21"/>
      <c r="D329" s="21"/>
      <c r="E329" s="21"/>
      <c r="F329" s="21"/>
      <c r="G329" s="21"/>
      <c r="H329" s="21"/>
      <c r="I329" s="21"/>
      <c r="J329" s="21"/>
      <c r="K329" s="21"/>
      <c r="L329" s="21"/>
      <c r="M329" s="21"/>
      <c r="N329" s="21"/>
      <c r="O329" s="21"/>
      <c r="P329" s="21"/>
      <c r="Q329" s="21"/>
      <c r="R329" s="21"/>
      <c r="S329" s="21"/>
      <c r="T329" s="21"/>
      <c r="U329" s="21"/>
      <c r="V329" s="115" t="e">
        <f t="shared" si="76"/>
        <v>#DIV/0!</v>
      </c>
      <c r="W329" s="115" t="e">
        <f t="shared" si="77"/>
        <v>#DIV/0!</v>
      </c>
      <c r="X329" s="116" t="e">
        <f t="shared" si="78"/>
        <v>#DIV/0!</v>
      </c>
      <c r="Y329" s="7">
        <f>COUNTIF('Sample Setup'!$B$27:$AW$34,Calculations!A329)</f>
        <v>0</v>
      </c>
      <c r="AA329" s="6" t="s">
        <v>357</v>
      </c>
      <c r="AB329" s="117" t="str">
        <f>SigConcAvg(B329:U329,Report!B230)</f>
        <v xml:space="preserve"> </v>
      </c>
      <c r="AC329" s="113" t="str">
        <f>SigConcDev(B329:U329,Report!B230)</f>
        <v xml:space="preserve"> </v>
      </c>
      <c r="AD329" s="7" t="e">
        <f t="array" ref="AD329">SUM(IF(B329:U329&gt;HLOOKUP("Section "&amp;Report!$B230,$AL$76:$AN$83,8),0,IF(B329:U329&lt;HLOOKUP("Section "&amp;Report!$B230,$AL$76:$AN$83,7),0,1)))</f>
        <v>#N/A</v>
      </c>
      <c r="AE329" s="114" t="e">
        <f ca="1">IF(BioScale_Internal!$N$28,IF(COUNTIF(INDIRECT("'Sample Setup'!R27C"&amp;1+'Sample Setup'!$O$5,0):INDIRECT("'Sample Setup'!R34C"&amp;1+'Sample Setup'!$Q$5,0),AA329)&gt;0,1,IF(COUNTIF(INDIRECT("'Sample Setup'!R27C"&amp;1+'Sample Setup'!$O$6,0):INDIRECT("'Sample Setup'!R34C"&amp;1+'Sample Setup'!$Q$6,0),AA329)&gt;0,2,IF(COUNTIF(INDIRECT("'Sample Setup'!R27C"&amp;1+'Sample Setup'!$O$7,0):INDIRECT("'Sample Setup'!R34C"&amp;1+'Sample Setup'!$Q$7,0),AA329)&gt;0,3,NA()))),NA())</f>
        <v>#N/A</v>
      </c>
    </row>
    <row r="330" spans="1:31" hidden="1" x14ac:dyDescent="0.25">
      <c r="A330" s="6" t="s">
        <v>358</v>
      </c>
      <c r="B330" s="21"/>
      <c r="C330" s="21"/>
      <c r="D330" s="21"/>
      <c r="E330" s="21"/>
      <c r="F330" s="21"/>
      <c r="G330" s="21"/>
      <c r="H330" s="21"/>
      <c r="I330" s="21"/>
      <c r="J330" s="21"/>
      <c r="K330" s="21"/>
      <c r="L330" s="21"/>
      <c r="M330" s="21"/>
      <c r="N330" s="21"/>
      <c r="O330" s="21"/>
      <c r="P330" s="21"/>
      <c r="Q330" s="21"/>
      <c r="R330" s="21"/>
      <c r="S330" s="21"/>
      <c r="T330" s="21"/>
      <c r="U330" s="21"/>
      <c r="V330" s="115" t="e">
        <f t="shared" si="76"/>
        <v>#DIV/0!</v>
      </c>
      <c r="W330" s="115" t="e">
        <f t="shared" si="77"/>
        <v>#DIV/0!</v>
      </c>
      <c r="X330" s="116" t="e">
        <f t="shared" si="78"/>
        <v>#DIV/0!</v>
      </c>
      <c r="Y330" s="7">
        <f>COUNTIF('Sample Setup'!$B$27:$AW$34,Calculations!A330)</f>
        <v>0</v>
      </c>
      <c r="AA330" s="6" t="s">
        <v>358</v>
      </c>
      <c r="AB330" s="117" t="str">
        <f>SigConcAvg(B330:U330,Report!B231)</f>
        <v xml:space="preserve"> </v>
      </c>
      <c r="AC330" s="113" t="str">
        <f>SigConcDev(B330:U330,Report!B231)</f>
        <v xml:space="preserve"> </v>
      </c>
      <c r="AD330" s="7" t="e">
        <f t="array" ref="AD330">SUM(IF(B330:U330&gt;HLOOKUP("Section "&amp;Report!$B231,$AL$76:$AN$83,8),0,IF(B330:U330&lt;HLOOKUP("Section "&amp;Report!$B231,$AL$76:$AN$83,7),0,1)))</f>
        <v>#N/A</v>
      </c>
      <c r="AE330" s="114" t="e">
        <f ca="1">IF(BioScale_Internal!$N$28,IF(COUNTIF(INDIRECT("'Sample Setup'!R27C"&amp;1+'Sample Setup'!$O$5,0):INDIRECT("'Sample Setup'!R34C"&amp;1+'Sample Setup'!$Q$5,0),AA330)&gt;0,1,IF(COUNTIF(INDIRECT("'Sample Setup'!R27C"&amp;1+'Sample Setup'!$O$6,0):INDIRECT("'Sample Setup'!R34C"&amp;1+'Sample Setup'!$Q$6,0),AA330)&gt;0,2,IF(COUNTIF(INDIRECT("'Sample Setup'!R27C"&amp;1+'Sample Setup'!$O$7,0):INDIRECT("'Sample Setup'!R34C"&amp;1+'Sample Setup'!$Q$7,0),AA330)&gt;0,3,NA()))),NA())</f>
        <v>#N/A</v>
      </c>
    </row>
    <row r="331" spans="1:31" hidden="1" x14ac:dyDescent="0.25">
      <c r="A331" s="6" t="s">
        <v>359</v>
      </c>
      <c r="B331" s="21"/>
      <c r="C331" s="21"/>
      <c r="D331" s="21"/>
      <c r="E331" s="21"/>
      <c r="F331" s="21"/>
      <c r="G331" s="21"/>
      <c r="H331" s="21"/>
      <c r="I331" s="21"/>
      <c r="J331" s="21"/>
      <c r="K331" s="21"/>
      <c r="L331" s="21"/>
      <c r="M331" s="21"/>
      <c r="N331" s="21"/>
      <c r="O331" s="21"/>
      <c r="P331" s="21"/>
      <c r="Q331" s="21"/>
      <c r="R331" s="21"/>
      <c r="S331" s="21"/>
      <c r="T331" s="21"/>
      <c r="U331" s="21"/>
      <c r="V331" s="115" t="e">
        <f t="shared" si="76"/>
        <v>#DIV/0!</v>
      </c>
      <c r="W331" s="115" t="e">
        <f t="shared" si="77"/>
        <v>#DIV/0!</v>
      </c>
      <c r="X331" s="116" t="e">
        <f t="shared" si="78"/>
        <v>#DIV/0!</v>
      </c>
      <c r="Y331" s="7">
        <f>COUNTIF('Sample Setup'!$B$27:$AW$34,Calculations!A331)</f>
        <v>0</v>
      </c>
      <c r="AA331" s="6" t="s">
        <v>359</v>
      </c>
      <c r="AB331" s="117" t="str">
        <f>SigConcAvg(B331:U331,Report!B232)</f>
        <v xml:space="preserve"> </v>
      </c>
      <c r="AC331" s="113" t="str">
        <f>SigConcDev(B331:U331,Report!B232)</f>
        <v xml:space="preserve"> </v>
      </c>
      <c r="AD331" s="7" t="e">
        <f t="array" ref="AD331">SUM(IF(B331:U331&gt;HLOOKUP("Section "&amp;Report!$B232,$AL$76:$AN$83,8),0,IF(B331:U331&lt;HLOOKUP("Section "&amp;Report!$B232,$AL$76:$AN$83,7),0,1)))</f>
        <v>#N/A</v>
      </c>
      <c r="AE331" s="114" t="e">
        <f ca="1">IF(BioScale_Internal!$N$28,IF(COUNTIF(INDIRECT("'Sample Setup'!R27C"&amp;1+'Sample Setup'!$O$5,0):INDIRECT("'Sample Setup'!R34C"&amp;1+'Sample Setup'!$Q$5,0),AA331)&gt;0,1,IF(COUNTIF(INDIRECT("'Sample Setup'!R27C"&amp;1+'Sample Setup'!$O$6,0):INDIRECT("'Sample Setup'!R34C"&amp;1+'Sample Setup'!$Q$6,0),AA331)&gt;0,2,IF(COUNTIF(INDIRECT("'Sample Setup'!R27C"&amp;1+'Sample Setup'!$O$7,0):INDIRECT("'Sample Setup'!R34C"&amp;1+'Sample Setup'!$Q$7,0),AA331)&gt;0,3,NA()))),NA())</f>
        <v>#N/A</v>
      </c>
    </row>
    <row r="332" spans="1:31" hidden="1" x14ac:dyDescent="0.25">
      <c r="A332" s="6" t="s">
        <v>360</v>
      </c>
      <c r="B332" s="21"/>
      <c r="C332" s="21"/>
      <c r="D332" s="21"/>
      <c r="E332" s="21"/>
      <c r="F332" s="21"/>
      <c r="G332" s="21"/>
      <c r="H332" s="21"/>
      <c r="I332" s="21"/>
      <c r="J332" s="21"/>
      <c r="K332" s="21"/>
      <c r="L332" s="21"/>
      <c r="M332" s="21"/>
      <c r="N332" s="21"/>
      <c r="O332" s="21"/>
      <c r="P332" s="21"/>
      <c r="Q332" s="21"/>
      <c r="R332" s="21"/>
      <c r="S332" s="21"/>
      <c r="T332" s="21"/>
      <c r="U332" s="21"/>
      <c r="V332" s="115" t="e">
        <f t="shared" si="76"/>
        <v>#DIV/0!</v>
      </c>
      <c r="W332" s="115" t="e">
        <f t="shared" si="77"/>
        <v>#DIV/0!</v>
      </c>
      <c r="X332" s="116" t="e">
        <f t="shared" si="78"/>
        <v>#DIV/0!</v>
      </c>
      <c r="Y332" s="7">
        <f>COUNTIF('Sample Setup'!$B$27:$AW$34,Calculations!A332)</f>
        <v>0</v>
      </c>
      <c r="AA332" s="6" t="s">
        <v>360</v>
      </c>
      <c r="AB332" s="117" t="str">
        <f>SigConcAvg(B332:U332,Report!B233)</f>
        <v xml:space="preserve"> </v>
      </c>
      <c r="AC332" s="113" t="str">
        <f>SigConcDev(B332:U332,Report!B233)</f>
        <v xml:space="preserve"> </v>
      </c>
      <c r="AD332" s="7" t="e">
        <f t="array" ref="AD332">SUM(IF(B332:U332&gt;HLOOKUP("Section "&amp;Report!$B233,$AL$76:$AN$83,8),0,IF(B332:U332&lt;HLOOKUP("Section "&amp;Report!$B233,$AL$76:$AN$83,7),0,1)))</f>
        <v>#N/A</v>
      </c>
      <c r="AE332" s="114" t="e">
        <f ca="1">IF(BioScale_Internal!$N$28,IF(COUNTIF(INDIRECT("'Sample Setup'!R27C"&amp;1+'Sample Setup'!$O$5,0):INDIRECT("'Sample Setup'!R34C"&amp;1+'Sample Setup'!$Q$5,0),AA332)&gt;0,1,IF(COUNTIF(INDIRECT("'Sample Setup'!R27C"&amp;1+'Sample Setup'!$O$6,0):INDIRECT("'Sample Setup'!R34C"&amp;1+'Sample Setup'!$Q$6,0),AA332)&gt;0,2,IF(COUNTIF(INDIRECT("'Sample Setup'!R27C"&amp;1+'Sample Setup'!$O$7,0):INDIRECT("'Sample Setup'!R34C"&amp;1+'Sample Setup'!$Q$7,0),AA332)&gt;0,3,NA()))),NA())</f>
        <v>#N/A</v>
      </c>
    </row>
    <row r="333" spans="1:31" hidden="1" x14ac:dyDescent="0.25">
      <c r="A333" s="6" t="s">
        <v>361</v>
      </c>
      <c r="B333" s="21"/>
      <c r="C333" s="21"/>
      <c r="D333" s="21"/>
      <c r="E333" s="21"/>
      <c r="F333" s="21"/>
      <c r="G333" s="21"/>
      <c r="H333" s="21"/>
      <c r="I333" s="21"/>
      <c r="J333" s="21"/>
      <c r="K333" s="21"/>
      <c r="L333" s="21"/>
      <c r="M333" s="21"/>
      <c r="N333" s="21"/>
      <c r="O333" s="21"/>
      <c r="P333" s="21"/>
      <c r="Q333" s="21"/>
      <c r="R333" s="21"/>
      <c r="S333" s="21"/>
      <c r="T333" s="21"/>
      <c r="U333" s="21"/>
      <c r="V333" s="115" t="e">
        <f t="shared" si="76"/>
        <v>#DIV/0!</v>
      </c>
      <c r="W333" s="115" t="e">
        <f t="shared" si="77"/>
        <v>#DIV/0!</v>
      </c>
      <c r="X333" s="116" t="e">
        <f t="shared" si="78"/>
        <v>#DIV/0!</v>
      </c>
      <c r="Y333" s="7">
        <f>COUNTIF('Sample Setup'!$B$27:$AW$34,Calculations!A333)</f>
        <v>0</v>
      </c>
      <c r="AA333" s="6" t="s">
        <v>361</v>
      </c>
      <c r="AB333" s="117" t="str">
        <f>SigConcAvg(B333:U333,Report!B234)</f>
        <v xml:space="preserve"> </v>
      </c>
      <c r="AC333" s="113" t="str">
        <f>SigConcDev(B333:U333,Report!B234)</f>
        <v xml:space="preserve"> </v>
      </c>
      <c r="AD333" s="7" t="e">
        <f t="array" ref="AD333">SUM(IF(B333:U333&gt;HLOOKUP("Section "&amp;Report!$B234,$AL$76:$AN$83,8),0,IF(B333:U333&lt;HLOOKUP("Section "&amp;Report!$B234,$AL$76:$AN$83,7),0,1)))</f>
        <v>#N/A</v>
      </c>
      <c r="AE333" s="114" t="e">
        <f ca="1">IF(BioScale_Internal!$N$28,IF(COUNTIF(INDIRECT("'Sample Setup'!R27C"&amp;1+'Sample Setup'!$O$5,0):INDIRECT("'Sample Setup'!R34C"&amp;1+'Sample Setup'!$Q$5,0),AA333)&gt;0,1,IF(COUNTIF(INDIRECT("'Sample Setup'!R27C"&amp;1+'Sample Setup'!$O$6,0):INDIRECT("'Sample Setup'!R34C"&amp;1+'Sample Setup'!$Q$6,0),AA333)&gt;0,2,IF(COUNTIF(INDIRECT("'Sample Setup'!R27C"&amp;1+'Sample Setup'!$O$7,0):INDIRECT("'Sample Setup'!R34C"&amp;1+'Sample Setup'!$Q$7,0),AA333)&gt;0,3,NA()))),NA())</f>
        <v>#N/A</v>
      </c>
    </row>
    <row r="334" spans="1:31" hidden="1" x14ac:dyDescent="0.25">
      <c r="A334" s="6" t="s">
        <v>362</v>
      </c>
      <c r="B334" s="21"/>
      <c r="C334" s="21"/>
      <c r="D334" s="21"/>
      <c r="E334" s="21"/>
      <c r="F334" s="21"/>
      <c r="G334" s="21"/>
      <c r="H334" s="21"/>
      <c r="I334" s="21"/>
      <c r="J334" s="21"/>
      <c r="K334" s="21"/>
      <c r="L334" s="21"/>
      <c r="M334" s="21"/>
      <c r="N334" s="21"/>
      <c r="O334" s="21"/>
      <c r="P334" s="21"/>
      <c r="Q334" s="21"/>
      <c r="R334" s="21"/>
      <c r="S334" s="21"/>
      <c r="T334" s="21"/>
      <c r="U334" s="21"/>
      <c r="V334" s="115" t="e">
        <f t="shared" si="76"/>
        <v>#DIV/0!</v>
      </c>
      <c r="W334" s="115" t="e">
        <f t="shared" si="77"/>
        <v>#DIV/0!</v>
      </c>
      <c r="X334" s="116" t="e">
        <f t="shared" si="78"/>
        <v>#DIV/0!</v>
      </c>
      <c r="Y334" s="7">
        <f>COUNTIF('Sample Setup'!$B$27:$AW$34,Calculations!A334)</f>
        <v>0</v>
      </c>
      <c r="AA334" s="6" t="s">
        <v>362</v>
      </c>
      <c r="AB334" s="117" t="str">
        <f>SigConcAvg(B334:U334,Report!B235)</f>
        <v xml:space="preserve"> </v>
      </c>
      <c r="AC334" s="113" t="str">
        <f>SigConcDev(B334:U334,Report!B235)</f>
        <v xml:space="preserve"> </v>
      </c>
      <c r="AD334" s="7" t="e">
        <f t="array" ref="AD334">SUM(IF(B334:U334&gt;HLOOKUP("Section "&amp;Report!$B235,$AL$76:$AN$83,8),0,IF(B334:U334&lt;HLOOKUP("Section "&amp;Report!$B235,$AL$76:$AN$83,7),0,1)))</f>
        <v>#N/A</v>
      </c>
      <c r="AE334" s="114" t="e">
        <f ca="1">IF(BioScale_Internal!$N$28,IF(COUNTIF(INDIRECT("'Sample Setup'!R27C"&amp;1+'Sample Setup'!$O$5,0):INDIRECT("'Sample Setup'!R34C"&amp;1+'Sample Setup'!$Q$5,0),AA334)&gt;0,1,IF(COUNTIF(INDIRECT("'Sample Setup'!R27C"&amp;1+'Sample Setup'!$O$6,0):INDIRECT("'Sample Setup'!R34C"&amp;1+'Sample Setup'!$Q$6,0),AA334)&gt;0,2,IF(COUNTIF(INDIRECT("'Sample Setup'!R27C"&amp;1+'Sample Setup'!$O$7,0):INDIRECT("'Sample Setup'!R34C"&amp;1+'Sample Setup'!$Q$7,0),AA334)&gt;0,3,NA()))),NA())</f>
        <v>#N/A</v>
      </c>
    </row>
    <row r="335" spans="1:31" hidden="1" x14ac:dyDescent="0.25">
      <c r="A335" s="6" t="s">
        <v>363</v>
      </c>
      <c r="B335" s="21"/>
      <c r="C335" s="21"/>
      <c r="D335" s="21"/>
      <c r="E335" s="21"/>
      <c r="F335" s="21"/>
      <c r="G335" s="21"/>
      <c r="H335" s="21"/>
      <c r="I335" s="21"/>
      <c r="J335" s="21"/>
      <c r="K335" s="21"/>
      <c r="L335" s="21"/>
      <c r="M335" s="21"/>
      <c r="N335" s="21"/>
      <c r="O335" s="21"/>
      <c r="P335" s="21"/>
      <c r="Q335" s="21"/>
      <c r="R335" s="21"/>
      <c r="S335" s="21"/>
      <c r="T335" s="21"/>
      <c r="U335" s="21"/>
      <c r="V335" s="115" t="e">
        <f t="shared" si="76"/>
        <v>#DIV/0!</v>
      </c>
      <c r="W335" s="115" t="e">
        <f t="shared" si="77"/>
        <v>#DIV/0!</v>
      </c>
      <c r="X335" s="116" t="e">
        <f t="shared" si="78"/>
        <v>#DIV/0!</v>
      </c>
      <c r="Y335" s="7">
        <f>COUNTIF('Sample Setup'!$B$27:$AW$34,Calculations!A335)</f>
        <v>0</v>
      </c>
      <c r="AA335" s="6" t="s">
        <v>363</v>
      </c>
      <c r="AB335" s="117" t="str">
        <f>SigConcAvg(B335:U335,Report!B236)</f>
        <v xml:space="preserve"> </v>
      </c>
      <c r="AC335" s="113" t="str">
        <f>SigConcDev(B335:U335,Report!B236)</f>
        <v xml:space="preserve"> </v>
      </c>
      <c r="AD335" s="7" t="e">
        <f t="array" ref="AD335">SUM(IF(B335:U335&gt;HLOOKUP("Section "&amp;Report!$B236,$AL$76:$AN$83,8),0,IF(B335:U335&lt;HLOOKUP("Section "&amp;Report!$B236,$AL$76:$AN$83,7),0,1)))</f>
        <v>#N/A</v>
      </c>
      <c r="AE335" s="114" t="e">
        <f ca="1">IF(BioScale_Internal!$N$28,IF(COUNTIF(INDIRECT("'Sample Setup'!R27C"&amp;1+'Sample Setup'!$O$5,0):INDIRECT("'Sample Setup'!R34C"&amp;1+'Sample Setup'!$Q$5,0),AA335)&gt;0,1,IF(COUNTIF(INDIRECT("'Sample Setup'!R27C"&amp;1+'Sample Setup'!$O$6,0):INDIRECT("'Sample Setup'!R34C"&amp;1+'Sample Setup'!$Q$6,0),AA335)&gt;0,2,IF(COUNTIF(INDIRECT("'Sample Setup'!R27C"&amp;1+'Sample Setup'!$O$7,0):INDIRECT("'Sample Setup'!R34C"&amp;1+'Sample Setup'!$Q$7,0),AA335)&gt;0,3,NA()))),NA())</f>
        <v>#N/A</v>
      </c>
    </row>
    <row r="336" spans="1:31" hidden="1" x14ac:dyDescent="0.25">
      <c r="A336" s="6" t="s">
        <v>364</v>
      </c>
      <c r="B336" s="21"/>
      <c r="C336" s="21"/>
      <c r="D336" s="21"/>
      <c r="E336" s="21"/>
      <c r="F336" s="21"/>
      <c r="G336" s="21"/>
      <c r="H336" s="21"/>
      <c r="I336" s="21"/>
      <c r="J336" s="21"/>
      <c r="K336" s="21"/>
      <c r="L336" s="21"/>
      <c r="M336" s="21"/>
      <c r="N336" s="21"/>
      <c r="O336" s="21"/>
      <c r="P336" s="21"/>
      <c r="Q336" s="21"/>
      <c r="R336" s="21"/>
      <c r="S336" s="21"/>
      <c r="T336" s="21"/>
      <c r="U336" s="21"/>
      <c r="V336" s="115" t="e">
        <f t="shared" si="76"/>
        <v>#DIV/0!</v>
      </c>
      <c r="W336" s="115" t="e">
        <f t="shared" si="77"/>
        <v>#DIV/0!</v>
      </c>
      <c r="X336" s="116" t="e">
        <f t="shared" si="78"/>
        <v>#DIV/0!</v>
      </c>
      <c r="Y336" s="7">
        <f>COUNTIF('Sample Setup'!$B$27:$AW$34,Calculations!A336)</f>
        <v>0</v>
      </c>
      <c r="AA336" s="6" t="s">
        <v>364</v>
      </c>
      <c r="AB336" s="117" t="str">
        <f>SigConcAvg(B336:U336,Report!B237)</f>
        <v xml:space="preserve"> </v>
      </c>
      <c r="AC336" s="113" t="str">
        <f>SigConcDev(B336:U336,Report!B237)</f>
        <v xml:space="preserve"> </v>
      </c>
      <c r="AD336" s="7" t="e">
        <f t="array" ref="AD336">SUM(IF(B336:U336&gt;HLOOKUP("Section "&amp;Report!$B237,$AL$76:$AN$83,8),0,IF(B336:U336&lt;HLOOKUP("Section "&amp;Report!$B237,$AL$76:$AN$83,7),0,1)))</f>
        <v>#N/A</v>
      </c>
      <c r="AE336" s="114" t="e">
        <f ca="1">IF(BioScale_Internal!$N$28,IF(COUNTIF(INDIRECT("'Sample Setup'!R27C"&amp;1+'Sample Setup'!$O$5,0):INDIRECT("'Sample Setup'!R34C"&amp;1+'Sample Setup'!$Q$5,0),AA336)&gt;0,1,IF(COUNTIF(INDIRECT("'Sample Setup'!R27C"&amp;1+'Sample Setup'!$O$6,0):INDIRECT("'Sample Setup'!R34C"&amp;1+'Sample Setup'!$Q$6,0),AA336)&gt;0,2,IF(COUNTIF(INDIRECT("'Sample Setup'!R27C"&amp;1+'Sample Setup'!$O$7,0):INDIRECT("'Sample Setup'!R34C"&amp;1+'Sample Setup'!$Q$7,0),AA336)&gt;0,3,NA()))),NA())</f>
        <v>#N/A</v>
      </c>
    </row>
    <row r="337" spans="1:31" hidden="1" x14ac:dyDescent="0.25">
      <c r="A337" s="6" t="s">
        <v>365</v>
      </c>
      <c r="B337" s="21"/>
      <c r="C337" s="21"/>
      <c r="D337" s="21"/>
      <c r="E337" s="21"/>
      <c r="F337" s="21"/>
      <c r="G337" s="21"/>
      <c r="H337" s="21"/>
      <c r="I337" s="21"/>
      <c r="J337" s="21"/>
      <c r="K337" s="21"/>
      <c r="L337" s="21"/>
      <c r="M337" s="21"/>
      <c r="N337" s="21"/>
      <c r="O337" s="21"/>
      <c r="P337" s="21"/>
      <c r="Q337" s="21"/>
      <c r="R337" s="21"/>
      <c r="S337" s="21"/>
      <c r="T337" s="21"/>
      <c r="U337" s="21"/>
      <c r="V337" s="115" t="e">
        <f t="shared" si="76"/>
        <v>#DIV/0!</v>
      </c>
      <c r="W337" s="115" t="e">
        <f t="shared" si="77"/>
        <v>#DIV/0!</v>
      </c>
      <c r="X337" s="116" t="e">
        <f t="shared" si="78"/>
        <v>#DIV/0!</v>
      </c>
      <c r="Y337" s="7">
        <f>COUNTIF('Sample Setup'!$B$27:$AW$34,Calculations!A337)</f>
        <v>0</v>
      </c>
      <c r="AA337" s="6" t="s">
        <v>365</v>
      </c>
      <c r="AB337" s="117" t="str">
        <f>SigConcAvg(B337:U337,Report!B238)</f>
        <v xml:space="preserve"> </v>
      </c>
      <c r="AC337" s="113" t="str">
        <f>SigConcDev(B337:U337,Report!B238)</f>
        <v xml:space="preserve"> </v>
      </c>
      <c r="AD337" s="7" t="e">
        <f t="array" ref="AD337">SUM(IF(B337:U337&gt;HLOOKUP("Section "&amp;Report!$B238,$AL$76:$AN$83,8),0,IF(B337:U337&lt;HLOOKUP("Section "&amp;Report!$B238,$AL$76:$AN$83,7),0,1)))</f>
        <v>#N/A</v>
      </c>
      <c r="AE337" s="114" t="e">
        <f ca="1">IF(BioScale_Internal!$N$28,IF(COUNTIF(INDIRECT("'Sample Setup'!R27C"&amp;1+'Sample Setup'!$O$5,0):INDIRECT("'Sample Setup'!R34C"&amp;1+'Sample Setup'!$Q$5,0),AA337)&gt;0,1,IF(COUNTIF(INDIRECT("'Sample Setup'!R27C"&amp;1+'Sample Setup'!$O$6,0):INDIRECT("'Sample Setup'!R34C"&amp;1+'Sample Setup'!$Q$6,0),AA337)&gt;0,2,IF(COUNTIF(INDIRECT("'Sample Setup'!R27C"&amp;1+'Sample Setup'!$O$7,0):INDIRECT("'Sample Setup'!R34C"&amp;1+'Sample Setup'!$Q$7,0),AA337)&gt;0,3,NA()))),NA())</f>
        <v>#N/A</v>
      </c>
    </row>
    <row r="338" spans="1:31" hidden="1" x14ac:dyDescent="0.25">
      <c r="A338" s="6" t="s">
        <v>366</v>
      </c>
      <c r="B338" s="21"/>
      <c r="C338" s="21"/>
      <c r="D338" s="21"/>
      <c r="E338" s="21"/>
      <c r="F338" s="21"/>
      <c r="G338" s="21"/>
      <c r="H338" s="21"/>
      <c r="I338" s="21"/>
      <c r="J338" s="21"/>
      <c r="K338" s="21"/>
      <c r="L338" s="21"/>
      <c r="M338" s="21"/>
      <c r="N338" s="21"/>
      <c r="O338" s="21"/>
      <c r="P338" s="21"/>
      <c r="Q338" s="21"/>
      <c r="R338" s="21"/>
      <c r="S338" s="21"/>
      <c r="T338" s="21"/>
      <c r="U338" s="21"/>
      <c r="V338" s="115" t="e">
        <f t="shared" si="76"/>
        <v>#DIV/0!</v>
      </c>
      <c r="W338" s="115" t="e">
        <f t="shared" si="77"/>
        <v>#DIV/0!</v>
      </c>
      <c r="X338" s="116" t="e">
        <f t="shared" si="78"/>
        <v>#DIV/0!</v>
      </c>
      <c r="Y338" s="7">
        <f>COUNTIF('Sample Setup'!$B$27:$AW$34,Calculations!A338)</f>
        <v>0</v>
      </c>
      <c r="AA338" s="6" t="s">
        <v>366</v>
      </c>
      <c r="AB338" s="117" t="str">
        <f>SigConcAvg(B338:U338,Report!B239)</f>
        <v xml:space="preserve"> </v>
      </c>
      <c r="AC338" s="113" t="str">
        <f>SigConcDev(B338:U338,Report!B239)</f>
        <v xml:space="preserve"> </v>
      </c>
      <c r="AD338" s="7" t="e">
        <f t="array" ref="AD338">SUM(IF(B338:U338&gt;HLOOKUP("Section "&amp;Report!$B239,$AL$76:$AN$83,8),0,IF(B338:U338&lt;HLOOKUP("Section "&amp;Report!$B239,$AL$76:$AN$83,7),0,1)))</f>
        <v>#N/A</v>
      </c>
      <c r="AE338" s="114" t="e">
        <f ca="1">IF(BioScale_Internal!$N$28,IF(COUNTIF(INDIRECT("'Sample Setup'!R27C"&amp;1+'Sample Setup'!$O$5,0):INDIRECT("'Sample Setup'!R34C"&amp;1+'Sample Setup'!$Q$5,0),AA338)&gt;0,1,IF(COUNTIF(INDIRECT("'Sample Setup'!R27C"&amp;1+'Sample Setup'!$O$6,0):INDIRECT("'Sample Setup'!R34C"&amp;1+'Sample Setup'!$Q$6,0),AA338)&gt;0,2,IF(COUNTIF(INDIRECT("'Sample Setup'!R27C"&amp;1+'Sample Setup'!$O$7,0):INDIRECT("'Sample Setup'!R34C"&amp;1+'Sample Setup'!$Q$7,0),AA338)&gt;0,3,NA()))),NA())</f>
        <v>#N/A</v>
      </c>
    </row>
    <row r="339" spans="1:31" hidden="1" x14ac:dyDescent="0.25">
      <c r="A339" s="6" t="s">
        <v>367</v>
      </c>
      <c r="B339" s="21"/>
      <c r="C339" s="21"/>
      <c r="D339" s="21"/>
      <c r="E339" s="21"/>
      <c r="F339" s="21"/>
      <c r="G339" s="21"/>
      <c r="H339" s="21"/>
      <c r="I339" s="21"/>
      <c r="J339" s="21"/>
      <c r="K339" s="21"/>
      <c r="L339" s="21"/>
      <c r="M339" s="21"/>
      <c r="N339" s="21"/>
      <c r="O339" s="21"/>
      <c r="P339" s="21"/>
      <c r="Q339" s="21"/>
      <c r="R339" s="21"/>
      <c r="S339" s="21"/>
      <c r="T339" s="21"/>
      <c r="U339" s="21"/>
      <c r="V339" s="115" t="e">
        <f t="shared" si="76"/>
        <v>#DIV/0!</v>
      </c>
      <c r="W339" s="115" t="e">
        <f t="shared" si="77"/>
        <v>#DIV/0!</v>
      </c>
      <c r="X339" s="116" t="e">
        <f t="shared" si="78"/>
        <v>#DIV/0!</v>
      </c>
      <c r="Y339" s="7">
        <f>COUNTIF('Sample Setup'!$B$27:$AW$34,Calculations!A339)</f>
        <v>0</v>
      </c>
      <c r="AA339" s="6" t="s">
        <v>367</v>
      </c>
      <c r="AB339" s="117" t="str">
        <f>SigConcAvg(B339:U339,Report!B240)</f>
        <v xml:space="preserve"> </v>
      </c>
      <c r="AC339" s="113" t="str">
        <f>SigConcDev(B339:U339,Report!B240)</f>
        <v xml:space="preserve"> </v>
      </c>
      <c r="AD339" s="7" t="e">
        <f t="array" ref="AD339">SUM(IF(B339:U339&gt;HLOOKUP("Section "&amp;Report!$B240,$AL$76:$AN$83,8),0,IF(B339:U339&lt;HLOOKUP("Section "&amp;Report!$B240,$AL$76:$AN$83,7),0,1)))</f>
        <v>#N/A</v>
      </c>
      <c r="AE339" s="114" t="e">
        <f ca="1">IF(BioScale_Internal!$N$28,IF(COUNTIF(INDIRECT("'Sample Setup'!R27C"&amp;1+'Sample Setup'!$O$5,0):INDIRECT("'Sample Setup'!R34C"&amp;1+'Sample Setup'!$Q$5,0),AA339)&gt;0,1,IF(COUNTIF(INDIRECT("'Sample Setup'!R27C"&amp;1+'Sample Setup'!$O$6,0):INDIRECT("'Sample Setup'!R34C"&amp;1+'Sample Setup'!$Q$6,0),AA339)&gt;0,2,IF(COUNTIF(INDIRECT("'Sample Setup'!R27C"&amp;1+'Sample Setup'!$O$7,0):INDIRECT("'Sample Setup'!R34C"&amp;1+'Sample Setup'!$Q$7,0),AA339)&gt;0,3,NA()))),NA())</f>
        <v>#N/A</v>
      </c>
    </row>
    <row r="340" spans="1:31" hidden="1" x14ac:dyDescent="0.25"/>
    <row r="341" spans="1:31" hidden="1" x14ac:dyDescent="0.25">
      <c r="A341" s="737" t="s">
        <v>226</v>
      </c>
      <c r="B341" s="737"/>
      <c r="C341" s="737"/>
      <c r="D341" s="737"/>
      <c r="E341" s="737"/>
      <c r="F341" s="737"/>
      <c r="G341" s="737"/>
      <c r="H341" s="737"/>
      <c r="I341" s="737"/>
      <c r="J341" s="737"/>
      <c r="K341" s="737"/>
      <c r="L341" s="737"/>
      <c r="M341" s="737"/>
      <c r="N341" s="737"/>
      <c r="O341" s="737"/>
      <c r="P341" s="737"/>
      <c r="Q341" s="737"/>
      <c r="R341" s="737"/>
      <c r="S341" s="737"/>
      <c r="T341" s="737"/>
      <c r="U341" s="737"/>
      <c r="V341" s="737"/>
      <c r="W341" s="737"/>
      <c r="X341" s="737"/>
      <c r="Y341" s="737"/>
    </row>
    <row r="342" spans="1:31" hidden="1" x14ac:dyDescent="0.25">
      <c r="A342" s="20" t="s">
        <v>42</v>
      </c>
      <c r="B342" s="24" t="s">
        <v>55</v>
      </c>
      <c r="C342" s="24" t="s">
        <v>56</v>
      </c>
      <c r="D342" s="24" t="s">
        <v>57</v>
      </c>
      <c r="E342" s="24" t="s">
        <v>58</v>
      </c>
      <c r="F342" s="24" t="s">
        <v>59</v>
      </c>
      <c r="G342" s="24" t="s">
        <v>60</v>
      </c>
      <c r="H342" s="24" t="s">
        <v>61</v>
      </c>
      <c r="I342" s="24" t="s">
        <v>62</v>
      </c>
      <c r="J342" s="24" t="s">
        <v>63</v>
      </c>
      <c r="K342" s="24" t="s">
        <v>73</v>
      </c>
      <c r="L342" s="24" t="s">
        <v>74</v>
      </c>
      <c r="M342" s="24" t="s">
        <v>75</v>
      </c>
      <c r="N342" s="24" t="s">
        <v>76</v>
      </c>
      <c r="O342" s="24" t="s">
        <v>77</v>
      </c>
      <c r="P342" s="24" t="s">
        <v>78</v>
      </c>
      <c r="Q342" s="24" t="s">
        <v>79</v>
      </c>
      <c r="R342" s="24" t="s">
        <v>80</v>
      </c>
      <c r="S342" s="24" t="s">
        <v>81</v>
      </c>
      <c r="T342" s="24" t="s">
        <v>82</v>
      </c>
      <c r="U342" s="24" t="s">
        <v>83</v>
      </c>
      <c r="V342" s="3" t="s">
        <v>38</v>
      </c>
      <c r="W342" s="3" t="s">
        <v>20</v>
      </c>
      <c r="X342" s="3" t="s">
        <v>39</v>
      </c>
      <c r="Y342" s="4" t="s">
        <v>193</v>
      </c>
    </row>
    <row r="343" spans="1:31" hidden="1" x14ac:dyDescent="0.25">
      <c r="A343" s="6" t="s">
        <v>371</v>
      </c>
      <c r="B343" s="167">
        <v>1.2E-2</v>
      </c>
      <c r="C343" s="167">
        <v>1.2E-2</v>
      </c>
      <c r="D343" s="167">
        <v>1.4E-2</v>
      </c>
      <c r="E343" s="167">
        <v>1.2E-2</v>
      </c>
      <c r="F343" s="34"/>
      <c r="G343" s="34"/>
      <c r="H343" s="34"/>
      <c r="I343" s="34"/>
      <c r="J343" s="34"/>
      <c r="K343" s="34"/>
      <c r="L343" s="34"/>
      <c r="M343" s="34"/>
      <c r="N343" s="34"/>
      <c r="O343" s="34"/>
      <c r="P343" s="34"/>
      <c r="Q343" s="34"/>
      <c r="R343" s="34"/>
      <c r="S343" s="34"/>
      <c r="T343" s="34"/>
      <c r="U343" s="34"/>
      <c r="V343" s="68">
        <f>AVERAGE(B343:R343)</f>
        <v>1.2500000000000001E-2</v>
      </c>
      <c r="W343" s="11">
        <f>STDEV(B343:R343)</f>
        <v>1E-3</v>
      </c>
      <c r="X343" s="10">
        <f>W343/V343</f>
        <v>0.08</v>
      </c>
      <c r="Y343" s="4">
        <f ca="1">COUNTIF(INDIRECT("'Sample Setup'!R27C"&amp;1+'Sample Setup'!$O$5,0):INDIRECT("'Sample Setup'!R34C"&amp;1+'Sample Setup'!$Q$5,0),"NEG")</f>
        <v>4</v>
      </c>
    </row>
    <row r="344" spans="1:31" hidden="1" x14ac:dyDescent="0.25">
      <c r="A344" s="6" t="s">
        <v>372</v>
      </c>
      <c r="B344" s="167"/>
      <c r="C344" s="167"/>
      <c r="D344" s="34"/>
      <c r="E344" s="34"/>
      <c r="F344" s="34"/>
      <c r="G344" s="34"/>
      <c r="H344" s="34"/>
      <c r="I344" s="34"/>
      <c r="J344" s="34"/>
      <c r="K344" s="34"/>
      <c r="L344" s="34"/>
      <c r="M344" s="34"/>
      <c r="N344" s="34"/>
      <c r="O344" s="34"/>
      <c r="P344" s="34"/>
      <c r="Q344" s="34"/>
      <c r="R344" s="34"/>
      <c r="S344" s="34"/>
      <c r="T344" s="34"/>
      <c r="U344" s="34"/>
      <c r="V344" s="68" t="e">
        <f>AVERAGE(B344:R344)</f>
        <v>#DIV/0!</v>
      </c>
      <c r="W344" s="11" t="e">
        <f>STDEV(B344:R344)</f>
        <v>#DIV/0!</v>
      </c>
      <c r="X344" s="10" t="e">
        <f>W344/V344</f>
        <v>#DIV/0!</v>
      </c>
      <c r="Y344" s="4">
        <f ca="1">COUNTIF(INDIRECT("'Sample Setup'!R27C"&amp;1+'Sample Setup'!$O$6,0):INDIRECT("'Sample Setup'!R34C"&amp;1+'Sample Setup'!$Q$6,0),"NEG")</f>
        <v>0</v>
      </c>
    </row>
    <row r="345" spans="1:31" hidden="1" x14ac:dyDescent="0.25">
      <c r="A345" s="6" t="s">
        <v>373</v>
      </c>
      <c r="B345" s="34"/>
      <c r="C345" s="34"/>
      <c r="D345" s="34"/>
      <c r="E345" s="34"/>
      <c r="F345" s="34"/>
      <c r="G345" s="34"/>
      <c r="H345" s="34"/>
      <c r="I345" s="34"/>
      <c r="J345" s="34"/>
      <c r="K345" s="34"/>
      <c r="L345" s="34"/>
      <c r="M345" s="34"/>
      <c r="N345" s="34"/>
      <c r="O345" s="34"/>
      <c r="P345" s="34"/>
      <c r="Q345" s="34"/>
      <c r="R345" s="34"/>
      <c r="S345" s="34"/>
      <c r="T345" s="34"/>
      <c r="U345" s="34"/>
      <c r="V345" s="68" t="e">
        <f>AVERAGE(B345:R345)</f>
        <v>#DIV/0!</v>
      </c>
      <c r="W345" s="11" t="e">
        <f>STDEV(B345:R345)</f>
        <v>#DIV/0!</v>
      </c>
      <c r="X345" s="10" t="e">
        <f>W345/V345</f>
        <v>#DIV/0!</v>
      </c>
      <c r="Y345" s="4">
        <f ca="1">COUNTIF(INDIRECT("'Sample Setup'!R27C"&amp;1+'Sample Setup'!$O$7,0):INDIRECT("'Sample Setup'!R34C"&amp;1+'Sample Setup'!$Q$7,0),"NEG")</f>
        <v>0</v>
      </c>
    </row>
    <row r="346" spans="1:31" hidden="1" x14ac:dyDescent="0.25"/>
    <row r="347" spans="1:31" hidden="1" x14ac:dyDescent="0.25"/>
    <row r="349" spans="1:31" x14ac:dyDescent="0.25">
      <c r="R349" s="112"/>
    </row>
    <row r="351" spans="1:31" x14ac:dyDescent="0.25">
      <c r="R351" s="112"/>
    </row>
  </sheetData>
  <mergeCells count="126">
    <mergeCell ref="AI78:AK78"/>
    <mergeCell ref="AI79:AK79"/>
    <mergeCell ref="A1:AK1"/>
    <mergeCell ref="A111:B111"/>
    <mergeCell ref="A115:B115"/>
    <mergeCell ref="T115:U115"/>
    <mergeCell ref="A341:Y341"/>
    <mergeCell ref="A126:AK126"/>
    <mergeCell ref="A116:B116"/>
    <mergeCell ref="A110:B110"/>
    <mergeCell ref="A138:Y138"/>
    <mergeCell ref="A12:AK12"/>
    <mergeCell ref="A114:B114"/>
    <mergeCell ref="A113:B113"/>
    <mergeCell ref="A112:B112"/>
    <mergeCell ref="T113:U113"/>
    <mergeCell ref="AI80:AK80"/>
    <mergeCell ref="AI81:AK81"/>
    <mergeCell ref="F111:G111"/>
    <mergeCell ref="F112:G112"/>
    <mergeCell ref="O112:P112"/>
    <mergeCell ref="AC113:AD113"/>
    <mergeCell ref="AI61:AN61"/>
    <mergeCell ref="AI62:AL62"/>
    <mergeCell ref="AI68:AL68"/>
    <mergeCell ref="A42:M42"/>
    <mergeCell ref="O42:AA42"/>
    <mergeCell ref="F110:G110"/>
    <mergeCell ref="H110:K110"/>
    <mergeCell ref="P61:Y61"/>
    <mergeCell ref="A91:L91"/>
    <mergeCell ref="O91:Z91"/>
    <mergeCell ref="AC42:AO42"/>
    <mergeCell ref="AI63:AL63"/>
    <mergeCell ref="AI64:AL64"/>
    <mergeCell ref="AI65:AL65"/>
    <mergeCell ref="AI66:AL66"/>
    <mergeCell ref="AJ110:AM110"/>
    <mergeCell ref="AI69:AL69"/>
    <mergeCell ref="AI70:AL70"/>
    <mergeCell ref="AI71:AL71"/>
    <mergeCell ref="AI82:AK82"/>
    <mergeCell ref="AI67:AL67"/>
    <mergeCell ref="AC91:AN91"/>
    <mergeCell ref="AI83:AK83"/>
    <mergeCell ref="AI72:AL72"/>
    <mergeCell ref="AI73:AL73"/>
    <mergeCell ref="AI75:AN75"/>
    <mergeCell ref="AI76:AK76"/>
    <mergeCell ref="AI77:AK77"/>
    <mergeCell ref="A124:B124"/>
    <mergeCell ref="AA61:AG61"/>
    <mergeCell ref="H117:K117"/>
    <mergeCell ref="AH115:AI115"/>
    <mergeCell ref="AH117:AI117"/>
    <mergeCell ref="T110:U110"/>
    <mergeCell ref="V110:Y110"/>
    <mergeCell ref="T111:U111"/>
    <mergeCell ref="T112:U112"/>
    <mergeCell ref="O113:P113"/>
    <mergeCell ref="O114:P114"/>
    <mergeCell ref="T117:U117"/>
    <mergeCell ref="A118:C118"/>
    <mergeCell ref="F114:G114"/>
    <mergeCell ref="AH111:AI111"/>
    <mergeCell ref="AH112:AI112"/>
    <mergeCell ref="AC111:AD111"/>
    <mergeCell ref="AC112:AD112"/>
    <mergeCell ref="AH118:AI118"/>
    <mergeCell ref="T114:U114"/>
    <mergeCell ref="F115:G115"/>
    <mergeCell ref="A122:B122"/>
    <mergeCell ref="A119:B119"/>
    <mergeCell ref="V117:Y117"/>
    <mergeCell ref="O115:P115"/>
    <mergeCell ref="O116:P116"/>
    <mergeCell ref="F123:G123"/>
    <mergeCell ref="F117:G117"/>
    <mergeCell ref="T123:U123"/>
    <mergeCell ref="AC118:AE118"/>
    <mergeCell ref="A123:B123"/>
    <mergeCell ref="A120:B120"/>
    <mergeCell ref="A121:B121"/>
    <mergeCell ref="AC119:AD119"/>
    <mergeCell ref="F120:G120"/>
    <mergeCell ref="F121:G121"/>
    <mergeCell ref="F124:G124"/>
    <mergeCell ref="O110:P110"/>
    <mergeCell ref="O111:P111"/>
    <mergeCell ref="O118:Q118"/>
    <mergeCell ref="O122:P122"/>
    <mergeCell ref="F118:G118"/>
    <mergeCell ref="O123:P123"/>
    <mergeCell ref="F122:G122"/>
    <mergeCell ref="O124:P124"/>
    <mergeCell ref="F113:G113"/>
    <mergeCell ref="F119:G119"/>
    <mergeCell ref="T124:U124"/>
    <mergeCell ref="T118:U118"/>
    <mergeCell ref="O119:P119"/>
    <mergeCell ref="T119:U119"/>
    <mergeCell ref="O120:P120"/>
    <mergeCell ref="T120:U120"/>
    <mergeCell ref="O121:P121"/>
    <mergeCell ref="T121:U121"/>
    <mergeCell ref="AH119:AI119"/>
    <mergeCell ref="AC120:AD120"/>
    <mergeCell ref="AH120:AI120"/>
    <mergeCell ref="T122:U122"/>
    <mergeCell ref="AJ117:AM117"/>
    <mergeCell ref="AH110:AI110"/>
    <mergeCell ref="AC116:AD116"/>
    <mergeCell ref="AC110:AD110"/>
    <mergeCell ref="AH113:AI113"/>
    <mergeCell ref="AH114:AI114"/>
    <mergeCell ref="AA138:AE138"/>
    <mergeCell ref="AC124:AD124"/>
    <mergeCell ref="AH124:AI124"/>
    <mergeCell ref="AC121:AD121"/>
    <mergeCell ref="AH121:AI121"/>
    <mergeCell ref="AC122:AD122"/>
    <mergeCell ref="AH122:AI122"/>
    <mergeCell ref="AC123:AD123"/>
    <mergeCell ref="AH123:AI123"/>
    <mergeCell ref="AC114:AD114"/>
    <mergeCell ref="AC115:AD115"/>
  </mergeCells>
  <phoneticPr fontId="5" type="noConversion"/>
  <conditionalFormatting sqref="B129:AK137 AL129:AW136">
    <cfRule type="expression" dxfId="171" priority="1" stopIfTrue="1">
      <formula>NOT(ISERROR(SEARCH("High",B129)))</formula>
    </cfRule>
    <cfRule type="expression" dxfId="170" priority="2" stopIfTrue="1">
      <formula>NOT(ISERROR(SEARCH("Low",B129)))</formula>
    </cfRule>
  </conditionalFormatting>
  <pageMargins left="0.7" right="0.7"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8"/>
  <sheetViews>
    <sheetView topLeftCell="A20" zoomScale="80" zoomScaleNormal="80" workbookViewId="0">
      <selection activeCell="AH55" sqref="AH55"/>
    </sheetView>
  </sheetViews>
  <sheetFormatPr defaultRowHeight="15" x14ac:dyDescent="0.25"/>
  <cols>
    <col min="1" max="10" width="9.7109375" customWidth="1"/>
    <col min="11" max="11" width="2.7109375" customWidth="1"/>
    <col min="12" max="21" width="9.7109375" customWidth="1"/>
    <col min="22" max="22" width="2.5703125" customWidth="1"/>
    <col min="23" max="32" width="9.7109375" customWidth="1"/>
  </cols>
  <sheetData>
    <row r="1" spans="1:32" s="1" customFormat="1" ht="15.75" hidden="1" x14ac:dyDescent="0.25">
      <c r="A1" s="760" t="s">
        <v>586</v>
      </c>
      <c r="B1" s="760"/>
      <c r="C1" s="760"/>
      <c r="D1" s="760"/>
      <c r="E1" s="760"/>
      <c r="F1" s="760"/>
      <c r="G1" s="760"/>
      <c r="H1" s="760"/>
      <c r="I1" s="760"/>
      <c r="J1" s="760"/>
      <c r="K1" s="5"/>
      <c r="L1" s="760" t="s">
        <v>587</v>
      </c>
      <c r="M1" s="760"/>
      <c r="N1" s="760"/>
      <c r="O1" s="760"/>
      <c r="P1" s="760"/>
      <c r="Q1" s="760"/>
      <c r="R1" s="760"/>
      <c r="S1" s="760"/>
      <c r="T1" s="760"/>
      <c r="U1" s="760"/>
      <c r="V1" s="5"/>
      <c r="W1" s="760" t="s">
        <v>588</v>
      </c>
      <c r="X1" s="760"/>
      <c r="Y1" s="760"/>
      <c r="Z1" s="760"/>
      <c r="AA1" s="760"/>
      <c r="AB1" s="760"/>
      <c r="AC1" s="760"/>
      <c r="AD1" s="760"/>
      <c r="AE1" s="760"/>
      <c r="AF1" s="760"/>
    </row>
    <row r="2" spans="1:32" s="1" customFormat="1" hidden="1" x14ac:dyDescent="0.25">
      <c r="A2" s="13" t="s">
        <v>387</v>
      </c>
      <c r="B2" s="13" t="s">
        <v>388</v>
      </c>
      <c r="C2" s="13" t="s">
        <v>389</v>
      </c>
      <c r="D2" s="13" t="s">
        <v>569</v>
      </c>
      <c r="E2" s="13" t="s">
        <v>570</v>
      </c>
      <c r="F2" s="13" t="s">
        <v>571</v>
      </c>
      <c r="G2" s="13" t="s">
        <v>572</v>
      </c>
      <c r="H2" s="13" t="s">
        <v>573</v>
      </c>
      <c r="I2" s="13" t="s">
        <v>574</v>
      </c>
      <c r="J2" s="13" t="s">
        <v>575</v>
      </c>
      <c r="K2" s="5"/>
      <c r="L2" s="13" t="s">
        <v>387</v>
      </c>
      <c r="M2" s="13" t="s">
        <v>388</v>
      </c>
      <c r="N2" s="13" t="s">
        <v>389</v>
      </c>
      <c r="O2" s="13" t="s">
        <v>569</v>
      </c>
      <c r="P2" s="13" t="s">
        <v>570</v>
      </c>
      <c r="Q2" s="13" t="s">
        <v>571</v>
      </c>
      <c r="R2" s="13" t="s">
        <v>572</v>
      </c>
      <c r="S2" s="13" t="s">
        <v>573</v>
      </c>
      <c r="T2" s="13" t="s">
        <v>574</v>
      </c>
      <c r="U2" s="13" t="s">
        <v>575</v>
      </c>
      <c r="V2" s="5"/>
      <c r="W2" s="13" t="s">
        <v>387</v>
      </c>
      <c r="X2" s="13" t="s">
        <v>388</v>
      </c>
      <c r="Y2" s="13" t="s">
        <v>389</v>
      </c>
      <c r="Z2" s="13" t="s">
        <v>569</v>
      </c>
      <c r="AA2" s="13" t="s">
        <v>570</v>
      </c>
      <c r="AB2" s="13" t="s">
        <v>571</v>
      </c>
      <c r="AC2" s="13" t="s">
        <v>572</v>
      </c>
      <c r="AD2" s="13" t="s">
        <v>573</v>
      </c>
      <c r="AE2" s="13" t="s">
        <v>574</v>
      </c>
      <c r="AF2" s="13" t="s">
        <v>575</v>
      </c>
    </row>
    <row r="3" spans="1:32" s="1" customFormat="1" hidden="1" x14ac:dyDescent="0.25">
      <c r="A3" s="147">
        <f>IF(ISERROR(SigConcNL(Calculations!B44,BioScale_Internal!J42)/Calculations!$Q63),"",SigConcNL(Calculations!B44,BioScale_Internal!J42)/Calculations!$Q63)</f>
        <v>0.96471885857114814</v>
      </c>
      <c r="B3" s="126">
        <f>IF(ISERROR(SigConcNL(Calculations!C44,BioScale_Internal!J42)/Calculations!$Q63),"",SigConcNL(Calculations!C44,BioScale_Internal!J42)/Calculations!$Q63)</f>
        <v>1.0285880668544911</v>
      </c>
      <c r="C3" s="126">
        <f>IF(ISERROR(SigConcNL(Calculations!D44,BioScale_Internal!J42)/Calculations!$Q63),"",SigConcNL(Calculations!D44,BioScale_Internal!J42)/Calculations!$Q63)</f>
        <v>0.87201757856902706</v>
      </c>
      <c r="D3" s="126">
        <f>IF(ISERROR(SigConcNL(Calculations!E44,BioScale_Internal!J42)/Calculations!$Q63),"",SigConcNL(Calculations!E44,BioScale_Internal!J42)/Calculations!$Q63)</f>
        <v>1.0061064529054262</v>
      </c>
      <c r="E3" s="126" t="str">
        <f>IF(ISERROR(SigConcNL(Calculations!F44,BioScale_Internal!J42)/Calculations!$Q63),"",SigConcNL(Calculations!F44,BioScale_Internal!J42)/Calculations!$Q63)</f>
        <v/>
      </c>
      <c r="F3" s="126" t="str">
        <f>IF(ISERROR(SigConcNL(Calculations!G44,BioScale_Internal!J42)/Calculations!$Q63),"",SigConcNL(Calculations!G44,BioScale_Internal!J42)/Calculations!$Q63)</f>
        <v/>
      </c>
      <c r="G3" s="126" t="str">
        <f>IF(ISERROR(SigConcNL(Calculations!H44,BioScale_Internal!J42)/Calculations!$Q63),"",SigConcNL(Calculations!H44,BioScale_Internal!J42)/Calculations!$Q63)</f>
        <v/>
      </c>
      <c r="H3" s="126" t="str">
        <f>IF(ISERROR(SigConcNL(Calculations!I44,BioScale_Internal!J42)/Calculations!$Q63),"",SigConcNL(Calculations!I44,BioScale_Internal!J42)/Calculations!$Q63)</f>
        <v/>
      </c>
      <c r="I3" s="126" t="str">
        <f>IF(ISERROR(SigConcNL(Calculations!J44,BioScale_Internal!J42)/Calculations!$Q63),"",SigConcNL(Calculations!J44,BioScale_Internal!J42)/Calculations!$Q63)</f>
        <v/>
      </c>
      <c r="J3" s="148" t="str">
        <f>IF(ISERROR(SigConcNL(Calculations!K44,BioScale_Internal!J42)/Calculations!$Q63),"",SigConcNL(Calculations!K44,BioScale_Internal!J42)/Calculations!$Q63)</f>
        <v/>
      </c>
      <c r="L3" s="147" t="str">
        <f>IF(ISERROR(SigConcNL(Calculations!P44,BioScale_Internal!J43)/Calculations!$T63),"",SigConcNL(Calculations!P44,BioScale_Internal!J43)/Calculations!$T63)</f>
        <v/>
      </c>
      <c r="M3" s="126" t="str">
        <f>IF(ISERROR(SigConcNL(Calculations!Q44,BioScale_Internal!J43)/Calculations!$T63),"",SigConcNL(Calculations!Q44,BioScale_Internal!J43)/Calculations!$T63)</f>
        <v/>
      </c>
      <c r="N3" s="126" t="str">
        <f>IF(ISERROR(SigConcNL(Calculations!R44,BioScale_Internal!J43)/Calculations!$T63),"",SigConcNL(Calculations!R44,BioScale_Internal!J43)/Calculations!$T63)</f>
        <v/>
      </c>
      <c r="O3" s="126" t="str">
        <f>IF(ISERROR(SigConcNL(Calculations!S44,BioScale_Internal!J43)/Calculations!$T63),"",SigConcNL(Calculations!S44,BioScale_Internal!J43)/Calculations!$T63)</f>
        <v/>
      </c>
      <c r="P3" s="126" t="str">
        <f>IF(ISERROR(SigConcNL(Calculations!T44,BioScale_Internal!J43)/Calculations!$T63),"",SigConcNL(Calculations!T44,BioScale_Internal!J43)/Calculations!$T63)</f>
        <v/>
      </c>
      <c r="Q3" s="126" t="str">
        <f>IF(ISERROR(SigConcNL(Calculations!U44,BioScale_Internal!J43)/Calculations!$T63),"",SigConcNL(Calculations!U44,BioScale_Internal!J43)/Calculations!$T63)</f>
        <v/>
      </c>
      <c r="R3" s="126" t="str">
        <f>IF(ISERROR(SigConcNL(Calculations!V44,BioScale_Internal!J43)/Calculations!$T63),"",SigConcNL(Calculations!V44,BioScale_Internal!J43)/Calculations!$T63)</f>
        <v/>
      </c>
      <c r="S3" s="126" t="str">
        <f>IF(ISERROR(SigConcNL(Calculations!W44,BioScale_Internal!J43)/Calculations!$T63),"",SigConcNL(Calculations!W44,BioScale_Internal!J43)/Calculations!$T63)</f>
        <v/>
      </c>
      <c r="T3" s="126" t="str">
        <f>IF(ISERROR(SigConcNL(Calculations!X44,BioScale_Internal!J43)/Calculations!$T63),"",SigConcNL(Calculations!X44,BioScale_Internal!J43)/Calculations!$T63)</f>
        <v/>
      </c>
      <c r="U3" s="148" t="str">
        <f>IF(ISERROR(SigConcNL(Calculations!Y44,BioScale_Internal!J43)/Calculations!$T63),"",SigConcNL(Calculations!Y44,BioScale_Internal!J43)/Calculations!$T63)</f>
        <v/>
      </c>
      <c r="W3" s="147" t="str">
        <f>IF(ISERROR(SigConcNL(Calculations!AD44,BioScale_Internal!J44)/Calculations!$W63),"",SigConcNL(Calculations!AD44,BioScale_Internal!J44)/Calculations!$W63)</f>
        <v/>
      </c>
      <c r="X3" s="126" t="str">
        <f>IF(ISERROR(SigConcNL(Calculations!AE44,BioScale_Internal!J44)/Calculations!$W63),"",SigConcNL(Calculations!AE44,BioScale_Internal!J44)/Calculations!$W63)</f>
        <v/>
      </c>
      <c r="Y3" s="126" t="str">
        <f>IF(ISERROR(SigConcNL(Calculations!AF44,BioScale_Internal!J44)/Calculations!$W63),"",SigConcNL(Calculations!AF44,BioScale_Internal!J44)/Calculations!$W63)</f>
        <v/>
      </c>
      <c r="Z3" s="126" t="str">
        <f>IF(ISERROR(SigConcNL(Calculations!AG44,BioScale_Internal!J44)/Calculations!$W63),"",SigConcNL(Calculations!AG44,BioScale_Internal!J44)/Calculations!$W63)</f>
        <v/>
      </c>
      <c r="AA3" s="126" t="str">
        <f>IF(ISERROR(SigConcNL(Calculations!AH44,BioScale_Internal!J44)/Calculations!$W63),"",SigConcNL(Calculations!AH44,BioScale_Internal!J44)/Calculations!$W63)</f>
        <v/>
      </c>
      <c r="AB3" s="126" t="str">
        <f>IF(ISERROR(SigConcNL(Calculations!AI44,BioScale_Internal!J44)/Calculations!$W63),"",SigConcNL(Calculations!AI44,BioScale_Internal!J44)/Calculations!$W63)</f>
        <v/>
      </c>
      <c r="AC3" s="126" t="str">
        <f>IF(ISERROR(SigConcNL(Calculations!AJ44,BioScale_Internal!J44)/Calculations!$W63),"",SigConcNL(Calculations!AJ44,BioScale_Internal!J44)/Calculations!$W63)</f>
        <v/>
      </c>
      <c r="AD3" s="126" t="str">
        <f>IF(ISERROR(SigConcNL(Calculations!AK44,BioScale_Internal!J44)/Calculations!$W63),"",SigConcNL(Calculations!AK44,BioScale_Internal!J44)/Calculations!$W63)</f>
        <v/>
      </c>
      <c r="AE3" s="126" t="str">
        <f>IF(ISERROR(SigConcNL(Calculations!AL44,BioScale_Internal!J44)/Calculations!$W63),"",SigConcNL(Calculations!AL44,BioScale_Internal!J44)/Calculations!$W63)</f>
        <v/>
      </c>
      <c r="AF3" s="148" t="str">
        <f>IF(ISERROR(SigConcNL(Calculations!AM44,BioScale_Internal!J44)/Calculations!$W63),"",SigConcNL(Calculations!AM44,BioScale_Internal!J44)/Calculations!$W63)</f>
        <v/>
      </c>
    </row>
    <row r="4" spans="1:32" s="1" customFormat="1" hidden="1" x14ac:dyDescent="0.25">
      <c r="A4" s="147">
        <f>IF(ISERROR(SigConcNL(Calculations!B45,BioScale_Internal!J42)/Calculations!$Q64),"",SigConcNL(Calculations!B45,BioScale_Internal!J42)/Calculations!$Q64)</f>
        <v>1.0364709653657453</v>
      </c>
      <c r="B4" s="126">
        <f>IF(ISERROR(SigConcNL(Calculations!C45,BioScale_Internal!J42)/Calculations!$Q64),"",SigConcNL(Calculations!C45,BioScale_Internal!J42)/Calculations!$Q64)</f>
        <v>0.9999947346057606</v>
      </c>
      <c r="C4" s="126">
        <f>IF(ISERROR(SigConcNL(Calculations!D45,BioScale_Internal!J42)/Calculations!$Q64),"",SigConcNL(Calculations!D45,BioScale_Internal!J42)/Calculations!$Q64)</f>
        <v>1.0412679604725004</v>
      </c>
      <c r="D4" s="126">
        <f>IF(ISERROR(SigConcNL(Calculations!E45,BioScale_Internal!J42)/Calculations!$Q64),"",SigConcNL(Calculations!E45,BioScale_Internal!J42)/Calculations!$Q64)</f>
        <v>0.97300436963441506</v>
      </c>
      <c r="E4" s="126" t="str">
        <f>IF(ISERROR(SigConcNL(Calculations!F45,BioScale_Internal!J42)/Calculations!$Q64),"",SigConcNL(Calculations!F45,BioScale_Internal!J42)/Calculations!$Q64)</f>
        <v/>
      </c>
      <c r="F4" s="126" t="str">
        <f>IF(ISERROR(SigConcNL(Calculations!G45,BioScale_Internal!J42)/Calculations!$Q64),"",SigConcNL(Calculations!G45,BioScale_Internal!J42)/Calculations!$Q64)</f>
        <v/>
      </c>
      <c r="G4" s="126" t="str">
        <f>IF(ISERROR(SigConcNL(Calculations!H45,BioScale_Internal!J42)/Calculations!$Q64),"",SigConcNL(Calculations!H45,BioScale_Internal!J42)/Calculations!$Q64)</f>
        <v/>
      </c>
      <c r="H4" s="126" t="str">
        <f>IF(ISERROR(SigConcNL(Calculations!I45,BioScale_Internal!J42)/Calculations!$Q64),"",SigConcNL(Calculations!I45,BioScale_Internal!J42)/Calculations!$Q64)</f>
        <v/>
      </c>
      <c r="I4" s="126" t="str">
        <f>IF(ISERROR(SigConcNL(Calculations!J45,BioScale_Internal!J42)/Calculations!$Q64),"",SigConcNL(Calculations!J45,BioScale_Internal!J42)/Calculations!$Q64)</f>
        <v/>
      </c>
      <c r="J4" s="148" t="str">
        <f>IF(ISERROR(SigConcNL(Calculations!K45,BioScale_Internal!J42)/Calculations!$Q64),"",SigConcNL(Calculations!K45,BioScale_Internal!J42)/Calculations!$Q64)</f>
        <v/>
      </c>
      <c r="L4" s="147" t="str">
        <f>IF(ISERROR(SigConcNL(Calculations!P45,BioScale_Internal!J43)/Calculations!$T64),"",SigConcNL(Calculations!P45,BioScale_Internal!J43)/Calculations!$T64)</f>
        <v/>
      </c>
      <c r="M4" s="126" t="str">
        <f>IF(ISERROR(SigConcNL(Calculations!Q45,BioScale_Internal!J43)/Calculations!$T64),"",SigConcNL(Calculations!Q45,BioScale_Internal!J43)/Calculations!$T64)</f>
        <v/>
      </c>
      <c r="N4" s="126" t="str">
        <f>IF(ISERROR(SigConcNL(Calculations!R45,BioScale_Internal!J43)/Calculations!$T64),"",SigConcNL(Calculations!R45,BioScale_Internal!J43)/Calculations!$T64)</f>
        <v/>
      </c>
      <c r="O4" s="126" t="str">
        <f>IF(ISERROR(SigConcNL(Calculations!S45,BioScale_Internal!J43)/Calculations!$T64),"",SigConcNL(Calculations!S45,BioScale_Internal!J43)/Calculations!$T64)</f>
        <v/>
      </c>
      <c r="P4" s="126" t="str">
        <f>IF(ISERROR(SigConcNL(Calculations!T45,BioScale_Internal!J43)/Calculations!$T64),"",SigConcNL(Calculations!T45,BioScale_Internal!J43)/Calculations!$T64)</f>
        <v/>
      </c>
      <c r="Q4" s="126" t="str">
        <f>IF(ISERROR(SigConcNL(Calculations!U45,BioScale_Internal!J43)/Calculations!$T64),"",SigConcNL(Calculations!U45,BioScale_Internal!J43)/Calculations!$T64)</f>
        <v/>
      </c>
      <c r="R4" s="126" t="str">
        <f>IF(ISERROR(SigConcNL(Calculations!V45,BioScale_Internal!J43)/Calculations!$T64),"",SigConcNL(Calculations!V45,BioScale_Internal!J43)/Calculations!$T64)</f>
        <v/>
      </c>
      <c r="S4" s="126" t="str">
        <f>IF(ISERROR(SigConcNL(Calculations!W45,BioScale_Internal!J43)/Calculations!$T64),"",SigConcNL(Calculations!W45,BioScale_Internal!J43)/Calculations!$T64)</f>
        <v/>
      </c>
      <c r="T4" s="126" t="str">
        <f>IF(ISERROR(SigConcNL(Calculations!X45,BioScale_Internal!J43)/Calculations!$T64),"",SigConcNL(Calculations!X45,BioScale_Internal!J43)/Calculations!$T64)</f>
        <v/>
      </c>
      <c r="U4" s="148" t="str">
        <f>IF(ISERROR(SigConcNL(Calculations!Y45,BioScale_Internal!J43)/Calculations!$T64),"",SigConcNL(Calculations!Y45,BioScale_Internal!J43)/Calculations!$T64)</f>
        <v/>
      </c>
      <c r="W4" s="147" t="str">
        <f>IF(ISERROR(SigConcNL(Calculations!AD45,BioScale_Internal!J44)/Calculations!$W64),"",SigConcNL(Calculations!AD45,BioScale_Internal!J44)/Calculations!$W64)</f>
        <v/>
      </c>
      <c r="X4" s="126" t="str">
        <f>IF(ISERROR(SigConcNL(Calculations!AE45,BioScale_Internal!J44)/Calculations!$W64),"",SigConcNL(Calculations!AE45,BioScale_Internal!J44)/Calculations!$W64)</f>
        <v/>
      </c>
      <c r="Y4" s="126" t="str">
        <f>IF(ISERROR(SigConcNL(Calculations!AF45,BioScale_Internal!J44)/Calculations!$W64),"",SigConcNL(Calculations!AF45,BioScale_Internal!J44)/Calculations!$W64)</f>
        <v/>
      </c>
      <c r="Z4" s="126" t="str">
        <f>IF(ISERROR(SigConcNL(Calculations!AG45,BioScale_Internal!J44)/Calculations!$W64),"",SigConcNL(Calculations!AG45,BioScale_Internal!J44)/Calculations!$W64)</f>
        <v/>
      </c>
      <c r="AA4" s="126" t="str">
        <f>IF(ISERROR(SigConcNL(Calculations!AH45,BioScale_Internal!J44)/Calculations!$W64),"",SigConcNL(Calculations!AH45,BioScale_Internal!J44)/Calculations!$W64)</f>
        <v/>
      </c>
      <c r="AB4" s="126" t="str">
        <f>IF(ISERROR(SigConcNL(Calculations!AI45,BioScale_Internal!J44)/Calculations!$W64),"",SigConcNL(Calculations!AI45,BioScale_Internal!J44)/Calculations!$W64)</f>
        <v/>
      </c>
      <c r="AC4" s="126" t="str">
        <f>IF(ISERROR(SigConcNL(Calculations!AJ45,BioScale_Internal!J44)/Calculations!$W64),"",SigConcNL(Calculations!AJ45,BioScale_Internal!J44)/Calculations!$W64)</f>
        <v/>
      </c>
      <c r="AD4" s="126" t="str">
        <f>IF(ISERROR(SigConcNL(Calculations!AK45,BioScale_Internal!J44)/Calculations!$W64),"",SigConcNL(Calculations!AK45,BioScale_Internal!J44)/Calculations!$W64)</f>
        <v/>
      </c>
      <c r="AE4" s="126" t="str">
        <f>IF(ISERROR(SigConcNL(Calculations!AL45,BioScale_Internal!J44)/Calculations!$W64),"",SigConcNL(Calculations!AL45,BioScale_Internal!J44)/Calculations!$W64)</f>
        <v/>
      </c>
      <c r="AF4" s="148" t="str">
        <f>IF(ISERROR(SigConcNL(Calculations!AM45,BioScale_Internal!J44)/Calculations!$W64),"",SigConcNL(Calculations!AM45,BioScale_Internal!J44)/Calculations!$W64)</f>
        <v/>
      </c>
    </row>
    <row r="5" spans="1:32" s="1" customFormat="1" hidden="1" x14ac:dyDescent="0.25">
      <c r="A5" s="147">
        <f>IF(ISERROR(SigConcNL(Calculations!B46,BioScale_Internal!J42)/Calculations!$Q65),"",SigConcNL(Calculations!B46,BioScale_Internal!J42)/Calculations!$Q65)</f>
        <v>0.95096289087257024</v>
      </c>
      <c r="B5" s="126">
        <f>IF(ISERROR(SigConcNL(Calculations!C46,BioScale_Internal!J42)/Calculations!$Q65),"",SigConcNL(Calculations!C46,BioScale_Internal!J42)/Calculations!$Q65)</f>
        <v>0.98734653868915201</v>
      </c>
      <c r="C5" s="126">
        <f>IF(ISERROR(SigConcNL(Calculations!D46,BioScale_Internal!J42)/Calculations!$Q65),"",SigConcNL(Calculations!D46,BioScale_Internal!J42)/Calculations!$Q65)</f>
        <v>1.0000012030162095</v>
      </c>
      <c r="D5" s="126">
        <f>IF(ISERROR(SigConcNL(Calculations!E46,BioScale_Internal!J42)/Calculations!$Q65),"",SigConcNL(Calculations!E46,BioScale_Internal!J42)/Calculations!$Q65)</f>
        <v>0.96073350313000727</v>
      </c>
      <c r="E5" s="126" t="str">
        <f>IF(ISERROR(SigConcNL(Calculations!F46,BioScale_Internal!J42)/Calculations!$Q65),"",SigConcNL(Calculations!F46,BioScale_Internal!J42)/Calculations!$Q65)</f>
        <v/>
      </c>
      <c r="F5" s="126" t="str">
        <f>IF(ISERROR(SigConcNL(Calculations!G46,BioScale_Internal!J42)/Calculations!$Q65),"",SigConcNL(Calculations!G46,BioScale_Internal!J42)/Calculations!$Q65)</f>
        <v/>
      </c>
      <c r="G5" s="126" t="str">
        <f>IF(ISERROR(SigConcNL(Calculations!H46,BioScale_Internal!J42)/Calculations!$Q65),"",SigConcNL(Calculations!H46,BioScale_Internal!J42)/Calculations!$Q65)</f>
        <v/>
      </c>
      <c r="H5" s="126" t="str">
        <f>IF(ISERROR(SigConcNL(Calculations!I46,BioScale_Internal!J42)/Calculations!$Q65),"",SigConcNL(Calculations!I46,BioScale_Internal!J42)/Calculations!$Q65)</f>
        <v/>
      </c>
      <c r="I5" s="126" t="str">
        <f>IF(ISERROR(SigConcNL(Calculations!J46,BioScale_Internal!J42)/Calculations!$Q65),"",SigConcNL(Calculations!J46,BioScale_Internal!J42)/Calculations!$Q65)</f>
        <v/>
      </c>
      <c r="J5" s="148" t="str">
        <f>IF(ISERROR(SigConcNL(Calculations!K46,BioScale_Internal!J42)/Calculations!$Q65),"",SigConcNL(Calculations!K46,BioScale_Internal!J42)/Calculations!$Q65)</f>
        <v/>
      </c>
      <c r="L5" s="147" t="str">
        <f>IF(ISERROR(SigConcNL(Calculations!P46,BioScale_Internal!J43)/Calculations!$T65),"",SigConcNL(Calculations!P46,BioScale_Internal!J43)/Calculations!$T65)</f>
        <v/>
      </c>
      <c r="M5" s="126" t="str">
        <f>IF(ISERROR(SigConcNL(Calculations!Q46,BioScale_Internal!J43)/Calculations!$T65),"",SigConcNL(Calculations!Q46,BioScale_Internal!J43)/Calculations!$T65)</f>
        <v/>
      </c>
      <c r="N5" s="126" t="str">
        <f>IF(ISERROR(SigConcNL(Calculations!R46,BioScale_Internal!J43)/Calculations!$T65),"",SigConcNL(Calculations!R46,BioScale_Internal!J43)/Calculations!$T65)</f>
        <v/>
      </c>
      <c r="O5" s="126" t="str">
        <f>IF(ISERROR(SigConcNL(Calculations!S46,BioScale_Internal!J43)/Calculations!$T65),"",SigConcNL(Calculations!S46,BioScale_Internal!J43)/Calculations!$T65)</f>
        <v/>
      </c>
      <c r="P5" s="126" t="str">
        <f>IF(ISERROR(SigConcNL(Calculations!T46,BioScale_Internal!J43)/Calculations!$T65),"",SigConcNL(Calculations!T46,BioScale_Internal!J43)/Calculations!$T65)</f>
        <v/>
      </c>
      <c r="Q5" s="126" t="str">
        <f>IF(ISERROR(SigConcNL(Calculations!U46,BioScale_Internal!J43)/Calculations!$T65),"",SigConcNL(Calculations!U46,BioScale_Internal!J43)/Calculations!$T65)</f>
        <v/>
      </c>
      <c r="R5" s="126" t="str">
        <f>IF(ISERROR(SigConcNL(Calculations!V46,BioScale_Internal!J43)/Calculations!$T65),"",SigConcNL(Calculations!V46,BioScale_Internal!J43)/Calculations!$T65)</f>
        <v/>
      </c>
      <c r="S5" s="126" t="str">
        <f>IF(ISERROR(SigConcNL(Calculations!W46,BioScale_Internal!J43)/Calculations!$T65),"",SigConcNL(Calculations!W46,BioScale_Internal!J43)/Calculations!$T65)</f>
        <v/>
      </c>
      <c r="T5" s="126" t="str">
        <f>IF(ISERROR(SigConcNL(Calculations!X46,BioScale_Internal!J43)/Calculations!$T65),"",SigConcNL(Calculations!X46,BioScale_Internal!J43)/Calculations!$T65)</f>
        <v/>
      </c>
      <c r="U5" s="148" t="str">
        <f>IF(ISERROR(SigConcNL(Calculations!Y46,BioScale_Internal!J43)/Calculations!$T65),"",SigConcNL(Calculations!Y46,BioScale_Internal!J43)/Calculations!$T65)</f>
        <v/>
      </c>
      <c r="W5" s="147" t="str">
        <f>IF(ISERROR(SigConcNL(Calculations!AD46,BioScale_Internal!J44)/Calculations!$W65),"",SigConcNL(Calculations!AD46,BioScale_Internal!J44)/Calculations!$W65)</f>
        <v/>
      </c>
      <c r="X5" s="126" t="str">
        <f>IF(ISERROR(SigConcNL(Calculations!AE46,BioScale_Internal!J44)/Calculations!$W65),"",SigConcNL(Calculations!AE46,BioScale_Internal!J44)/Calculations!$W65)</f>
        <v/>
      </c>
      <c r="Y5" s="126" t="str">
        <f>IF(ISERROR(SigConcNL(Calculations!AF46,BioScale_Internal!J44)/Calculations!$W65),"",SigConcNL(Calculations!AF46,BioScale_Internal!J44)/Calculations!$W65)</f>
        <v/>
      </c>
      <c r="Z5" s="126" t="str">
        <f>IF(ISERROR(SigConcNL(Calculations!AG46,BioScale_Internal!J44)/Calculations!$W65),"",SigConcNL(Calculations!AG46,BioScale_Internal!J44)/Calculations!$W65)</f>
        <v/>
      </c>
      <c r="AA5" s="126" t="str">
        <f>IF(ISERROR(SigConcNL(Calculations!AH46,BioScale_Internal!J44)/Calculations!$W65),"",SigConcNL(Calculations!AH46,BioScale_Internal!J44)/Calculations!$W65)</f>
        <v/>
      </c>
      <c r="AB5" s="126" t="str">
        <f>IF(ISERROR(SigConcNL(Calculations!AI46,BioScale_Internal!J44)/Calculations!$W65),"",SigConcNL(Calculations!AI46,BioScale_Internal!J44)/Calculations!$W65)</f>
        <v/>
      </c>
      <c r="AC5" s="126" t="str">
        <f>IF(ISERROR(SigConcNL(Calculations!AJ46,BioScale_Internal!J44)/Calculations!$W65),"",SigConcNL(Calculations!AJ46,BioScale_Internal!J44)/Calculations!$W65)</f>
        <v/>
      </c>
      <c r="AD5" s="126" t="str">
        <f>IF(ISERROR(SigConcNL(Calculations!AK46,BioScale_Internal!J44)/Calculations!$W65),"",SigConcNL(Calculations!AK46,BioScale_Internal!J44)/Calculations!$W65)</f>
        <v/>
      </c>
      <c r="AE5" s="126" t="str">
        <f>IF(ISERROR(SigConcNL(Calculations!AL46,BioScale_Internal!J44)/Calculations!$W65),"",SigConcNL(Calculations!AL46,BioScale_Internal!J44)/Calculations!$W65)</f>
        <v/>
      </c>
      <c r="AF5" s="148" t="str">
        <f>IF(ISERROR(SigConcNL(Calculations!AM46,BioScale_Internal!J44)/Calculations!$W65),"",SigConcNL(Calculations!AM46,BioScale_Internal!J44)/Calculations!$W65)</f>
        <v/>
      </c>
    </row>
    <row r="6" spans="1:32" s="1" customFormat="1" hidden="1" x14ac:dyDescent="0.25">
      <c r="A6" s="147">
        <f>IF(ISERROR(SigConcNL(Calculations!B47,BioScale_Internal!J42)/Calculations!$Q66),"",SigConcNL(Calculations!B47,BioScale_Internal!J42)/Calculations!$Q66)</f>
        <v>0.97891164888038029</v>
      </c>
      <c r="B6" s="126">
        <f>IF(ISERROR(SigConcNL(Calculations!C47,BioScale_Internal!J42)/Calculations!$Q66),"",SigConcNL(Calculations!C47,BioScale_Internal!J42)/Calculations!$Q66)</f>
        <v>1.0491654190688344</v>
      </c>
      <c r="C6" s="126">
        <f>IF(ISERROR(SigConcNL(Calculations!D47,BioScale_Internal!J42)/Calculations!$Q66),"",SigConcNL(Calculations!D47,BioScale_Internal!J42)/Calculations!$Q66)</f>
        <v>1.0374539149838413</v>
      </c>
      <c r="D6" s="126">
        <f>IF(ISERROR(SigConcNL(Calculations!E47,BioScale_Internal!J42)/Calculations!$Q66),"",SigConcNL(Calculations!E47,BioScale_Internal!J42)/Calculations!$Q66)</f>
        <v>1.0452614564881029</v>
      </c>
      <c r="E6" s="126" t="str">
        <f>IF(ISERROR(SigConcNL(Calculations!F47,BioScale_Internal!J42)/Calculations!$Q66),"",SigConcNL(Calculations!F47,BioScale_Internal!J42)/Calculations!$Q66)</f>
        <v/>
      </c>
      <c r="F6" s="126" t="str">
        <f>IF(ISERROR(SigConcNL(Calculations!G47,BioScale_Internal!J42)/Calculations!$Q66),"",SigConcNL(Calculations!G47,BioScale_Internal!J42)/Calculations!$Q66)</f>
        <v/>
      </c>
      <c r="G6" s="126" t="str">
        <f>IF(ISERROR(SigConcNL(Calculations!H47,BioScale_Internal!J42)/Calculations!$Q66),"",SigConcNL(Calculations!H47,BioScale_Internal!J42)/Calculations!$Q66)</f>
        <v/>
      </c>
      <c r="H6" s="126" t="str">
        <f>IF(ISERROR(SigConcNL(Calculations!I47,BioScale_Internal!J42)/Calculations!$Q66),"",SigConcNL(Calculations!I47,BioScale_Internal!J42)/Calculations!$Q66)</f>
        <v/>
      </c>
      <c r="I6" s="126" t="str">
        <f>IF(ISERROR(SigConcNL(Calculations!J47,BioScale_Internal!J42)/Calculations!$Q66),"",SigConcNL(Calculations!J47,BioScale_Internal!J42)/Calculations!$Q66)</f>
        <v/>
      </c>
      <c r="J6" s="148" t="str">
        <f>IF(ISERROR(SigConcNL(Calculations!K47,BioScale_Internal!J42)/Calculations!$Q66),"",SigConcNL(Calculations!K47,BioScale_Internal!J42)/Calculations!$Q66)</f>
        <v/>
      </c>
      <c r="L6" s="147" t="str">
        <f>IF(ISERROR(SigConcNL(Calculations!P47,BioScale_Internal!J43)/Calculations!$T66),"",SigConcNL(Calculations!P47,BioScale_Internal!J43)/Calculations!$T66)</f>
        <v/>
      </c>
      <c r="M6" s="126" t="str">
        <f>IF(ISERROR(SigConcNL(Calculations!Q47,BioScale_Internal!J43)/Calculations!$T66),"",SigConcNL(Calculations!Q47,BioScale_Internal!J43)/Calculations!$T66)</f>
        <v/>
      </c>
      <c r="N6" s="126" t="str">
        <f>IF(ISERROR(SigConcNL(Calculations!R47,BioScale_Internal!J43)/Calculations!$T66),"",SigConcNL(Calculations!R47,BioScale_Internal!J43)/Calculations!$T66)</f>
        <v/>
      </c>
      <c r="O6" s="126" t="str">
        <f>IF(ISERROR(SigConcNL(Calculations!S47,BioScale_Internal!J43)/Calculations!$T66),"",SigConcNL(Calculations!S47,BioScale_Internal!J43)/Calculations!$T66)</f>
        <v/>
      </c>
      <c r="P6" s="126" t="str">
        <f>IF(ISERROR(SigConcNL(Calculations!T47,BioScale_Internal!J43)/Calculations!$T66),"",SigConcNL(Calculations!T47,BioScale_Internal!J43)/Calculations!$T66)</f>
        <v/>
      </c>
      <c r="Q6" s="126" t="str">
        <f>IF(ISERROR(SigConcNL(Calculations!U47,BioScale_Internal!J43)/Calculations!$T66),"",SigConcNL(Calculations!U47,BioScale_Internal!J43)/Calculations!$T66)</f>
        <v/>
      </c>
      <c r="R6" s="126" t="str">
        <f>IF(ISERROR(SigConcNL(Calculations!V47,BioScale_Internal!J43)/Calculations!$T66),"",SigConcNL(Calculations!V47,BioScale_Internal!J43)/Calculations!$T66)</f>
        <v/>
      </c>
      <c r="S6" s="126" t="str">
        <f>IF(ISERROR(SigConcNL(Calculations!W47,BioScale_Internal!J43)/Calculations!$T66),"",SigConcNL(Calculations!W47,BioScale_Internal!J43)/Calculations!$T66)</f>
        <v/>
      </c>
      <c r="T6" s="126" t="str">
        <f>IF(ISERROR(SigConcNL(Calculations!X47,BioScale_Internal!J43)/Calculations!$T66),"",SigConcNL(Calculations!X47,BioScale_Internal!J43)/Calculations!$T66)</f>
        <v/>
      </c>
      <c r="U6" s="148" t="str">
        <f>IF(ISERROR(SigConcNL(Calculations!Y47,BioScale_Internal!J43)/Calculations!$T66),"",SigConcNL(Calculations!Y47,BioScale_Internal!J43)/Calculations!$T66)</f>
        <v/>
      </c>
      <c r="W6" s="147" t="str">
        <f>IF(ISERROR(SigConcNL(Calculations!AD47,BioScale_Internal!J44)/Calculations!$W66),"",SigConcNL(Calculations!AD47,BioScale_Internal!J44)/Calculations!$W66)</f>
        <v/>
      </c>
      <c r="X6" s="126" t="str">
        <f>IF(ISERROR(SigConcNL(Calculations!AE47,BioScale_Internal!J44)/Calculations!$W66),"",SigConcNL(Calculations!AE47,BioScale_Internal!J44)/Calculations!$W66)</f>
        <v/>
      </c>
      <c r="Y6" s="126" t="str">
        <f>IF(ISERROR(SigConcNL(Calculations!AF47,BioScale_Internal!J44)/Calculations!$W66),"",SigConcNL(Calculations!AF47,BioScale_Internal!J44)/Calculations!$W66)</f>
        <v/>
      </c>
      <c r="Z6" s="126" t="str">
        <f>IF(ISERROR(SigConcNL(Calculations!AG47,BioScale_Internal!J44)/Calculations!$W66),"",SigConcNL(Calculations!AG47,BioScale_Internal!J44)/Calculations!$W66)</f>
        <v/>
      </c>
      <c r="AA6" s="126" t="str">
        <f>IF(ISERROR(SigConcNL(Calculations!AH47,BioScale_Internal!J44)/Calculations!$W66),"",SigConcNL(Calculations!AH47,BioScale_Internal!J44)/Calculations!$W66)</f>
        <v/>
      </c>
      <c r="AB6" s="126" t="str">
        <f>IF(ISERROR(SigConcNL(Calculations!AI47,BioScale_Internal!J44)/Calculations!$W66),"",SigConcNL(Calculations!AI47,BioScale_Internal!J44)/Calculations!$W66)</f>
        <v/>
      </c>
      <c r="AC6" s="126" t="str">
        <f>IF(ISERROR(SigConcNL(Calculations!AJ47,BioScale_Internal!J44)/Calculations!$W66),"",SigConcNL(Calculations!AJ47,BioScale_Internal!J44)/Calculations!$W66)</f>
        <v/>
      </c>
      <c r="AD6" s="126" t="str">
        <f>IF(ISERROR(SigConcNL(Calculations!AK47,BioScale_Internal!J44)/Calculations!$W66),"",SigConcNL(Calculations!AK47,BioScale_Internal!J44)/Calculations!$W66)</f>
        <v/>
      </c>
      <c r="AE6" s="126" t="str">
        <f>IF(ISERROR(SigConcNL(Calculations!AL47,BioScale_Internal!J44)/Calculations!$W66),"",SigConcNL(Calculations!AL47,BioScale_Internal!J44)/Calculations!$W66)</f>
        <v/>
      </c>
      <c r="AF6" s="148" t="str">
        <f>IF(ISERROR(SigConcNL(Calculations!AM47,BioScale_Internal!J44)/Calculations!$W66),"",SigConcNL(Calculations!AM47,BioScale_Internal!J44)/Calculations!$W66)</f>
        <v/>
      </c>
    </row>
    <row r="7" spans="1:32" s="1" customFormat="1" hidden="1" x14ac:dyDescent="0.25">
      <c r="A7" s="147">
        <f>IF(ISERROR(SigConcNL(Calculations!B48,BioScale_Internal!J42)/Calculations!$Q67),"",SigConcNL(Calculations!B48,BioScale_Internal!J42)/Calculations!$Q67)</f>
        <v>1.2722629540717241</v>
      </c>
      <c r="B7" s="126">
        <f>IF(ISERROR(SigConcNL(Calculations!C48,BioScale_Internal!J42)/Calculations!$Q67),"",SigConcNL(Calculations!C48,BioScale_Internal!J42)/Calculations!$Q67)</f>
        <v>0.97720190297015597</v>
      </c>
      <c r="C7" s="126">
        <f>IF(ISERROR(SigConcNL(Calculations!D48,BioScale_Internal!J42)/Calculations!$Q67),"",SigConcNL(Calculations!D48,BioScale_Internal!J42)/Calculations!$Q67)</f>
        <v>1.0363170004585691</v>
      </c>
      <c r="D7" s="126">
        <f>IF(ISERROR(SigConcNL(Calculations!E48,BioScale_Internal!J42)/Calculations!$Q67),"",SigConcNL(Calculations!E48,BioScale_Internal!J42)/Calculations!$Q67)</f>
        <v>0.96537181510079406</v>
      </c>
      <c r="E7" s="126" t="str">
        <f>IF(ISERROR(SigConcNL(Calculations!F48,BioScale_Internal!J42)/Calculations!$Q67),"",SigConcNL(Calculations!F48,BioScale_Internal!J42)/Calculations!$Q67)</f>
        <v/>
      </c>
      <c r="F7" s="126" t="str">
        <f>IF(ISERROR(SigConcNL(Calculations!G48,BioScale_Internal!J42)/Calculations!$Q67),"",SigConcNL(Calculations!G48,BioScale_Internal!J42)/Calculations!$Q67)</f>
        <v/>
      </c>
      <c r="G7" s="126" t="str">
        <f>IF(ISERROR(SigConcNL(Calculations!H48,BioScale_Internal!J42)/Calculations!$Q67),"",SigConcNL(Calculations!H48,BioScale_Internal!J42)/Calculations!$Q67)</f>
        <v/>
      </c>
      <c r="H7" s="126" t="str">
        <f>IF(ISERROR(SigConcNL(Calculations!I48,BioScale_Internal!J42)/Calculations!$Q67),"",SigConcNL(Calculations!I48,BioScale_Internal!J42)/Calculations!$Q67)</f>
        <v/>
      </c>
      <c r="I7" s="126" t="str">
        <f>IF(ISERROR(SigConcNL(Calculations!J48,BioScale_Internal!J42)/Calculations!$Q67),"",SigConcNL(Calculations!J48,BioScale_Internal!J42)/Calculations!$Q67)</f>
        <v/>
      </c>
      <c r="J7" s="148" t="str">
        <f>IF(ISERROR(SigConcNL(Calculations!K48,BioScale_Internal!J42)/Calculations!$Q67),"",SigConcNL(Calculations!K48,BioScale_Internal!J42)/Calculations!$Q67)</f>
        <v/>
      </c>
      <c r="L7" s="147" t="str">
        <f>IF(ISERROR(SigConcNL(Calculations!P48,BioScale_Internal!J43)/Calculations!$T67),"",SigConcNL(Calculations!P48,BioScale_Internal!J43)/Calculations!$T67)</f>
        <v/>
      </c>
      <c r="M7" s="126" t="str">
        <f>IF(ISERROR(SigConcNL(Calculations!Q48,BioScale_Internal!J43)/Calculations!$T67),"",SigConcNL(Calculations!Q48,BioScale_Internal!J43)/Calculations!$T67)</f>
        <v/>
      </c>
      <c r="N7" s="126" t="str">
        <f>IF(ISERROR(SigConcNL(Calculations!R48,BioScale_Internal!J43)/Calculations!$T67),"",SigConcNL(Calculations!R48,BioScale_Internal!J43)/Calculations!$T67)</f>
        <v/>
      </c>
      <c r="O7" s="126" t="str">
        <f>IF(ISERROR(SigConcNL(Calculations!S48,BioScale_Internal!J43)/Calculations!$T67),"",SigConcNL(Calculations!S48,BioScale_Internal!J43)/Calculations!$T67)</f>
        <v/>
      </c>
      <c r="P7" s="126" t="str">
        <f>IF(ISERROR(SigConcNL(Calculations!T48,BioScale_Internal!J43)/Calculations!$T67),"",SigConcNL(Calculations!T48,BioScale_Internal!J43)/Calculations!$T67)</f>
        <v/>
      </c>
      <c r="Q7" s="126" t="str">
        <f>IF(ISERROR(SigConcNL(Calculations!U48,BioScale_Internal!J43)/Calculations!$T67),"",SigConcNL(Calculations!U48,BioScale_Internal!J43)/Calculations!$T67)</f>
        <v/>
      </c>
      <c r="R7" s="126" t="str">
        <f>IF(ISERROR(SigConcNL(Calculations!V48,BioScale_Internal!J43)/Calculations!$T67),"",SigConcNL(Calculations!V48,BioScale_Internal!J43)/Calculations!$T67)</f>
        <v/>
      </c>
      <c r="S7" s="126" t="str">
        <f>IF(ISERROR(SigConcNL(Calculations!W48,BioScale_Internal!J43)/Calculations!$T67),"",SigConcNL(Calculations!W48,BioScale_Internal!J43)/Calculations!$T67)</f>
        <v/>
      </c>
      <c r="T7" s="126" t="str">
        <f>IF(ISERROR(SigConcNL(Calculations!X48,BioScale_Internal!J43)/Calculations!$T67),"",SigConcNL(Calculations!X48,BioScale_Internal!J43)/Calculations!$T67)</f>
        <v/>
      </c>
      <c r="U7" s="148" t="str">
        <f>IF(ISERROR(SigConcNL(Calculations!Y48,BioScale_Internal!J43)/Calculations!$T67),"",SigConcNL(Calculations!Y48,BioScale_Internal!J43)/Calculations!$T67)</f>
        <v/>
      </c>
      <c r="W7" s="147" t="str">
        <f>IF(ISERROR(SigConcNL(Calculations!AD48,BioScale_Internal!J44)/Calculations!$W67),"",SigConcNL(Calculations!AD48,BioScale_Internal!J44)/Calculations!$W67)</f>
        <v/>
      </c>
      <c r="X7" s="126" t="str">
        <f>IF(ISERROR(SigConcNL(Calculations!AE48,BioScale_Internal!J44)/Calculations!$W67),"",SigConcNL(Calculations!AE48,BioScale_Internal!J44)/Calculations!$W67)</f>
        <v/>
      </c>
      <c r="Y7" s="126" t="str">
        <f>IF(ISERROR(SigConcNL(Calculations!AF48,BioScale_Internal!J44)/Calculations!$W67),"",SigConcNL(Calculations!AF48,BioScale_Internal!J44)/Calculations!$W67)</f>
        <v/>
      </c>
      <c r="Z7" s="126" t="str">
        <f>IF(ISERROR(SigConcNL(Calculations!AG48,BioScale_Internal!J44)/Calculations!$W67),"",SigConcNL(Calculations!AG48,BioScale_Internal!J44)/Calculations!$W67)</f>
        <v/>
      </c>
      <c r="AA7" s="126" t="str">
        <f>IF(ISERROR(SigConcNL(Calculations!AH48,BioScale_Internal!J44)/Calculations!$W67),"",SigConcNL(Calculations!AH48,BioScale_Internal!J44)/Calculations!$W67)</f>
        <v/>
      </c>
      <c r="AB7" s="126" t="str">
        <f>IF(ISERROR(SigConcNL(Calculations!AI48,BioScale_Internal!J44)/Calculations!$W67),"",SigConcNL(Calculations!AI48,BioScale_Internal!J44)/Calculations!$W67)</f>
        <v/>
      </c>
      <c r="AC7" s="126" t="str">
        <f>IF(ISERROR(SigConcNL(Calculations!AJ48,BioScale_Internal!J44)/Calculations!$W67),"",SigConcNL(Calculations!AJ48,BioScale_Internal!J44)/Calculations!$W67)</f>
        <v/>
      </c>
      <c r="AD7" s="126" t="str">
        <f>IF(ISERROR(SigConcNL(Calculations!AK48,BioScale_Internal!J44)/Calculations!$W67),"",SigConcNL(Calculations!AK48,BioScale_Internal!J44)/Calculations!$W67)</f>
        <v/>
      </c>
      <c r="AE7" s="126" t="str">
        <f>IF(ISERROR(SigConcNL(Calculations!AL48,BioScale_Internal!J44)/Calculations!$W67),"",SigConcNL(Calculations!AL48,BioScale_Internal!J44)/Calculations!$W67)</f>
        <v/>
      </c>
      <c r="AF7" s="148" t="str">
        <f>IF(ISERROR(SigConcNL(Calculations!AM48,BioScale_Internal!J44)/Calculations!$W67),"",SigConcNL(Calculations!AM48,BioScale_Internal!J44)/Calculations!$W67)</f>
        <v/>
      </c>
    </row>
    <row r="8" spans="1:32" s="1" customFormat="1" hidden="1" x14ac:dyDescent="0.25">
      <c r="A8" s="147">
        <f>IF(ISERROR(SigConcNL(Calculations!B49,BioScale_Internal!J42)/Calculations!$Q68),"",SigConcNL(Calculations!B49,BioScale_Internal!J42)/Calculations!$Q68)</f>
        <v>1.0000208840225771</v>
      </c>
      <c r="B8" s="126">
        <f>IF(ISERROR(SigConcNL(Calculations!C49,BioScale_Internal!J42)/Calculations!$Q68),"",SigConcNL(Calculations!C49,BioScale_Internal!J42)/Calculations!$Q68)</f>
        <v>1.0000208840225771</v>
      </c>
      <c r="C8" s="126">
        <f>IF(ISERROR(SigConcNL(Calculations!D49,BioScale_Internal!J42)/Calculations!$Q68),"",SigConcNL(Calculations!D49,BioScale_Internal!J42)/Calculations!$Q68)</f>
        <v>0.9275725006625315</v>
      </c>
      <c r="D8" s="126">
        <f>IF(ISERROR(SigConcNL(Calculations!E49,BioScale_Internal!J42)/Calculations!$Q68),"",SigConcNL(Calculations!E49,BioScale_Internal!J42)/Calculations!$Q68)</f>
        <v>0.81869126961592109</v>
      </c>
      <c r="E8" s="126" t="str">
        <f>IF(ISERROR(SigConcNL(Calculations!F49,BioScale_Internal!J42)/Calculations!$Q68),"",SigConcNL(Calculations!F49,BioScale_Internal!J42)/Calculations!$Q68)</f>
        <v/>
      </c>
      <c r="F8" s="126" t="str">
        <f>IF(ISERROR(SigConcNL(Calculations!G49,BioScale_Internal!J42)/Calculations!$Q68),"",SigConcNL(Calculations!G49,BioScale_Internal!J42)/Calculations!$Q68)</f>
        <v/>
      </c>
      <c r="G8" s="126" t="str">
        <f>IF(ISERROR(SigConcNL(Calculations!H49,BioScale_Internal!J42)/Calculations!$Q68),"",SigConcNL(Calculations!H49,BioScale_Internal!J42)/Calculations!$Q68)</f>
        <v/>
      </c>
      <c r="H8" s="126" t="str">
        <f>IF(ISERROR(SigConcNL(Calculations!I49,BioScale_Internal!J42)/Calculations!$Q68),"",SigConcNL(Calculations!I49,BioScale_Internal!J42)/Calculations!$Q68)</f>
        <v/>
      </c>
      <c r="I8" s="126" t="str">
        <f>IF(ISERROR(SigConcNL(Calculations!J49,BioScale_Internal!J42)/Calculations!$Q68),"",SigConcNL(Calculations!J49,BioScale_Internal!J42)/Calculations!$Q68)</f>
        <v/>
      </c>
      <c r="J8" s="148" t="str">
        <f>IF(ISERROR(SigConcNL(Calculations!K49,BioScale_Internal!J42)/Calculations!$Q68),"",SigConcNL(Calculations!K49,BioScale_Internal!J42)/Calculations!$Q68)</f>
        <v/>
      </c>
      <c r="L8" s="147" t="str">
        <f>IF(ISERROR(SigConcNL(Calculations!P49,BioScale_Internal!J43)/Calculations!$T68),"",SigConcNL(Calculations!P49,BioScale_Internal!J43)/Calculations!$T68)</f>
        <v/>
      </c>
      <c r="M8" s="126" t="str">
        <f>IF(ISERROR(SigConcNL(Calculations!Q49,BioScale_Internal!J43)/Calculations!$T68),"",SigConcNL(Calculations!Q49,BioScale_Internal!J43)/Calculations!$T68)</f>
        <v/>
      </c>
      <c r="N8" s="126" t="str">
        <f>IF(ISERROR(SigConcNL(Calculations!R49,BioScale_Internal!J43)/Calculations!$T68),"",SigConcNL(Calculations!R49,BioScale_Internal!J43)/Calculations!$T68)</f>
        <v/>
      </c>
      <c r="O8" s="126" t="str">
        <f>IF(ISERROR(SigConcNL(Calculations!S49,BioScale_Internal!J43)/Calculations!$T68),"",SigConcNL(Calculations!S49,BioScale_Internal!J43)/Calculations!$T68)</f>
        <v/>
      </c>
      <c r="P8" s="126" t="str">
        <f>IF(ISERROR(SigConcNL(Calculations!T49,BioScale_Internal!J43)/Calculations!$T68),"",SigConcNL(Calculations!T49,BioScale_Internal!J43)/Calculations!$T68)</f>
        <v/>
      </c>
      <c r="Q8" s="126" t="str">
        <f>IF(ISERROR(SigConcNL(Calculations!U49,BioScale_Internal!J43)/Calculations!$T68),"",SigConcNL(Calculations!U49,BioScale_Internal!J43)/Calculations!$T68)</f>
        <v/>
      </c>
      <c r="R8" s="126" t="str">
        <f>IF(ISERROR(SigConcNL(Calculations!V49,BioScale_Internal!J43)/Calculations!$T68),"",SigConcNL(Calculations!V49,BioScale_Internal!J43)/Calculations!$T68)</f>
        <v/>
      </c>
      <c r="S8" s="126" t="str">
        <f>IF(ISERROR(SigConcNL(Calculations!W49,BioScale_Internal!J43)/Calculations!$T68),"",SigConcNL(Calculations!W49,BioScale_Internal!J43)/Calculations!$T68)</f>
        <v/>
      </c>
      <c r="T8" s="126" t="str">
        <f>IF(ISERROR(SigConcNL(Calculations!X49,BioScale_Internal!J43)/Calculations!$T68),"",SigConcNL(Calculations!X49,BioScale_Internal!J43)/Calculations!$T68)</f>
        <v/>
      </c>
      <c r="U8" s="148" t="str">
        <f>IF(ISERROR(SigConcNL(Calculations!Y49,BioScale_Internal!J43)/Calculations!$T68),"",SigConcNL(Calculations!Y49,BioScale_Internal!J43)/Calculations!$T68)</f>
        <v/>
      </c>
      <c r="W8" s="147" t="str">
        <f>IF(ISERROR(SigConcNL(Calculations!AD49,BioScale_Internal!J44)/Calculations!$W68),"",SigConcNL(Calculations!AD49,BioScale_Internal!J44)/Calculations!$W68)</f>
        <v/>
      </c>
      <c r="X8" s="126" t="str">
        <f>IF(ISERROR(SigConcNL(Calculations!AE49,BioScale_Internal!J44)/Calculations!$W68),"",SigConcNL(Calculations!AE49,BioScale_Internal!J44)/Calculations!$W68)</f>
        <v/>
      </c>
      <c r="Y8" s="126" t="str">
        <f>IF(ISERROR(SigConcNL(Calculations!AF49,BioScale_Internal!J44)/Calculations!$W68),"",SigConcNL(Calculations!AF49,BioScale_Internal!J44)/Calculations!$W68)</f>
        <v/>
      </c>
      <c r="Z8" s="126" t="str">
        <f>IF(ISERROR(SigConcNL(Calculations!AG49,BioScale_Internal!J44)/Calculations!$W68),"",SigConcNL(Calculations!AG49,BioScale_Internal!J44)/Calculations!$W68)</f>
        <v/>
      </c>
      <c r="AA8" s="126" t="str">
        <f>IF(ISERROR(SigConcNL(Calculations!AH49,BioScale_Internal!J44)/Calculations!$W68),"",SigConcNL(Calculations!AH49,BioScale_Internal!J44)/Calculations!$W68)</f>
        <v/>
      </c>
      <c r="AB8" s="126" t="str">
        <f>IF(ISERROR(SigConcNL(Calculations!AI49,BioScale_Internal!J44)/Calculations!$W68),"",SigConcNL(Calculations!AI49,BioScale_Internal!J44)/Calculations!$W68)</f>
        <v/>
      </c>
      <c r="AC8" s="126" t="str">
        <f>IF(ISERROR(SigConcNL(Calculations!AJ49,BioScale_Internal!J44)/Calculations!$W68),"",SigConcNL(Calculations!AJ49,BioScale_Internal!J44)/Calculations!$W68)</f>
        <v/>
      </c>
      <c r="AD8" s="126" t="str">
        <f>IF(ISERROR(SigConcNL(Calculations!AK49,BioScale_Internal!J44)/Calculations!$W68),"",SigConcNL(Calculations!AK49,BioScale_Internal!J44)/Calculations!$W68)</f>
        <v/>
      </c>
      <c r="AE8" s="126" t="str">
        <f>IF(ISERROR(SigConcNL(Calculations!AL49,BioScale_Internal!J44)/Calculations!$W68),"",SigConcNL(Calculations!AL49,BioScale_Internal!J44)/Calculations!$W68)</f>
        <v/>
      </c>
      <c r="AF8" s="148" t="str">
        <f>IF(ISERROR(SigConcNL(Calculations!AM49,BioScale_Internal!J44)/Calculations!$W68),"",SigConcNL(Calculations!AM49,BioScale_Internal!J44)/Calculations!$W68)</f>
        <v/>
      </c>
    </row>
    <row r="9" spans="1:32" s="1" customFormat="1" hidden="1" x14ac:dyDescent="0.25">
      <c r="A9" s="147">
        <f>IF(ISERROR(SigConcNL(Calculations!B50,BioScale_Internal!J42)/Calculations!$Q69),"",SigConcNL(Calculations!B50,BioScale_Internal!J42)/Calculations!$Q69)</f>
        <v>1.0285585622602842</v>
      </c>
      <c r="B9" s="126">
        <f>IF(ISERROR(SigConcNL(Calculations!C50,BioScale_Internal!J42)/Calculations!$Q69),"",SigConcNL(Calculations!C50,BioScale_Internal!J42)/Calculations!$Q69)</f>
        <v>0.58279057540730084</v>
      </c>
      <c r="C9" s="126">
        <f>IF(ISERROR(SigConcNL(Calculations!D50,BioScale_Internal!J42)/Calculations!$Q69),"",SigConcNL(Calculations!D50,BioScale_Internal!J42)/Calculations!$Q69)</f>
        <v>1.249887261761925</v>
      </c>
      <c r="D9" s="126">
        <f>IF(ISERROR(SigConcNL(Calculations!E50,BioScale_Internal!J42)/Calculations!$Q69),"",SigConcNL(Calculations!E50,BioScale_Internal!J42)/Calculations!$Q69)</f>
        <v>0.69471523331316354</v>
      </c>
      <c r="E9" s="126" t="str">
        <f>IF(ISERROR(SigConcNL(Calculations!F50,BioScale_Internal!J42)/Calculations!$Q69),"",SigConcNL(Calculations!F50,BioScale_Internal!J42)/Calculations!$Q69)</f>
        <v/>
      </c>
      <c r="F9" s="126" t="str">
        <f>IF(ISERROR(SigConcNL(Calculations!G50,BioScale_Internal!J42)/Calculations!$Q69),"",SigConcNL(Calculations!G50,BioScale_Internal!J42)/Calculations!$Q69)</f>
        <v/>
      </c>
      <c r="G9" s="126" t="str">
        <f>IF(ISERROR(SigConcNL(Calculations!H50,BioScale_Internal!J42)/Calculations!$Q69),"",SigConcNL(Calculations!H50,BioScale_Internal!J42)/Calculations!$Q69)</f>
        <v/>
      </c>
      <c r="H9" s="126" t="str">
        <f>IF(ISERROR(SigConcNL(Calculations!I50,BioScale_Internal!J42)/Calculations!$Q69),"",SigConcNL(Calculations!I50,BioScale_Internal!J42)/Calculations!$Q69)</f>
        <v/>
      </c>
      <c r="I9" s="126" t="str">
        <f>IF(ISERROR(SigConcNL(Calculations!J50,BioScale_Internal!J42)/Calculations!$Q69),"",SigConcNL(Calculations!J50,BioScale_Internal!J42)/Calculations!$Q69)</f>
        <v/>
      </c>
      <c r="J9" s="148" t="str">
        <f>IF(ISERROR(SigConcNL(Calculations!K50,BioScale_Internal!J42)/Calculations!$Q69),"",SigConcNL(Calculations!K50,BioScale_Internal!J42)/Calculations!$Q69)</f>
        <v/>
      </c>
      <c r="L9" s="147" t="str">
        <f>IF(ISERROR(SigConcNL(Calculations!P50,BioScale_Internal!J43)/Calculations!$T69),"",SigConcNL(Calculations!P50,BioScale_Internal!J43)/Calculations!$T69)</f>
        <v/>
      </c>
      <c r="M9" s="126" t="str">
        <f>IF(ISERROR(SigConcNL(Calculations!Q50,BioScale_Internal!J43)/Calculations!$T69),"",SigConcNL(Calculations!Q50,BioScale_Internal!J43)/Calculations!$T69)</f>
        <v/>
      </c>
      <c r="N9" s="126" t="str">
        <f>IF(ISERROR(SigConcNL(Calculations!R50,BioScale_Internal!J43)/Calculations!$T69),"",SigConcNL(Calculations!R50,BioScale_Internal!J43)/Calculations!$T69)</f>
        <v/>
      </c>
      <c r="O9" s="126" t="str">
        <f>IF(ISERROR(SigConcNL(Calculations!S50,BioScale_Internal!J43)/Calculations!$T69),"",SigConcNL(Calculations!S50,BioScale_Internal!J43)/Calculations!$T69)</f>
        <v/>
      </c>
      <c r="P9" s="126" t="str">
        <f>IF(ISERROR(SigConcNL(Calculations!T50,BioScale_Internal!J43)/Calculations!$T69),"",SigConcNL(Calculations!T50,BioScale_Internal!J43)/Calculations!$T69)</f>
        <v/>
      </c>
      <c r="Q9" s="126" t="str">
        <f>IF(ISERROR(SigConcNL(Calculations!U50,BioScale_Internal!J43)/Calculations!$T69),"",SigConcNL(Calculations!U50,BioScale_Internal!J43)/Calculations!$T69)</f>
        <v/>
      </c>
      <c r="R9" s="126" t="str">
        <f>IF(ISERROR(SigConcNL(Calculations!V50,BioScale_Internal!J43)/Calculations!$T69),"",SigConcNL(Calculations!V50,BioScale_Internal!J43)/Calculations!$T69)</f>
        <v/>
      </c>
      <c r="S9" s="126" t="str">
        <f>IF(ISERROR(SigConcNL(Calculations!W50,BioScale_Internal!J43)/Calculations!$T69),"",SigConcNL(Calculations!W50,BioScale_Internal!J43)/Calculations!$T69)</f>
        <v/>
      </c>
      <c r="T9" s="126" t="str">
        <f>IF(ISERROR(SigConcNL(Calculations!X50,BioScale_Internal!J43)/Calculations!$T69),"",SigConcNL(Calculations!X50,BioScale_Internal!J43)/Calculations!$T69)</f>
        <v/>
      </c>
      <c r="U9" s="148" t="str">
        <f>IF(ISERROR(SigConcNL(Calculations!Y50,BioScale_Internal!J43)/Calculations!$T69),"",SigConcNL(Calculations!Y50,BioScale_Internal!J43)/Calculations!$T69)</f>
        <v/>
      </c>
      <c r="W9" s="147" t="str">
        <f>IF(ISERROR(SigConcNL(Calculations!AD50,BioScale_Internal!J44)/Calculations!$W69),"",SigConcNL(Calculations!AD50,BioScale_Internal!J44)/Calculations!$W69)</f>
        <v/>
      </c>
      <c r="X9" s="126" t="str">
        <f>IF(ISERROR(SigConcNL(Calculations!AE50,BioScale_Internal!J44)/Calculations!$W69),"",SigConcNL(Calculations!AE50,BioScale_Internal!J44)/Calculations!$W69)</f>
        <v/>
      </c>
      <c r="Y9" s="126" t="str">
        <f>IF(ISERROR(SigConcNL(Calculations!AF50,BioScale_Internal!J44)/Calculations!$W69),"",SigConcNL(Calculations!AF50,BioScale_Internal!J44)/Calculations!$W69)</f>
        <v/>
      </c>
      <c r="Z9" s="126" t="str">
        <f>IF(ISERROR(SigConcNL(Calculations!AG50,BioScale_Internal!J44)/Calculations!$W69),"",SigConcNL(Calculations!AG50,BioScale_Internal!J44)/Calculations!$W69)</f>
        <v/>
      </c>
      <c r="AA9" s="126" t="str">
        <f>IF(ISERROR(SigConcNL(Calculations!AH50,BioScale_Internal!J44)/Calculations!$W69),"",SigConcNL(Calculations!AH50,BioScale_Internal!J44)/Calculations!$W69)</f>
        <v/>
      </c>
      <c r="AB9" s="126" t="str">
        <f>IF(ISERROR(SigConcNL(Calculations!AI50,BioScale_Internal!J44)/Calculations!$W69),"",SigConcNL(Calculations!AI50,BioScale_Internal!J44)/Calculations!$W69)</f>
        <v/>
      </c>
      <c r="AC9" s="126" t="str">
        <f>IF(ISERROR(SigConcNL(Calculations!AJ50,BioScale_Internal!J44)/Calculations!$W69),"",SigConcNL(Calculations!AJ50,BioScale_Internal!J44)/Calculations!$W69)</f>
        <v/>
      </c>
      <c r="AD9" s="126" t="str">
        <f>IF(ISERROR(SigConcNL(Calculations!AK50,BioScale_Internal!J44)/Calculations!$W69),"",SigConcNL(Calculations!AK50,BioScale_Internal!J44)/Calculations!$W69)</f>
        <v/>
      </c>
      <c r="AE9" s="126" t="str">
        <f>IF(ISERROR(SigConcNL(Calculations!AL50,BioScale_Internal!J44)/Calculations!$W69),"",SigConcNL(Calculations!AL50,BioScale_Internal!J44)/Calculations!$W69)</f>
        <v/>
      </c>
      <c r="AF9" s="148" t="str">
        <f>IF(ISERROR(SigConcNL(Calculations!AM50,BioScale_Internal!J44)/Calculations!$W69),"",SigConcNL(Calculations!AM50,BioScale_Internal!J44)/Calculations!$W69)</f>
        <v/>
      </c>
    </row>
    <row r="10" spans="1:32" s="1" customFormat="1" hidden="1" x14ac:dyDescent="0.25">
      <c r="A10" s="147" t="str">
        <f>IF(ISERROR(SigConcNL(Calculations!B51,BioScale_Internal!J42)/Calculations!$Q70),"",SigConcNL(Calculations!B51,BioScale_Internal!J42)/Calculations!$Q70)</f>
        <v/>
      </c>
      <c r="B10" s="126" t="str">
        <f>IF(ISERROR(SigConcNL(Calculations!C51,BioScale_Internal!J42)/Calculations!$Q70),"",SigConcNL(Calculations!C51,BioScale_Internal!J42)/Calculations!$Q70)</f>
        <v/>
      </c>
      <c r="C10" s="126" t="str">
        <f>IF(ISERROR(SigConcNL(Calculations!D51,BioScale_Internal!J42)/Calculations!$Q70),"",SigConcNL(Calculations!D51,BioScale_Internal!J42)/Calculations!$Q70)</f>
        <v/>
      </c>
      <c r="D10" s="126" t="str">
        <f>IF(ISERROR(SigConcNL(Calculations!E51,BioScale_Internal!J42)/Calculations!$Q70),"",SigConcNL(Calculations!E51,BioScale_Internal!J42)/Calculations!$Q70)</f>
        <v/>
      </c>
      <c r="E10" s="126" t="str">
        <f>IF(ISERROR(SigConcNL(Calculations!F51,BioScale_Internal!J42)/Calculations!$Q70),"",SigConcNL(Calculations!F51,BioScale_Internal!J42)/Calculations!$Q70)</f>
        <v/>
      </c>
      <c r="F10" s="126" t="str">
        <f>IF(ISERROR(SigConcNL(Calculations!G51,BioScale_Internal!J42)/Calculations!$Q70),"",SigConcNL(Calculations!G51,BioScale_Internal!J42)/Calculations!$Q70)</f>
        <v/>
      </c>
      <c r="G10" s="126" t="str">
        <f>IF(ISERROR(SigConcNL(Calculations!H51,BioScale_Internal!J42)/Calculations!$Q70),"",SigConcNL(Calculations!H51,BioScale_Internal!J42)/Calculations!$Q70)</f>
        <v/>
      </c>
      <c r="H10" s="126" t="str">
        <f>IF(ISERROR(SigConcNL(Calculations!I51,BioScale_Internal!J42)/Calculations!$Q70),"",SigConcNL(Calculations!I51,BioScale_Internal!J42)/Calculations!$Q70)</f>
        <v/>
      </c>
      <c r="I10" s="126" t="str">
        <f>IF(ISERROR(SigConcNL(Calculations!J51,BioScale_Internal!J42)/Calculations!$Q70),"",SigConcNL(Calculations!J51,BioScale_Internal!J42)/Calculations!$Q70)</f>
        <v/>
      </c>
      <c r="J10" s="148" t="str">
        <f>IF(ISERROR(SigConcNL(Calculations!K51,BioScale_Internal!J42)/Calculations!$Q70),"",SigConcNL(Calculations!K51,BioScale_Internal!J42)/Calculations!$Q70)</f>
        <v/>
      </c>
      <c r="L10" s="147" t="str">
        <f>IF(ISERROR(SigConcNL(Calculations!P51,BioScale_Internal!J43)/Calculations!$T70),"",SigConcNL(Calculations!P51,BioScale_Internal!J43)/Calculations!$T70)</f>
        <v/>
      </c>
      <c r="M10" s="126" t="str">
        <f>IF(ISERROR(SigConcNL(Calculations!Q51,BioScale_Internal!J43)/Calculations!$T70),"",SigConcNL(Calculations!Q51,BioScale_Internal!J43)/Calculations!$T70)</f>
        <v/>
      </c>
      <c r="N10" s="126" t="str">
        <f>IF(ISERROR(SigConcNL(Calculations!R51,BioScale_Internal!J43)/Calculations!$T70),"",SigConcNL(Calculations!R51,BioScale_Internal!J43)/Calculations!$T70)</f>
        <v/>
      </c>
      <c r="O10" s="126" t="str">
        <f>IF(ISERROR(SigConcNL(Calculations!S51,BioScale_Internal!J43)/Calculations!$T70),"",SigConcNL(Calculations!S51,BioScale_Internal!J43)/Calculations!$T70)</f>
        <v/>
      </c>
      <c r="P10" s="126" t="str">
        <f>IF(ISERROR(SigConcNL(Calculations!T51,BioScale_Internal!J43)/Calculations!$T70),"",SigConcNL(Calculations!T51,BioScale_Internal!J43)/Calculations!$T70)</f>
        <v/>
      </c>
      <c r="Q10" s="126" t="str">
        <f>IF(ISERROR(SigConcNL(Calculations!U51,BioScale_Internal!J43)/Calculations!$T70),"",SigConcNL(Calculations!U51,BioScale_Internal!J43)/Calculations!$T70)</f>
        <v/>
      </c>
      <c r="R10" s="126" t="str">
        <f>IF(ISERROR(SigConcNL(Calculations!V51,BioScale_Internal!J43)/Calculations!$T70),"",SigConcNL(Calculations!V51,BioScale_Internal!J43)/Calculations!$T70)</f>
        <v/>
      </c>
      <c r="S10" s="126" t="str">
        <f>IF(ISERROR(SigConcNL(Calculations!W51,BioScale_Internal!J43)/Calculations!$T70),"",SigConcNL(Calculations!W51,BioScale_Internal!J43)/Calculations!$T70)</f>
        <v/>
      </c>
      <c r="T10" s="126" t="str">
        <f>IF(ISERROR(SigConcNL(Calculations!X51,BioScale_Internal!J43)/Calculations!$T70),"",SigConcNL(Calculations!X51,BioScale_Internal!J43)/Calculations!$T70)</f>
        <v/>
      </c>
      <c r="U10" s="148" t="str">
        <f>IF(ISERROR(SigConcNL(Calculations!Y51,BioScale_Internal!J43)/Calculations!$T70),"",SigConcNL(Calculations!Y51,BioScale_Internal!J43)/Calculations!$T70)</f>
        <v/>
      </c>
      <c r="W10" s="147" t="str">
        <f>IF(ISERROR(SigConcNL(Calculations!AD51,BioScale_Internal!J44)/Calculations!$W70),"",SigConcNL(Calculations!AD51,BioScale_Internal!J44)/Calculations!$W70)</f>
        <v/>
      </c>
      <c r="X10" s="126" t="str">
        <f>IF(ISERROR(SigConcNL(Calculations!AE51,BioScale_Internal!J44)/Calculations!$W70),"",SigConcNL(Calculations!AE51,BioScale_Internal!J44)/Calculations!$W70)</f>
        <v/>
      </c>
      <c r="Y10" s="126" t="str">
        <f>IF(ISERROR(SigConcNL(Calculations!AF51,BioScale_Internal!J44)/Calculations!$W70),"",SigConcNL(Calculations!AF51,BioScale_Internal!J44)/Calculations!$W70)</f>
        <v/>
      </c>
      <c r="Z10" s="126" t="str">
        <f>IF(ISERROR(SigConcNL(Calculations!AG51,BioScale_Internal!J44)/Calculations!$W70),"",SigConcNL(Calculations!AG51,BioScale_Internal!J44)/Calculations!$W70)</f>
        <v/>
      </c>
      <c r="AA10" s="126" t="str">
        <f>IF(ISERROR(SigConcNL(Calculations!AH51,BioScale_Internal!J44)/Calculations!$W70),"",SigConcNL(Calculations!AH51,BioScale_Internal!J44)/Calculations!$W70)</f>
        <v/>
      </c>
      <c r="AB10" s="126" t="str">
        <f>IF(ISERROR(SigConcNL(Calculations!AI51,BioScale_Internal!J44)/Calculations!$W70),"",SigConcNL(Calculations!AI51,BioScale_Internal!J44)/Calculations!$W70)</f>
        <v/>
      </c>
      <c r="AC10" s="126" t="str">
        <f>IF(ISERROR(SigConcNL(Calculations!AJ51,BioScale_Internal!J44)/Calculations!$W70),"",SigConcNL(Calculations!AJ51,BioScale_Internal!J44)/Calculations!$W70)</f>
        <v/>
      </c>
      <c r="AD10" s="126" t="str">
        <f>IF(ISERROR(SigConcNL(Calculations!AK51,BioScale_Internal!J44)/Calculations!$W70),"",SigConcNL(Calculations!AK51,BioScale_Internal!J44)/Calculations!$W70)</f>
        <v/>
      </c>
      <c r="AE10" s="126" t="str">
        <f>IF(ISERROR(SigConcNL(Calculations!AL51,BioScale_Internal!J44)/Calculations!$W70),"",SigConcNL(Calculations!AL51,BioScale_Internal!J44)/Calculations!$W70)</f>
        <v/>
      </c>
      <c r="AF10" s="148" t="str">
        <f>IF(ISERROR(SigConcNL(Calculations!AM51,BioScale_Internal!J44)/Calculations!$W70),"",SigConcNL(Calculations!AM51,BioScale_Internal!J44)/Calculations!$W70)</f>
        <v/>
      </c>
    </row>
    <row r="11" spans="1:32" s="1" customFormat="1" hidden="1" x14ac:dyDescent="0.25">
      <c r="A11" s="147" t="str">
        <f>IF(ISERROR(SigConcNL(Calculations!B52,BioScale_Internal!J42)/Calculations!$Q71),"",SigConcNL(Calculations!B52,BioScale_Internal!J42)/Calculations!$Q71)</f>
        <v/>
      </c>
      <c r="B11" s="126" t="str">
        <f>IF(ISERROR(SigConcNL(Calculations!C52,BioScale_Internal!J42)/Calculations!$Q71),"",SigConcNL(Calculations!C52,BioScale_Internal!J42)/Calculations!$Q71)</f>
        <v/>
      </c>
      <c r="C11" s="126" t="str">
        <f>IF(ISERROR(SigConcNL(Calculations!D52,BioScale_Internal!J42)/Calculations!$Q71),"",SigConcNL(Calculations!D52,BioScale_Internal!J42)/Calculations!$Q71)</f>
        <v/>
      </c>
      <c r="D11" s="126" t="str">
        <f>IF(ISERROR(SigConcNL(Calculations!E52,BioScale_Internal!J42)/Calculations!$Q71),"",SigConcNL(Calculations!E52,BioScale_Internal!J42)/Calculations!$Q71)</f>
        <v/>
      </c>
      <c r="E11" s="126" t="str">
        <f>IF(ISERROR(SigConcNL(Calculations!F52,BioScale_Internal!J42)/Calculations!$Q71),"",SigConcNL(Calculations!F52,BioScale_Internal!J42)/Calculations!$Q71)</f>
        <v/>
      </c>
      <c r="F11" s="126" t="str">
        <f>IF(ISERROR(SigConcNL(Calculations!G52,BioScale_Internal!J42)/Calculations!$Q71),"",SigConcNL(Calculations!G52,BioScale_Internal!J42)/Calculations!$Q71)</f>
        <v/>
      </c>
      <c r="G11" s="126" t="str">
        <f>IF(ISERROR(SigConcNL(Calculations!H52,BioScale_Internal!J42)/Calculations!$Q71),"",SigConcNL(Calculations!H52,BioScale_Internal!J42)/Calculations!$Q71)</f>
        <v/>
      </c>
      <c r="H11" s="126" t="str">
        <f>IF(ISERROR(SigConcNL(Calculations!I52,BioScale_Internal!J42)/Calculations!$Q71),"",SigConcNL(Calculations!I52,BioScale_Internal!J42)/Calculations!$Q71)</f>
        <v/>
      </c>
      <c r="I11" s="126" t="str">
        <f>IF(ISERROR(SigConcNL(Calculations!J52,BioScale_Internal!J42)/Calculations!$Q71),"",SigConcNL(Calculations!J52,BioScale_Internal!J42)/Calculations!$Q71)</f>
        <v/>
      </c>
      <c r="J11" s="148" t="str">
        <f>IF(ISERROR(SigConcNL(Calculations!K52,BioScale_Internal!J42)/Calculations!$Q71),"",SigConcNL(Calculations!K52,BioScale_Internal!J42)/Calculations!$Q71)</f>
        <v/>
      </c>
      <c r="L11" s="147" t="str">
        <f>IF(ISERROR(SigConcNL(Calculations!P52,BioScale_Internal!J43)/Calculations!$T71),"",SigConcNL(Calculations!P52,BioScale_Internal!J43)/Calculations!$T71)</f>
        <v/>
      </c>
      <c r="M11" s="126" t="str">
        <f>IF(ISERROR(SigConcNL(Calculations!Q52,BioScale_Internal!J43)/Calculations!$T71),"",SigConcNL(Calculations!Q52,BioScale_Internal!J43)/Calculations!$T71)</f>
        <v/>
      </c>
      <c r="N11" s="126" t="str">
        <f>IF(ISERROR(SigConcNL(Calculations!R52,BioScale_Internal!J43)/Calculations!$T71),"",SigConcNL(Calculations!R52,BioScale_Internal!J43)/Calculations!$T71)</f>
        <v/>
      </c>
      <c r="O11" s="126" t="str">
        <f>IF(ISERROR(SigConcNL(Calculations!S52,BioScale_Internal!J43)/Calculations!$T71),"",SigConcNL(Calculations!S52,BioScale_Internal!J43)/Calculations!$T71)</f>
        <v/>
      </c>
      <c r="P11" s="126" t="str">
        <f>IF(ISERROR(SigConcNL(Calculations!T52,BioScale_Internal!J43)/Calculations!$T71),"",SigConcNL(Calculations!T52,BioScale_Internal!J43)/Calculations!$T71)</f>
        <v/>
      </c>
      <c r="Q11" s="126" t="str">
        <f>IF(ISERROR(SigConcNL(Calculations!U52,BioScale_Internal!J43)/Calculations!$T71),"",SigConcNL(Calculations!U52,BioScale_Internal!J43)/Calculations!$T71)</f>
        <v/>
      </c>
      <c r="R11" s="126" t="str">
        <f>IF(ISERROR(SigConcNL(Calculations!V52,BioScale_Internal!J43)/Calculations!$T71),"",SigConcNL(Calculations!V52,BioScale_Internal!J43)/Calculations!$T71)</f>
        <v/>
      </c>
      <c r="S11" s="126" t="str">
        <f>IF(ISERROR(SigConcNL(Calculations!W52,BioScale_Internal!J43)/Calculations!$T71),"",SigConcNL(Calculations!W52,BioScale_Internal!J43)/Calculations!$T71)</f>
        <v/>
      </c>
      <c r="T11" s="126" t="str">
        <f>IF(ISERROR(SigConcNL(Calculations!X52,BioScale_Internal!J43)/Calculations!$T71),"",SigConcNL(Calculations!X52,BioScale_Internal!J43)/Calculations!$T71)</f>
        <v/>
      </c>
      <c r="U11" s="148" t="str">
        <f>IF(ISERROR(SigConcNL(Calculations!Y52,BioScale_Internal!J43)/Calculations!$T71),"",SigConcNL(Calculations!Y52,BioScale_Internal!J43)/Calculations!$T71)</f>
        <v/>
      </c>
      <c r="W11" s="147" t="str">
        <f>IF(ISERROR(SigConcNL(Calculations!AD52,BioScale_Internal!J44)/Calculations!$W71),"",SigConcNL(Calculations!AD52,BioScale_Internal!J44)/Calculations!$W71)</f>
        <v/>
      </c>
      <c r="X11" s="126" t="str">
        <f>IF(ISERROR(SigConcNL(Calculations!AE52,BioScale_Internal!J44)/Calculations!$W71),"",SigConcNL(Calculations!AE52,BioScale_Internal!J44)/Calculations!$W71)</f>
        <v/>
      </c>
      <c r="Y11" s="126" t="str">
        <f>IF(ISERROR(SigConcNL(Calculations!AF52,BioScale_Internal!J44)/Calculations!$W71),"",SigConcNL(Calculations!AF52,BioScale_Internal!J44)/Calculations!$W71)</f>
        <v/>
      </c>
      <c r="Z11" s="126" t="str">
        <f>IF(ISERROR(SigConcNL(Calculations!AG52,BioScale_Internal!J44)/Calculations!$W71),"",SigConcNL(Calculations!AG52,BioScale_Internal!J44)/Calculations!$W71)</f>
        <v/>
      </c>
      <c r="AA11" s="126" t="str">
        <f>IF(ISERROR(SigConcNL(Calculations!AH52,BioScale_Internal!J44)/Calculations!$W71),"",SigConcNL(Calculations!AH52,BioScale_Internal!J44)/Calculations!$W71)</f>
        <v/>
      </c>
      <c r="AB11" s="126" t="str">
        <f>IF(ISERROR(SigConcNL(Calculations!AI52,BioScale_Internal!J44)/Calculations!$W71),"",SigConcNL(Calculations!AI52,BioScale_Internal!J44)/Calculations!$W71)</f>
        <v/>
      </c>
      <c r="AC11" s="126" t="str">
        <f>IF(ISERROR(SigConcNL(Calculations!AJ52,BioScale_Internal!J44)/Calculations!$W71),"",SigConcNL(Calculations!AJ52,BioScale_Internal!J44)/Calculations!$W71)</f>
        <v/>
      </c>
      <c r="AD11" s="126" t="str">
        <f>IF(ISERROR(SigConcNL(Calculations!AK52,BioScale_Internal!J44)/Calculations!$W71),"",SigConcNL(Calculations!AK52,BioScale_Internal!J44)/Calculations!$W71)</f>
        <v/>
      </c>
      <c r="AE11" s="126" t="str">
        <f>IF(ISERROR(SigConcNL(Calculations!AL52,BioScale_Internal!J44)/Calculations!$W71),"",SigConcNL(Calculations!AL52,BioScale_Internal!J44)/Calculations!$W71)</f>
        <v/>
      </c>
      <c r="AF11" s="148" t="str">
        <f>IF(ISERROR(SigConcNL(Calculations!AM52,BioScale_Internal!J44)/Calculations!$W71),"",SigConcNL(Calculations!AM52,BioScale_Internal!J44)/Calculations!$W71)</f>
        <v/>
      </c>
    </row>
    <row r="12" spans="1:32" s="1" customFormat="1" hidden="1" x14ac:dyDescent="0.25">
      <c r="A12" s="147" t="str">
        <f>IF(ISERROR(SigConcNL(Calculations!B53,BioScale_Internal!J42)/Calculations!$Q72),"",SigConcNL(Calculations!B53,BioScale_Internal!J42)/Calculations!$Q72)</f>
        <v/>
      </c>
      <c r="B12" s="126" t="str">
        <f>IF(ISERROR(SigConcNL(Calculations!C53,BioScale_Internal!J42)/Calculations!$Q72),"",SigConcNL(Calculations!C53,BioScale_Internal!J42)/Calculations!$Q72)</f>
        <v/>
      </c>
      <c r="C12" s="126" t="str">
        <f>IF(ISERROR(SigConcNL(Calculations!D53,BioScale_Internal!J42)/Calculations!$Q72),"",SigConcNL(Calculations!D53,BioScale_Internal!J42)/Calculations!$Q72)</f>
        <v/>
      </c>
      <c r="D12" s="126" t="str">
        <f>IF(ISERROR(SigConcNL(Calculations!E53,BioScale_Internal!J42)/Calculations!$Q72),"",SigConcNL(Calculations!E53,BioScale_Internal!J42)/Calculations!$Q72)</f>
        <v/>
      </c>
      <c r="E12" s="126" t="str">
        <f>IF(ISERROR(SigConcNL(Calculations!F53,BioScale_Internal!J42)/Calculations!$Q72),"",SigConcNL(Calculations!F53,BioScale_Internal!J42)/Calculations!$Q72)</f>
        <v/>
      </c>
      <c r="F12" s="126" t="str">
        <f>IF(ISERROR(SigConcNL(Calculations!G53,BioScale_Internal!J42)/Calculations!$Q72),"",SigConcNL(Calculations!G53,BioScale_Internal!J42)/Calculations!$Q72)</f>
        <v/>
      </c>
      <c r="G12" s="126" t="str">
        <f>IF(ISERROR(SigConcNL(Calculations!H53,BioScale_Internal!J42)/Calculations!$Q72),"",SigConcNL(Calculations!H53,BioScale_Internal!J42)/Calculations!$Q72)</f>
        <v/>
      </c>
      <c r="H12" s="126" t="str">
        <f>IF(ISERROR(SigConcNL(Calculations!I53,BioScale_Internal!J42)/Calculations!$Q72),"",SigConcNL(Calculations!I53,BioScale_Internal!J42)/Calculations!$Q72)</f>
        <v/>
      </c>
      <c r="I12" s="126" t="str">
        <f>IF(ISERROR(SigConcNL(Calculations!J53,BioScale_Internal!J42)/Calculations!$Q72),"",SigConcNL(Calculations!J53,BioScale_Internal!J42)/Calculations!$Q72)</f>
        <v/>
      </c>
      <c r="J12" s="148" t="str">
        <f>IF(ISERROR(SigConcNL(Calculations!K53,BioScale_Internal!J42)/Calculations!$Q72),"",SigConcNL(Calculations!K53,BioScale_Internal!J42)/Calculations!$Q72)</f>
        <v/>
      </c>
      <c r="L12" s="147" t="str">
        <f>IF(ISERROR(SigConcNL(Calculations!P53,BioScale_Internal!J43)/Calculations!$T72),"",SigConcNL(Calculations!P53,BioScale_Internal!J43)/Calculations!$T72)</f>
        <v/>
      </c>
      <c r="M12" s="126" t="str">
        <f>IF(ISERROR(SigConcNL(Calculations!Q53,BioScale_Internal!J43)/Calculations!$T72),"",SigConcNL(Calculations!Q53,BioScale_Internal!J43)/Calculations!$T72)</f>
        <v/>
      </c>
      <c r="N12" s="126" t="str">
        <f>IF(ISERROR(SigConcNL(Calculations!R53,BioScale_Internal!J43)/Calculations!$T72),"",SigConcNL(Calculations!R53,BioScale_Internal!J43)/Calculations!$T72)</f>
        <v/>
      </c>
      <c r="O12" s="126" t="str">
        <f>IF(ISERROR(SigConcNL(Calculations!S53,BioScale_Internal!J43)/Calculations!$T72),"",SigConcNL(Calculations!S53,BioScale_Internal!J43)/Calculations!$T72)</f>
        <v/>
      </c>
      <c r="P12" s="126" t="str">
        <f>IF(ISERROR(SigConcNL(Calculations!T53,BioScale_Internal!J43)/Calculations!$T72),"",SigConcNL(Calculations!T53,BioScale_Internal!J43)/Calculations!$T72)</f>
        <v/>
      </c>
      <c r="Q12" s="126" t="str">
        <f>IF(ISERROR(SigConcNL(Calculations!U53,BioScale_Internal!J43)/Calculations!$T72),"",SigConcNL(Calculations!U53,BioScale_Internal!J43)/Calculations!$T72)</f>
        <v/>
      </c>
      <c r="R12" s="126" t="str">
        <f>IF(ISERROR(SigConcNL(Calculations!V53,BioScale_Internal!J43)/Calculations!$T72),"",SigConcNL(Calculations!V53,BioScale_Internal!J43)/Calculations!$T72)</f>
        <v/>
      </c>
      <c r="S12" s="126" t="str">
        <f>IF(ISERROR(SigConcNL(Calculations!W53,BioScale_Internal!J43)/Calculations!$T72),"",SigConcNL(Calculations!W53,BioScale_Internal!J43)/Calculations!$T72)</f>
        <v/>
      </c>
      <c r="T12" s="126" t="str">
        <f>IF(ISERROR(SigConcNL(Calculations!X53,BioScale_Internal!J43)/Calculations!$T72),"",SigConcNL(Calculations!X53,BioScale_Internal!J43)/Calculations!$T72)</f>
        <v/>
      </c>
      <c r="U12" s="148" t="str">
        <f>IF(ISERROR(SigConcNL(Calculations!Y53,BioScale_Internal!J43)/Calculations!$T72),"",SigConcNL(Calculations!Y53,BioScale_Internal!J43)/Calculations!$T72)</f>
        <v/>
      </c>
      <c r="W12" s="147" t="str">
        <f>IF(ISERROR(SigConcNL(Calculations!AD53,BioScale_Internal!J44)/Calculations!$W72),"",SigConcNL(Calculations!AD53,BioScale_Internal!J44)/Calculations!$W72)</f>
        <v/>
      </c>
      <c r="X12" s="126" t="str">
        <f>IF(ISERROR(SigConcNL(Calculations!AE53,BioScale_Internal!J44)/Calculations!$W72),"",SigConcNL(Calculations!AE53,BioScale_Internal!J44)/Calculations!$W72)</f>
        <v/>
      </c>
      <c r="Y12" s="126" t="str">
        <f>IF(ISERROR(SigConcNL(Calculations!AF53,BioScale_Internal!J44)/Calculations!$W72),"",SigConcNL(Calculations!AF53,BioScale_Internal!J44)/Calculations!$W72)</f>
        <v/>
      </c>
      <c r="Z12" s="126" t="str">
        <f>IF(ISERROR(SigConcNL(Calculations!AG53,BioScale_Internal!J44)/Calculations!$W72),"",SigConcNL(Calculations!AG53,BioScale_Internal!J44)/Calculations!$W72)</f>
        <v/>
      </c>
      <c r="AA12" s="126" t="str">
        <f>IF(ISERROR(SigConcNL(Calculations!AH53,BioScale_Internal!J44)/Calculations!$W72),"",SigConcNL(Calculations!AH53,BioScale_Internal!J44)/Calculations!$W72)</f>
        <v/>
      </c>
      <c r="AB12" s="126" t="str">
        <f>IF(ISERROR(SigConcNL(Calculations!AI53,BioScale_Internal!J44)/Calculations!$W72),"",SigConcNL(Calculations!AI53,BioScale_Internal!J44)/Calculations!$W72)</f>
        <v/>
      </c>
      <c r="AC12" s="126" t="str">
        <f>IF(ISERROR(SigConcNL(Calculations!AJ53,BioScale_Internal!J44)/Calculations!$W72),"",SigConcNL(Calculations!AJ53,BioScale_Internal!J44)/Calculations!$W72)</f>
        <v/>
      </c>
      <c r="AD12" s="126" t="str">
        <f>IF(ISERROR(SigConcNL(Calculations!AK53,BioScale_Internal!J44)/Calculations!$W72),"",SigConcNL(Calculations!AK53,BioScale_Internal!J44)/Calculations!$W72)</f>
        <v/>
      </c>
      <c r="AE12" s="126" t="str">
        <f>IF(ISERROR(SigConcNL(Calculations!AL53,BioScale_Internal!J44)/Calculations!$W72),"",SigConcNL(Calculations!AL53,BioScale_Internal!J44)/Calculations!$W72)</f>
        <v/>
      </c>
      <c r="AF12" s="148" t="str">
        <f>IF(ISERROR(SigConcNL(Calculations!AM53,BioScale_Internal!J44)/Calculations!$W72),"",SigConcNL(Calculations!AM53,BioScale_Internal!J44)/Calculations!$W72)</f>
        <v/>
      </c>
    </row>
    <row r="13" spans="1:32" s="1" customFormat="1" hidden="1" x14ac:dyDescent="0.25">
      <c r="A13" s="147" t="str">
        <f>IF(ISERROR(SigConcNL(Calculations!B54,BioScale_Internal!J42)/Calculations!$Q73),"",SigConcNL(Calculations!B54,BioScale_Internal!J42)/Calculations!$Q73)</f>
        <v/>
      </c>
      <c r="B13" s="126" t="str">
        <f>IF(ISERROR(SigConcNL(Calculations!C54,BioScale_Internal!J42)/Calculations!$Q73),"",SigConcNL(Calculations!C54,BioScale_Internal!J42)/Calculations!$Q73)</f>
        <v/>
      </c>
      <c r="C13" s="126" t="str">
        <f>IF(ISERROR(SigConcNL(Calculations!D54,BioScale_Internal!J42)/Calculations!$Q73),"",SigConcNL(Calculations!D54,BioScale_Internal!J42)/Calculations!$Q73)</f>
        <v/>
      </c>
      <c r="D13" s="126" t="str">
        <f>IF(ISERROR(SigConcNL(Calculations!E54,BioScale_Internal!J42)/Calculations!$Q73),"",SigConcNL(Calculations!E54,BioScale_Internal!J42)/Calculations!$Q73)</f>
        <v/>
      </c>
      <c r="E13" s="126" t="str">
        <f>IF(ISERROR(SigConcNL(Calculations!F54,BioScale_Internal!J42)/Calculations!$Q73),"",SigConcNL(Calculations!F54,BioScale_Internal!J42)/Calculations!$Q73)</f>
        <v/>
      </c>
      <c r="F13" s="126" t="str">
        <f>IF(ISERROR(SigConcNL(Calculations!G54,BioScale_Internal!J42)/Calculations!$Q73),"",SigConcNL(Calculations!G54,BioScale_Internal!J42)/Calculations!$Q73)</f>
        <v/>
      </c>
      <c r="G13" s="126" t="str">
        <f>IF(ISERROR(SigConcNL(Calculations!H54,BioScale_Internal!J42)/Calculations!$Q73),"",SigConcNL(Calculations!H54,BioScale_Internal!J42)/Calculations!$Q73)</f>
        <v/>
      </c>
      <c r="H13" s="126" t="str">
        <f>IF(ISERROR(SigConcNL(Calculations!I54,BioScale_Internal!J42)/Calculations!$Q73),"",SigConcNL(Calculations!I54,BioScale_Internal!J42)/Calculations!$Q73)</f>
        <v/>
      </c>
      <c r="I13" s="126" t="str">
        <f>IF(ISERROR(SigConcNL(Calculations!J54,BioScale_Internal!J42)/Calculations!$Q73),"",SigConcNL(Calculations!J54,BioScale_Internal!J42)/Calculations!$Q73)</f>
        <v/>
      </c>
      <c r="J13" s="148" t="str">
        <f>IF(ISERROR(SigConcNL(Calculations!K54,BioScale_Internal!J42)/Calculations!$Q73),"",SigConcNL(Calculations!K54,BioScale_Internal!J42)/Calculations!$Q73)</f>
        <v/>
      </c>
      <c r="L13" s="147" t="str">
        <f>IF(ISERROR(SigConcNL(Calculations!P54,BioScale_Internal!J43)/Calculations!$T73),"",SigConcNL(Calculations!P54,BioScale_Internal!J43)/Calculations!$T73)</f>
        <v/>
      </c>
      <c r="M13" s="126" t="str">
        <f>IF(ISERROR(SigConcNL(Calculations!Q54,BioScale_Internal!J43)/Calculations!$T73),"",SigConcNL(Calculations!Q54,BioScale_Internal!J43)/Calculations!$T73)</f>
        <v/>
      </c>
      <c r="N13" s="126" t="str">
        <f>IF(ISERROR(SigConcNL(Calculations!R54,BioScale_Internal!J43)/Calculations!$T73),"",SigConcNL(Calculations!R54,BioScale_Internal!J43)/Calculations!$T73)</f>
        <v/>
      </c>
      <c r="O13" s="126" t="str">
        <f>IF(ISERROR(SigConcNL(Calculations!S54,BioScale_Internal!J43)/Calculations!$T73),"",SigConcNL(Calculations!S54,BioScale_Internal!J43)/Calculations!$T73)</f>
        <v/>
      </c>
      <c r="P13" s="126" t="str">
        <f>IF(ISERROR(SigConcNL(Calculations!T54,BioScale_Internal!J43)/Calculations!$T73),"",SigConcNL(Calculations!T54,BioScale_Internal!J43)/Calculations!$T73)</f>
        <v/>
      </c>
      <c r="Q13" s="126" t="str">
        <f>IF(ISERROR(SigConcNL(Calculations!U54,BioScale_Internal!J43)/Calculations!$T73),"",SigConcNL(Calculations!U54,BioScale_Internal!J43)/Calculations!$T73)</f>
        <v/>
      </c>
      <c r="R13" s="126" t="str">
        <f>IF(ISERROR(SigConcNL(Calculations!V54,BioScale_Internal!J43)/Calculations!$T73),"",SigConcNL(Calculations!V54,BioScale_Internal!J43)/Calculations!$T73)</f>
        <v/>
      </c>
      <c r="S13" s="126" t="str">
        <f>IF(ISERROR(SigConcNL(Calculations!W54,BioScale_Internal!J43)/Calculations!$T73),"",SigConcNL(Calculations!W54,BioScale_Internal!J43)/Calculations!$T73)</f>
        <v/>
      </c>
      <c r="T13" s="126" t="str">
        <f>IF(ISERROR(SigConcNL(Calculations!X54,BioScale_Internal!J43)/Calculations!$T73),"",SigConcNL(Calculations!X54,BioScale_Internal!J43)/Calculations!$T73)</f>
        <v/>
      </c>
      <c r="U13" s="148" t="str">
        <f>IF(ISERROR(SigConcNL(Calculations!Y54,BioScale_Internal!J43)/Calculations!$T73),"",SigConcNL(Calculations!Y54,BioScale_Internal!J43)/Calculations!$T73)</f>
        <v/>
      </c>
      <c r="W13" s="147" t="str">
        <f>IF(ISERROR(SigConcNL(Calculations!AD54,BioScale_Internal!J44)/Calculations!$W73),"",SigConcNL(Calculations!AD54,BioScale_Internal!J44)/Calculations!$W73)</f>
        <v/>
      </c>
      <c r="X13" s="126" t="str">
        <f>IF(ISERROR(SigConcNL(Calculations!AE54,BioScale_Internal!J44)/Calculations!$W73),"",SigConcNL(Calculations!AE54,BioScale_Internal!J44)/Calculations!$W73)</f>
        <v/>
      </c>
      <c r="Y13" s="126" t="str">
        <f>IF(ISERROR(SigConcNL(Calculations!AF54,BioScale_Internal!J44)/Calculations!$W73),"",SigConcNL(Calculations!AF54,BioScale_Internal!J44)/Calculations!$W73)</f>
        <v/>
      </c>
      <c r="Z13" s="126" t="str">
        <f>IF(ISERROR(SigConcNL(Calculations!AG54,BioScale_Internal!J44)/Calculations!$W73),"",SigConcNL(Calculations!AG54,BioScale_Internal!J44)/Calculations!$W73)</f>
        <v/>
      </c>
      <c r="AA13" s="126" t="str">
        <f>IF(ISERROR(SigConcNL(Calculations!AH54,BioScale_Internal!J44)/Calculations!$W73),"",SigConcNL(Calculations!AH54,BioScale_Internal!J44)/Calculations!$W73)</f>
        <v/>
      </c>
      <c r="AB13" s="126" t="str">
        <f>IF(ISERROR(SigConcNL(Calculations!AI54,BioScale_Internal!J44)/Calculations!$W73),"",SigConcNL(Calculations!AI54,BioScale_Internal!J44)/Calculations!$W73)</f>
        <v/>
      </c>
      <c r="AC13" s="126" t="str">
        <f>IF(ISERROR(SigConcNL(Calculations!AJ54,BioScale_Internal!J44)/Calculations!$W73),"",SigConcNL(Calculations!AJ54,BioScale_Internal!J44)/Calculations!$W73)</f>
        <v/>
      </c>
      <c r="AD13" s="126" t="str">
        <f>IF(ISERROR(SigConcNL(Calculations!AK54,BioScale_Internal!J44)/Calculations!$W73),"",SigConcNL(Calculations!AK54,BioScale_Internal!J44)/Calculations!$W73)</f>
        <v/>
      </c>
      <c r="AE13" s="126" t="str">
        <f>IF(ISERROR(SigConcNL(Calculations!AL54,BioScale_Internal!J44)/Calculations!$W73),"",SigConcNL(Calculations!AL54,BioScale_Internal!J44)/Calculations!$W73)</f>
        <v/>
      </c>
      <c r="AF13" s="148" t="str">
        <f>IF(ISERROR(SigConcNL(Calculations!AM54,BioScale_Internal!J44)/Calculations!$W73),"",SigConcNL(Calculations!AM54,BioScale_Internal!J44)/Calculations!$W73)</f>
        <v/>
      </c>
    </row>
    <row r="14" spans="1:32" s="1" customFormat="1" hidden="1" x14ac:dyDescent="0.25">
      <c r="A14" s="147" t="str">
        <f>IF(ISERROR(SigConcNL(Calculations!B55,BioScale_Internal!J42)/Calculations!$Q74),"",SigConcNL(Calculations!B55,BioScale_Internal!J42)/Calculations!$Q74)</f>
        <v/>
      </c>
      <c r="B14" s="126" t="str">
        <f>IF(ISERROR(SigConcNL(Calculations!C55,BioScale_Internal!J42)/Calculations!$Q74),"",SigConcNL(Calculations!C55,BioScale_Internal!J42)/Calculations!$Q74)</f>
        <v/>
      </c>
      <c r="C14" s="126" t="str">
        <f>IF(ISERROR(SigConcNL(Calculations!D55,BioScale_Internal!J42)/Calculations!$Q74),"",SigConcNL(Calculations!D55,BioScale_Internal!J42)/Calculations!$Q74)</f>
        <v/>
      </c>
      <c r="D14" s="126" t="str">
        <f>IF(ISERROR(SigConcNL(Calculations!E55,BioScale_Internal!J42)/Calculations!$Q74),"",SigConcNL(Calculations!E55,BioScale_Internal!J42)/Calculations!$Q74)</f>
        <v/>
      </c>
      <c r="E14" s="126" t="str">
        <f>IF(ISERROR(SigConcNL(Calculations!F55,BioScale_Internal!J42)/Calculations!$Q74),"",SigConcNL(Calculations!F55,BioScale_Internal!J42)/Calculations!$Q74)</f>
        <v/>
      </c>
      <c r="F14" s="126" t="str">
        <f>IF(ISERROR(SigConcNL(Calculations!G55,BioScale_Internal!J42)/Calculations!$Q74),"",SigConcNL(Calculations!G55,BioScale_Internal!J42)/Calculations!$Q74)</f>
        <v/>
      </c>
      <c r="G14" s="126" t="str">
        <f>IF(ISERROR(SigConcNL(Calculations!H55,BioScale_Internal!J42)/Calculations!$Q74),"",SigConcNL(Calculations!H55,BioScale_Internal!J42)/Calculations!$Q74)</f>
        <v/>
      </c>
      <c r="H14" s="126" t="str">
        <f>IF(ISERROR(SigConcNL(Calculations!I55,BioScale_Internal!J42)/Calculations!$Q74),"",SigConcNL(Calculations!I55,BioScale_Internal!J42)/Calculations!$Q74)</f>
        <v/>
      </c>
      <c r="I14" s="126" t="str">
        <f>IF(ISERROR(SigConcNL(Calculations!J55,BioScale_Internal!J42)/Calculations!$Q74),"",SigConcNL(Calculations!J55,BioScale_Internal!J42)/Calculations!$Q74)</f>
        <v/>
      </c>
      <c r="J14" s="148" t="str">
        <f>IF(ISERROR(SigConcNL(Calculations!K55,BioScale_Internal!J42)/Calculations!$Q74),"",SigConcNL(Calculations!K55,BioScale_Internal!J42)/Calculations!$Q74)</f>
        <v/>
      </c>
      <c r="L14" s="147" t="str">
        <f>IF(ISERROR(SigConcNL(Calculations!P55,BioScale_Internal!J43)/Calculations!$T74),"",SigConcNL(Calculations!P55,BioScale_Internal!J43)/Calculations!$T74)</f>
        <v/>
      </c>
      <c r="M14" s="126" t="str">
        <f>IF(ISERROR(SigConcNL(Calculations!Q55,BioScale_Internal!J43)/Calculations!$T74),"",SigConcNL(Calculations!Q55,BioScale_Internal!J43)/Calculations!$T74)</f>
        <v/>
      </c>
      <c r="N14" s="126" t="str">
        <f>IF(ISERROR(SigConcNL(Calculations!R55,BioScale_Internal!J43)/Calculations!$T74),"",SigConcNL(Calculations!R55,BioScale_Internal!J43)/Calculations!$T74)</f>
        <v/>
      </c>
      <c r="O14" s="126" t="str">
        <f>IF(ISERROR(SigConcNL(Calculations!S55,BioScale_Internal!J43)/Calculations!$T74),"",SigConcNL(Calculations!S55,BioScale_Internal!J43)/Calculations!$T74)</f>
        <v/>
      </c>
      <c r="P14" s="126" t="str">
        <f>IF(ISERROR(SigConcNL(Calculations!T55,BioScale_Internal!J43)/Calculations!$T74),"",SigConcNL(Calculations!T55,BioScale_Internal!J43)/Calculations!$T74)</f>
        <v/>
      </c>
      <c r="Q14" s="126" t="str">
        <f>IF(ISERROR(SigConcNL(Calculations!U55,BioScale_Internal!J43)/Calculations!$T74),"",SigConcNL(Calculations!U55,BioScale_Internal!J43)/Calculations!$T74)</f>
        <v/>
      </c>
      <c r="R14" s="126" t="str">
        <f>IF(ISERROR(SigConcNL(Calculations!V55,BioScale_Internal!J43)/Calculations!$T74),"",SigConcNL(Calculations!V55,BioScale_Internal!J43)/Calculations!$T74)</f>
        <v/>
      </c>
      <c r="S14" s="126" t="str">
        <f>IF(ISERROR(SigConcNL(Calculations!W55,BioScale_Internal!J43)/Calculations!$T74),"",SigConcNL(Calculations!W55,BioScale_Internal!J43)/Calculations!$T74)</f>
        <v/>
      </c>
      <c r="T14" s="126" t="str">
        <f>IF(ISERROR(SigConcNL(Calculations!X55,BioScale_Internal!J43)/Calculations!$T74),"",SigConcNL(Calculations!X55,BioScale_Internal!J43)/Calculations!$T74)</f>
        <v/>
      </c>
      <c r="U14" s="148" t="str">
        <f>IF(ISERROR(SigConcNL(Calculations!Y55,BioScale_Internal!J43)/Calculations!$T74),"",SigConcNL(Calculations!Y55,BioScale_Internal!J43)/Calculations!$T74)</f>
        <v/>
      </c>
      <c r="W14" s="147" t="str">
        <f>IF(ISERROR(SigConcNL(Calculations!AD55,BioScale_Internal!J44)/Calculations!$W74),"",SigConcNL(Calculations!AD55,BioScale_Internal!J44)/Calculations!$W74)</f>
        <v/>
      </c>
      <c r="X14" s="126" t="str">
        <f>IF(ISERROR(SigConcNL(Calculations!AE55,BioScale_Internal!J44)/Calculations!$W74),"",SigConcNL(Calculations!AE55,BioScale_Internal!J44)/Calculations!$W74)</f>
        <v/>
      </c>
      <c r="Y14" s="126" t="str">
        <f>IF(ISERROR(SigConcNL(Calculations!AF55,BioScale_Internal!J44)/Calculations!$W74),"",SigConcNL(Calculations!AF55,BioScale_Internal!J44)/Calculations!$W74)</f>
        <v/>
      </c>
      <c r="Z14" s="126" t="str">
        <f>IF(ISERROR(SigConcNL(Calculations!AG55,BioScale_Internal!J44)/Calculations!$W74),"",SigConcNL(Calculations!AG55,BioScale_Internal!J44)/Calculations!$W74)</f>
        <v/>
      </c>
      <c r="AA14" s="126" t="str">
        <f>IF(ISERROR(SigConcNL(Calculations!AH55,BioScale_Internal!J44)/Calculations!$W74),"",SigConcNL(Calculations!AH55,BioScale_Internal!J44)/Calculations!$W74)</f>
        <v/>
      </c>
      <c r="AB14" s="126" t="str">
        <f>IF(ISERROR(SigConcNL(Calculations!AI55,BioScale_Internal!J44)/Calculations!$W74),"",SigConcNL(Calculations!AI55,BioScale_Internal!J44)/Calculations!$W74)</f>
        <v/>
      </c>
      <c r="AC14" s="126" t="str">
        <f>IF(ISERROR(SigConcNL(Calculations!AJ55,BioScale_Internal!J44)/Calculations!$W74),"",SigConcNL(Calculations!AJ55,BioScale_Internal!J44)/Calculations!$W74)</f>
        <v/>
      </c>
      <c r="AD14" s="126" t="str">
        <f>IF(ISERROR(SigConcNL(Calculations!AK55,BioScale_Internal!J44)/Calculations!$W74),"",SigConcNL(Calculations!AK55,BioScale_Internal!J44)/Calculations!$W74)</f>
        <v/>
      </c>
      <c r="AE14" s="126" t="str">
        <f>IF(ISERROR(SigConcNL(Calculations!AL55,BioScale_Internal!J44)/Calculations!$W74),"",SigConcNL(Calculations!AL55,BioScale_Internal!J44)/Calculations!$W74)</f>
        <v/>
      </c>
      <c r="AF14" s="148" t="str">
        <f>IF(ISERROR(SigConcNL(Calculations!AM55,BioScale_Internal!J44)/Calculations!$W74),"",SigConcNL(Calculations!AM55,BioScale_Internal!J44)/Calculations!$W74)</f>
        <v/>
      </c>
    </row>
    <row r="15" spans="1:32" s="1" customFormat="1" hidden="1" x14ac:dyDescent="0.25">
      <c r="A15" s="147" t="str">
        <f>IF(ISERROR(SigConcNL(Calculations!B56,BioScale_Internal!J42)/Calculations!$Q75),"",SigConcNL(Calculations!B56,BioScale_Internal!J42)/Calculations!$Q75)</f>
        <v/>
      </c>
      <c r="B15" s="126" t="str">
        <f>IF(ISERROR(SigConcNL(Calculations!C56,BioScale_Internal!J42)/Calculations!$Q75),"",SigConcNL(Calculations!C56,BioScale_Internal!J42)/Calculations!$Q75)</f>
        <v/>
      </c>
      <c r="C15" s="126" t="str">
        <f>IF(ISERROR(SigConcNL(Calculations!D56,BioScale_Internal!J42)/Calculations!$Q75),"",SigConcNL(Calculations!D56,BioScale_Internal!J42)/Calculations!$Q75)</f>
        <v/>
      </c>
      <c r="D15" s="126" t="str">
        <f>IF(ISERROR(SigConcNL(Calculations!E56,BioScale_Internal!J42)/Calculations!$Q75),"",SigConcNL(Calculations!E56,BioScale_Internal!J42)/Calculations!$Q75)</f>
        <v/>
      </c>
      <c r="E15" s="126" t="str">
        <f>IF(ISERROR(SigConcNL(Calculations!F56,BioScale_Internal!J42)/Calculations!$Q75),"",SigConcNL(Calculations!F56,BioScale_Internal!J42)/Calculations!$Q75)</f>
        <v/>
      </c>
      <c r="F15" s="126" t="str">
        <f>IF(ISERROR(SigConcNL(Calculations!G56,BioScale_Internal!J42)/Calculations!$Q75),"",SigConcNL(Calculations!G56,BioScale_Internal!J42)/Calculations!$Q75)</f>
        <v/>
      </c>
      <c r="G15" s="126" t="str">
        <f>IF(ISERROR(SigConcNL(Calculations!H56,BioScale_Internal!J42)/Calculations!$Q75),"",SigConcNL(Calculations!H56,BioScale_Internal!J42)/Calculations!$Q75)</f>
        <v/>
      </c>
      <c r="H15" s="126" t="str">
        <f>IF(ISERROR(SigConcNL(Calculations!I56,BioScale_Internal!J42)/Calculations!$Q75),"",SigConcNL(Calculations!I56,BioScale_Internal!J42)/Calculations!$Q75)</f>
        <v/>
      </c>
      <c r="I15" s="126" t="str">
        <f>IF(ISERROR(SigConcNL(Calculations!J56,BioScale_Internal!J42)/Calculations!$Q75),"",SigConcNL(Calculations!J56,BioScale_Internal!J42)/Calculations!$Q75)</f>
        <v/>
      </c>
      <c r="J15" s="148" t="str">
        <f>IF(ISERROR(SigConcNL(Calculations!K56,BioScale_Internal!J42)/Calculations!$Q75),"",SigConcNL(Calculations!K56,BioScale_Internal!J42)/Calculations!$Q75)</f>
        <v/>
      </c>
      <c r="L15" s="147" t="str">
        <f>IF(ISERROR(SigConcNL(Calculations!P56,BioScale_Internal!J43)/Calculations!$T75),"",SigConcNL(Calculations!P56,BioScale_Internal!J43)/Calculations!$T75)</f>
        <v/>
      </c>
      <c r="M15" s="126" t="str">
        <f>IF(ISERROR(SigConcNL(Calculations!Q56,BioScale_Internal!J43)/Calculations!$T75),"",SigConcNL(Calculations!Q56,BioScale_Internal!J43)/Calculations!$T75)</f>
        <v/>
      </c>
      <c r="N15" s="126" t="str">
        <f>IF(ISERROR(SigConcNL(Calculations!R56,BioScale_Internal!J43)/Calculations!$T75),"",SigConcNL(Calculations!R56,BioScale_Internal!J43)/Calculations!$T75)</f>
        <v/>
      </c>
      <c r="O15" s="126" t="str">
        <f>IF(ISERROR(SigConcNL(Calculations!S56,BioScale_Internal!J43)/Calculations!$T75),"",SigConcNL(Calculations!S56,BioScale_Internal!J43)/Calculations!$T75)</f>
        <v/>
      </c>
      <c r="P15" s="126" t="str">
        <f>IF(ISERROR(SigConcNL(Calculations!T56,BioScale_Internal!J43)/Calculations!$T75),"",SigConcNL(Calculations!T56,BioScale_Internal!J43)/Calculations!$T75)</f>
        <v/>
      </c>
      <c r="Q15" s="126" t="str">
        <f>IF(ISERROR(SigConcNL(Calculations!U56,BioScale_Internal!J43)/Calculations!$T75),"",SigConcNL(Calculations!U56,BioScale_Internal!J43)/Calculations!$T75)</f>
        <v/>
      </c>
      <c r="R15" s="126" t="str">
        <f>IF(ISERROR(SigConcNL(Calculations!V56,BioScale_Internal!J43)/Calculations!$T75),"",SigConcNL(Calculations!V56,BioScale_Internal!J43)/Calculations!$T75)</f>
        <v/>
      </c>
      <c r="S15" s="126" t="str">
        <f>IF(ISERROR(SigConcNL(Calculations!W56,BioScale_Internal!J43)/Calculations!$T75),"",SigConcNL(Calculations!W56,BioScale_Internal!J43)/Calculations!$T75)</f>
        <v/>
      </c>
      <c r="T15" s="126" t="str">
        <f>IF(ISERROR(SigConcNL(Calculations!X56,BioScale_Internal!J43)/Calculations!$T75),"",SigConcNL(Calculations!X56,BioScale_Internal!J43)/Calculations!$T75)</f>
        <v/>
      </c>
      <c r="U15" s="148" t="str">
        <f>IF(ISERROR(SigConcNL(Calculations!Y56,BioScale_Internal!J43)/Calculations!$T75),"",SigConcNL(Calculations!Y56,BioScale_Internal!J43)/Calculations!$T75)</f>
        <v/>
      </c>
      <c r="W15" s="147" t="str">
        <f>IF(ISERROR(SigConcNL(Calculations!AD56,BioScale_Internal!J44)/Calculations!$W75),"",SigConcNL(Calculations!AD56,BioScale_Internal!J44)/Calculations!$W75)</f>
        <v/>
      </c>
      <c r="X15" s="126" t="str">
        <f>IF(ISERROR(SigConcNL(Calculations!AE56,BioScale_Internal!J44)/Calculations!$W75),"",SigConcNL(Calculations!AE56,BioScale_Internal!J44)/Calculations!$W75)</f>
        <v/>
      </c>
      <c r="Y15" s="126" t="str">
        <f>IF(ISERROR(SigConcNL(Calculations!AF56,BioScale_Internal!J44)/Calculations!$W75),"",SigConcNL(Calculations!AF56,BioScale_Internal!J44)/Calculations!$W75)</f>
        <v/>
      </c>
      <c r="Z15" s="126" t="str">
        <f>IF(ISERROR(SigConcNL(Calculations!AG56,BioScale_Internal!J44)/Calculations!$W75),"",SigConcNL(Calculations!AG56,BioScale_Internal!J44)/Calculations!$W75)</f>
        <v/>
      </c>
      <c r="AA15" s="126" t="str">
        <f>IF(ISERROR(SigConcNL(Calculations!AH56,BioScale_Internal!J44)/Calculations!$W75),"",SigConcNL(Calculations!AH56,BioScale_Internal!J44)/Calculations!$W75)</f>
        <v/>
      </c>
      <c r="AB15" s="126" t="str">
        <f>IF(ISERROR(SigConcNL(Calculations!AI56,BioScale_Internal!J44)/Calculations!$W75),"",SigConcNL(Calculations!AI56,BioScale_Internal!J44)/Calculations!$W75)</f>
        <v/>
      </c>
      <c r="AC15" s="126" t="str">
        <f>IF(ISERROR(SigConcNL(Calculations!AJ56,BioScale_Internal!J44)/Calculations!$W75),"",SigConcNL(Calculations!AJ56,BioScale_Internal!J44)/Calculations!$W75)</f>
        <v/>
      </c>
      <c r="AD15" s="126" t="str">
        <f>IF(ISERROR(SigConcNL(Calculations!AK56,BioScale_Internal!J44)/Calculations!$W75),"",SigConcNL(Calculations!AK56,BioScale_Internal!J44)/Calculations!$W75)</f>
        <v/>
      </c>
      <c r="AE15" s="126" t="str">
        <f>IF(ISERROR(SigConcNL(Calculations!AL56,BioScale_Internal!J44)/Calculations!$W75),"",SigConcNL(Calculations!AL56,BioScale_Internal!J44)/Calculations!$W75)</f>
        <v/>
      </c>
      <c r="AF15" s="148" t="str">
        <f>IF(ISERROR(SigConcNL(Calculations!AM56,BioScale_Internal!J44)/Calculations!$W75),"",SigConcNL(Calculations!AM56,BioScale_Internal!J44)/Calculations!$W75)</f>
        <v/>
      </c>
    </row>
    <row r="16" spans="1:32" s="1" customFormat="1" hidden="1" x14ac:dyDescent="0.25">
      <c r="A16" s="147" t="str">
        <f>IF(ISERROR(SigConcNL(Calculations!B57,BioScale_Internal!J42)/Calculations!$Q76),"",SigConcNL(Calculations!B57,BioScale_Internal!J42)/Calculations!$Q76)</f>
        <v/>
      </c>
      <c r="B16" s="126" t="str">
        <f>IF(ISERROR(SigConcNL(Calculations!C57,BioScale_Internal!J42)/Calculations!$Q76),"",SigConcNL(Calculations!C57,BioScale_Internal!J42)/Calculations!$Q76)</f>
        <v/>
      </c>
      <c r="C16" s="126" t="str">
        <f>IF(ISERROR(SigConcNL(Calculations!D57,BioScale_Internal!J42)/Calculations!$Q76),"",SigConcNL(Calculations!D57,BioScale_Internal!J42)/Calculations!$Q76)</f>
        <v/>
      </c>
      <c r="D16" s="126" t="str">
        <f>IF(ISERROR(SigConcNL(Calculations!E57,BioScale_Internal!J42)/Calculations!$Q76),"",SigConcNL(Calculations!E57,BioScale_Internal!J42)/Calculations!$Q76)</f>
        <v/>
      </c>
      <c r="E16" s="126" t="str">
        <f>IF(ISERROR(SigConcNL(Calculations!F57,BioScale_Internal!J42)/Calculations!$Q76),"",SigConcNL(Calculations!F57,BioScale_Internal!J42)/Calculations!$Q76)</f>
        <v/>
      </c>
      <c r="F16" s="126" t="str">
        <f>IF(ISERROR(SigConcNL(Calculations!G57,BioScale_Internal!J42)/Calculations!$Q76),"",SigConcNL(Calculations!G57,BioScale_Internal!J42)/Calculations!$Q76)</f>
        <v/>
      </c>
      <c r="G16" s="126" t="str">
        <f>IF(ISERROR(SigConcNL(Calculations!H57,BioScale_Internal!J42)/Calculations!$Q76),"",SigConcNL(Calculations!H57,BioScale_Internal!J42)/Calculations!$Q76)</f>
        <v/>
      </c>
      <c r="H16" s="126" t="str">
        <f>IF(ISERROR(SigConcNL(Calculations!I57,BioScale_Internal!J42)/Calculations!$Q76),"",SigConcNL(Calculations!I57,BioScale_Internal!J42)/Calculations!$Q76)</f>
        <v/>
      </c>
      <c r="I16" s="126" t="str">
        <f>IF(ISERROR(SigConcNL(Calculations!J57,BioScale_Internal!J42)/Calculations!$Q76),"",SigConcNL(Calculations!J57,BioScale_Internal!J42)/Calculations!$Q76)</f>
        <v/>
      </c>
      <c r="J16" s="148" t="str">
        <f>IF(ISERROR(SigConcNL(Calculations!K57,BioScale_Internal!J42)/Calculations!$Q76),"",SigConcNL(Calculations!K57,BioScale_Internal!J42)/Calculations!$Q76)</f>
        <v/>
      </c>
      <c r="L16" s="147" t="str">
        <f>IF(ISERROR(SigConcNL(Calculations!P57,BioScale_Internal!J43)/Calculations!$T76),"",SigConcNL(Calculations!P57,BioScale_Internal!J43)/Calculations!$T76)</f>
        <v/>
      </c>
      <c r="M16" s="126" t="str">
        <f>IF(ISERROR(SigConcNL(Calculations!Q57,BioScale_Internal!J43)/Calculations!$T76),"",SigConcNL(Calculations!Q57,BioScale_Internal!J43)/Calculations!$T76)</f>
        <v/>
      </c>
      <c r="N16" s="126" t="str">
        <f>IF(ISERROR(SigConcNL(Calculations!R57,BioScale_Internal!J43)/Calculations!$T76),"",SigConcNL(Calculations!R57,BioScale_Internal!J43)/Calculations!$T76)</f>
        <v/>
      </c>
      <c r="O16" s="126" t="str">
        <f>IF(ISERROR(SigConcNL(Calculations!S57,BioScale_Internal!J43)/Calculations!$T76),"",SigConcNL(Calculations!S57,BioScale_Internal!J43)/Calculations!$T76)</f>
        <v/>
      </c>
      <c r="P16" s="126" t="str">
        <f>IF(ISERROR(SigConcNL(Calculations!T57,BioScale_Internal!J43)/Calculations!$T76),"",SigConcNL(Calculations!T57,BioScale_Internal!J43)/Calculations!$T76)</f>
        <v/>
      </c>
      <c r="Q16" s="126" t="str">
        <f>IF(ISERROR(SigConcNL(Calculations!U57,BioScale_Internal!J43)/Calculations!$T76),"",SigConcNL(Calculations!U57,BioScale_Internal!J43)/Calculations!$T76)</f>
        <v/>
      </c>
      <c r="R16" s="126" t="str">
        <f>IF(ISERROR(SigConcNL(Calculations!V57,BioScale_Internal!J43)/Calculations!$T76),"",SigConcNL(Calculations!V57,BioScale_Internal!J43)/Calculations!$T76)</f>
        <v/>
      </c>
      <c r="S16" s="126" t="str">
        <f>IF(ISERROR(SigConcNL(Calculations!W57,BioScale_Internal!J43)/Calculations!$T76),"",SigConcNL(Calculations!W57,BioScale_Internal!J43)/Calculations!$T76)</f>
        <v/>
      </c>
      <c r="T16" s="126" t="str">
        <f>IF(ISERROR(SigConcNL(Calculations!X57,BioScale_Internal!J43)/Calculations!$T76),"",SigConcNL(Calculations!X57,BioScale_Internal!J43)/Calculations!$T76)</f>
        <v/>
      </c>
      <c r="U16" s="148" t="str">
        <f>IF(ISERROR(SigConcNL(Calculations!Y57,BioScale_Internal!J43)/Calculations!$T76),"",SigConcNL(Calculations!Y57,BioScale_Internal!J43)/Calculations!$T76)</f>
        <v/>
      </c>
      <c r="W16" s="147" t="str">
        <f>IF(ISERROR(SigConcNL(Calculations!AD57,BioScale_Internal!J44)/Calculations!$W76),"",SigConcNL(Calculations!AD57,BioScale_Internal!J44)/Calculations!$W76)</f>
        <v/>
      </c>
      <c r="X16" s="126" t="str">
        <f>IF(ISERROR(SigConcNL(Calculations!AE57,BioScale_Internal!J44)/Calculations!$W76),"",SigConcNL(Calculations!AE57,BioScale_Internal!J44)/Calculations!$W76)</f>
        <v/>
      </c>
      <c r="Y16" s="126" t="str">
        <f>IF(ISERROR(SigConcNL(Calculations!AF57,BioScale_Internal!J44)/Calculations!$W76),"",SigConcNL(Calculations!AF57,BioScale_Internal!J44)/Calculations!$W76)</f>
        <v/>
      </c>
      <c r="Z16" s="126" t="str">
        <f>IF(ISERROR(SigConcNL(Calculations!AG57,BioScale_Internal!J44)/Calculations!$W76),"",SigConcNL(Calculations!AG57,BioScale_Internal!J44)/Calculations!$W76)</f>
        <v/>
      </c>
      <c r="AA16" s="126" t="str">
        <f>IF(ISERROR(SigConcNL(Calculations!AH57,BioScale_Internal!J44)/Calculations!$W76),"",SigConcNL(Calculations!AH57,BioScale_Internal!J44)/Calculations!$W76)</f>
        <v/>
      </c>
      <c r="AB16" s="126" t="str">
        <f>IF(ISERROR(SigConcNL(Calculations!AI57,BioScale_Internal!J44)/Calculations!$W76),"",SigConcNL(Calculations!AI57,BioScale_Internal!J44)/Calculations!$W76)</f>
        <v/>
      </c>
      <c r="AC16" s="126" t="str">
        <f>IF(ISERROR(SigConcNL(Calculations!AJ57,BioScale_Internal!J44)/Calculations!$W76),"",SigConcNL(Calculations!AJ57,BioScale_Internal!J44)/Calculations!$W76)</f>
        <v/>
      </c>
      <c r="AD16" s="126" t="str">
        <f>IF(ISERROR(SigConcNL(Calculations!AK57,BioScale_Internal!J44)/Calculations!$W76),"",SigConcNL(Calculations!AK57,BioScale_Internal!J44)/Calculations!$W76)</f>
        <v/>
      </c>
      <c r="AE16" s="126" t="str">
        <f>IF(ISERROR(SigConcNL(Calculations!AL57,BioScale_Internal!J44)/Calculations!$W76),"",SigConcNL(Calculations!AL57,BioScale_Internal!J44)/Calculations!$W76)</f>
        <v/>
      </c>
      <c r="AF16" s="148" t="str">
        <f>IF(ISERROR(SigConcNL(Calculations!AM57,BioScale_Internal!J44)/Calculations!$W76),"",SigConcNL(Calculations!AM57,BioScale_Internal!J44)/Calculations!$W76)</f>
        <v/>
      </c>
    </row>
    <row r="17" spans="1:32" s="1" customFormat="1" hidden="1" x14ac:dyDescent="0.25">
      <c r="A17" s="147" t="str">
        <f>IF(ISERROR(SigConcNL(Calculations!B58,BioScale_Internal!J42)/Calculations!$Q77),"",SigConcNL(Calculations!B58,BioScale_Internal!J42)/Calculations!$Q77)</f>
        <v/>
      </c>
      <c r="B17" s="126" t="str">
        <f>IF(ISERROR(SigConcNL(Calculations!C58,BioScale_Internal!J42)/Calculations!$Q77),"",SigConcNL(Calculations!C58,BioScale_Internal!J42)/Calculations!$Q77)</f>
        <v/>
      </c>
      <c r="C17" s="126" t="str">
        <f>IF(ISERROR(SigConcNL(Calculations!D58,BioScale_Internal!J42)/Calculations!$Q77),"",SigConcNL(Calculations!D58,BioScale_Internal!J42)/Calculations!$Q77)</f>
        <v/>
      </c>
      <c r="D17" s="126" t="str">
        <f>IF(ISERROR(SigConcNL(Calculations!E58,BioScale_Internal!J42)/Calculations!$Q77),"",SigConcNL(Calculations!E58,BioScale_Internal!J42)/Calculations!$Q77)</f>
        <v/>
      </c>
      <c r="E17" s="126" t="str">
        <f>IF(ISERROR(SigConcNL(Calculations!F58,BioScale_Internal!J42)/Calculations!$Q77),"",SigConcNL(Calculations!F58,BioScale_Internal!J42)/Calculations!$Q77)</f>
        <v/>
      </c>
      <c r="F17" s="126" t="str">
        <f>IF(ISERROR(SigConcNL(Calculations!G58,BioScale_Internal!J42)/Calculations!$Q77),"",SigConcNL(Calculations!G58,BioScale_Internal!J42)/Calculations!$Q77)</f>
        <v/>
      </c>
      <c r="G17" s="126" t="str">
        <f>IF(ISERROR(SigConcNL(Calculations!H58,BioScale_Internal!J42)/Calculations!$Q77),"",SigConcNL(Calculations!H58,BioScale_Internal!J42)/Calculations!$Q77)</f>
        <v/>
      </c>
      <c r="H17" s="126" t="str">
        <f>IF(ISERROR(SigConcNL(Calculations!I58,BioScale_Internal!J42)/Calculations!$Q77),"",SigConcNL(Calculations!I58,BioScale_Internal!J42)/Calculations!$Q77)</f>
        <v/>
      </c>
      <c r="I17" s="126" t="str">
        <f>IF(ISERROR(SigConcNL(Calculations!J58,BioScale_Internal!J42)/Calculations!$Q77),"",SigConcNL(Calculations!J58,BioScale_Internal!J42)/Calculations!$Q77)</f>
        <v/>
      </c>
      <c r="J17" s="148" t="str">
        <f>IF(ISERROR(SigConcNL(Calculations!K58,BioScale_Internal!J42)/Calculations!$Q77),"",SigConcNL(Calculations!K58,BioScale_Internal!J42)/Calculations!$Q77)</f>
        <v/>
      </c>
      <c r="L17" s="147" t="str">
        <f>IF(ISERROR(SigConcNL(Calculations!P58,BioScale_Internal!J43)/Calculations!$T77),"",SigConcNL(Calculations!P58,BioScale_Internal!J43)/Calculations!$T77)</f>
        <v/>
      </c>
      <c r="M17" s="126" t="str">
        <f>IF(ISERROR(SigConcNL(Calculations!Q58,BioScale_Internal!J43)/Calculations!$T77),"",SigConcNL(Calculations!Q58,BioScale_Internal!J43)/Calculations!$T77)</f>
        <v/>
      </c>
      <c r="N17" s="126" t="str">
        <f>IF(ISERROR(SigConcNL(Calculations!R58,BioScale_Internal!J43)/Calculations!$T77),"",SigConcNL(Calculations!R58,BioScale_Internal!J43)/Calculations!$T77)</f>
        <v/>
      </c>
      <c r="O17" s="126" t="str">
        <f>IF(ISERROR(SigConcNL(Calculations!S58,BioScale_Internal!J43)/Calculations!$T77),"",SigConcNL(Calculations!S58,BioScale_Internal!J43)/Calculations!$T77)</f>
        <v/>
      </c>
      <c r="P17" s="126" t="str">
        <f>IF(ISERROR(SigConcNL(Calculations!T58,BioScale_Internal!J43)/Calculations!$T77),"",SigConcNL(Calculations!T58,BioScale_Internal!J43)/Calculations!$T77)</f>
        <v/>
      </c>
      <c r="Q17" s="126" t="str">
        <f>IF(ISERROR(SigConcNL(Calculations!U58,BioScale_Internal!J43)/Calculations!$T77),"",SigConcNL(Calculations!U58,BioScale_Internal!J43)/Calculations!$T77)</f>
        <v/>
      </c>
      <c r="R17" s="126" t="str">
        <f>IF(ISERROR(SigConcNL(Calculations!V58,BioScale_Internal!J43)/Calculations!$T77),"",SigConcNL(Calculations!V58,BioScale_Internal!J43)/Calculations!$T77)</f>
        <v/>
      </c>
      <c r="S17" s="126" t="str">
        <f>IF(ISERROR(SigConcNL(Calculations!W58,BioScale_Internal!J43)/Calculations!$T77),"",SigConcNL(Calculations!W58,BioScale_Internal!J43)/Calculations!$T77)</f>
        <v/>
      </c>
      <c r="T17" s="126" t="str">
        <f>IF(ISERROR(SigConcNL(Calculations!X58,BioScale_Internal!J43)/Calculations!$T77),"",SigConcNL(Calculations!X58,BioScale_Internal!J43)/Calculations!$T77)</f>
        <v/>
      </c>
      <c r="U17" s="148" t="str">
        <f>IF(ISERROR(SigConcNL(Calculations!Y58,BioScale_Internal!J43)/Calculations!$T77),"",SigConcNL(Calculations!Y58,BioScale_Internal!J43)/Calculations!$T77)</f>
        <v/>
      </c>
      <c r="W17" s="147" t="str">
        <f>IF(ISERROR(SigConcNL(Calculations!AD58,BioScale_Internal!J44)/Calculations!$W77),"",SigConcNL(Calculations!AD58,BioScale_Internal!J44)/Calculations!$W77)</f>
        <v/>
      </c>
      <c r="X17" s="126" t="str">
        <f>IF(ISERROR(SigConcNL(Calculations!AE58,BioScale_Internal!J44)/Calculations!$W77),"",SigConcNL(Calculations!AE58,BioScale_Internal!J44)/Calculations!$W77)</f>
        <v/>
      </c>
      <c r="Y17" s="126" t="str">
        <f>IF(ISERROR(SigConcNL(Calculations!AF58,BioScale_Internal!J44)/Calculations!$W77),"",SigConcNL(Calculations!AF58,BioScale_Internal!J44)/Calculations!$W77)</f>
        <v/>
      </c>
      <c r="Z17" s="126" t="str">
        <f>IF(ISERROR(SigConcNL(Calculations!AG58,BioScale_Internal!J44)/Calculations!$W77),"",SigConcNL(Calculations!AG58,BioScale_Internal!J44)/Calculations!$W77)</f>
        <v/>
      </c>
      <c r="AA17" s="126" t="str">
        <f>IF(ISERROR(SigConcNL(Calculations!AH58,BioScale_Internal!J44)/Calculations!$W77),"",SigConcNL(Calculations!AH58,BioScale_Internal!J44)/Calculations!$W77)</f>
        <v/>
      </c>
      <c r="AB17" s="126" t="str">
        <f>IF(ISERROR(SigConcNL(Calculations!AI58,BioScale_Internal!J44)/Calculations!$W77),"",SigConcNL(Calculations!AI58,BioScale_Internal!J44)/Calculations!$W77)</f>
        <v/>
      </c>
      <c r="AC17" s="126" t="str">
        <f>IF(ISERROR(SigConcNL(Calculations!AJ58,BioScale_Internal!J44)/Calculations!$W77),"",SigConcNL(Calculations!AJ58,BioScale_Internal!J44)/Calculations!$W77)</f>
        <v/>
      </c>
      <c r="AD17" s="126" t="str">
        <f>IF(ISERROR(SigConcNL(Calculations!AK58,BioScale_Internal!J44)/Calculations!$W77),"",SigConcNL(Calculations!AK58,BioScale_Internal!J44)/Calculations!$W77)</f>
        <v/>
      </c>
      <c r="AE17" s="126" t="str">
        <f>IF(ISERROR(SigConcNL(Calculations!AL58,BioScale_Internal!J44)/Calculations!$W77),"",SigConcNL(Calculations!AL58,BioScale_Internal!J44)/Calculations!$W77)</f>
        <v/>
      </c>
      <c r="AF17" s="148" t="str">
        <f>IF(ISERROR(SigConcNL(Calculations!AM58,BioScale_Internal!J44)/Calculations!$W77),"",SigConcNL(Calculations!AM58,BioScale_Internal!J44)/Calculations!$W77)</f>
        <v/>
      </c>
    </row>
    <row r="18" spans="1:32" s="1" customFormat="1" hidden="1" x14ac:dyDescent="0.25">
      <c r="A18" s="149" t="str">
        <f>IF(ISERROR(SigConcNL(Calculations!B59,BioScale_Internal!J42)/Calculations!$Q78),"",SigConcNL(Calculations!B59,BioScale_Internal!J42)/Calculations!$Q78)</f>
        <v/>
      </c>
      <c r="B18" s="150" t="str">
        <f>IF(ISERROR(SigConcNL(Calculations!C59,BioScale_Internal!J42)/Calculations!$Q78),"",SigConcNL(Calculations!C59,BioScale_Internal!J42)/Calculations!$Q78)</f>
        <v/>
      </c>
      <c r="C18" s="150" t="str">
        <f>IF(ISERROR(SigConcNL(Calculations!D59,BioScale_Internal!J42)/Calculations!$Q78),"",SigConcNL(Calculations!D59,BioScale_Internal!J42)/Calculations!$Q78)</f>
        <v/>
      </c>
      <c r="D18" s="150" t="str">
        <f>IF(ISERROR(SigConcNL(Calculations!E59,BioScale_Internal!J42)/Calculations!$Q78),"",SigConcNL(Calculations!E59,BioScale_Internal!J42)/Calculations!$Q78)</f>
        <v/>
      </c>
      <c r="E18" s="150" t="str">
        <f>IF(ISERROR(SigConcNL(Calculations!F59,BioScale_Internal!J42)/Calculations!$Q78),"",SigConcNL(Calculations!F59,BioScale_Internal!J42)/Calculations!$Q78)</f>
        <v/>
      </c>
      <c r="F18" s="150" t="str">
        <f>IF(ISERROR(SigConcNL(Calculations!G59,BioScale_Internal!J42)/Calculations!$Q78),"",SigConcNL(Calculations!G59,BioScale_Internal!J42)/Calculations!$Q78)</f>
        <v/>
      </c>
      <c r="G18" s="150" t="str">
        <f>IF(ISERROR(SigConcNL(Calculations!H59,BioScale_Internal!J42)/Calculations!$Q78),"",SigConcNL(Calculations!H59,BioScale_Internal!J42)/Calculations!$Q78)</f>
        <v/>
      </c>
      <c r="H18" s="150" t="str">
        <f>IF(ISERROR(SigConcNL(Calculations!I59,BioScale_Internal!J42)/Calculations!$Q78),"",SigConcNL(Calculations!I59,BioScale_Internal!J42)/Calculations!$Q78)</f>
        <v/>
      </c>
      <c r="I18" s="150" t="str">
        <f>IF(ISERROR(SigConcNL(Calculations!J59,BioScale_Internal!J42)/Calculations!$Q78),"",SigConcNL(Calculations!J59,BioScale_Internal!J42)/Calculations!$Q78)</f>
        <v/>
      </c>
      <c r="J18" s="151" t="str">
        <f>IF(ISERROR(SigConcNL(Calculations!K59,BioScale_Internal!J42)/Calculations!$Q78),"",SigConcNL(Calculations!K59,BioScale_Internal!J42)/Calculations!$Q78)</f>
        <v/>
      </c>
      <c r="L18" s="149" t="str">
        <f>IF(ISERROR(SigConcNL(Calculations!P59,BioScale_Internal!J43)/Calculations!$T78),"",SigConcNL(Calculations!P59,BioScale_Internal!J43)/Calculations!$T78)</f>
        <v/>
      </c>
      <c r="M18" s="150" t="str">
        <f>IF(ISERROR(SigConcNL(Calculations!Q59,BioScale_Internal!J43)/Calculations!$T78),"",SigConcNL(Calculations!Q59,BioScale_Internal!J43)/Calculations!$T78)</f>
        <v/>
      </c>
      <c r="N18" s="150" t="str">
        <f>IF(ISERROR(SigConcNL(Calculations!R59,BioScale_Internal!J43)/Calculations!$T78),"",SigConcNL(Calculations!R59,BioScale_Internal!J43)/Calculations!$T78)</f>
        <v/>
      </c>
      <c r="O18" s="150" t="str">
        <f>IF(ISERROR(SigConcNL(Calculations!S59,BioScale_Internal!J43)/Calculations!$T78),"",SigConcNL(Calculations!S59,BioScale_Internal!J43)/Calculations!$T78)</f>
        <v/>
      </c>
      <c r="P18" s="150" t="str">
        <f>IF(ISERROR(SigConcNL(Calculations!T59,BioScale_Internal!J43)/Calculations!$T78),"",SigConcNL(Calculations!T59,BioScale_Internal!J43)/Calculations!$T78)</f>
        <v/>
      </c>
      <c r="Q18" s="150" t="str">
        <f>IF(ISERROR(SigConcNL(Calculations!U59,BioScale_Internal!J43)/Calculations!$T78),"",SigConcNL(Calculations!U59,BioScale_Internal!J43)/Calculations!$T78)</f>
        <v/>
      </c>
      <c r="R18" s="150" t="str">
        <f>IF(ISERROR(SigConcNL(Calculations!V59,BioScale_Internal!J43)/Calculations!$T78),"",SigConcNL(Calculations!V59,BioScale_Internal!J43)/Calculations!$T78)</f>
        <v/>
      </c>
      <c r="S18" s="150" t="str">
        <f>IF(ISERROR(SigConcNL(Calculations!W59,BioScale_Internal!J43)/Calculations!$T78),"",SigConcNL(Calculations!W59,BioScale_Internal!J43)/Calculations!$T78)</f>
        <v/>
      </c>
      <c r="T18" s="150" t="str">
        <f>IF(ISERROR(SigConcNL(Calculations!X59,BioScale_Internal!J43)/Calculations!$T78),"",SigConcNL(Calculations!X59,BioScale_Internal!J43)/Calculations!$T78)</f>
        <v/>
      </c>
      <c r="U18" s="151" t="str">
        <f>IF(ISERROR(SigConcNL(Calculations!Y59,BioScale_Internal!J43)/Calculations!$T78),"",SigConcNL(Calculations!Y59,BioScale_Internal!J43)/Calculations!$T78)</f>
        <v/>
      </c>
      <c r="W18" s="149" t="str">
        <f>IF(ISERROR(SigConcNL(Calculations!AD59,BioScale_Internal!J44)/Calculations!$W78),"",SigConcNL(Calculations!AD59,BioScale_Internal!J44)/Calculations!$W78)</f>
        <v/>
      </c>
      <c r="X18" s="150" t="str">
        <f>IF(ISERROR(SigConcNL(Calculations!AE59,BioScale_Internal!J44)/Calculations!$W78),"",SigConcNL(Calculations!AE59,BioScale_Internal!J44)/Calculations!$W78)</f>
        <v/>
      </c>
      <c r="Y18" s="150" t="str">
        <f>IF(ISERROR(SigConcNL(Calculations!AF59,BioScale_Internal!J44)/Calculations!$W78),"",SigConcNL(Calculations!AF59,BioScale_Internal!J44)/Calculations!$W78)</f>
        <v/>
      </c>
      <c r="Z18" s="150" t="str">
        <f>IF(ISERROR(SigConcNL(Calculations!AG59,BioScale_Internal!J44)/Calculations!$W78),"",SigConcNL(Calculations!AG59,BioScale_Internal!J44)/Calculations!$W78)</f>
        <v/>
      </c>
      <c r="AA18" s="150" t="str">
        <f>IF(ISERROR(SigConcNL(Calculations!AH59,BioScale_Internal!J44)/Calculations!$W78),"",SigConcNL(Calculations!AH59,BioScale_Internal!J44)/Calculations!$W78)</f>
        <v/>
      </c>
      <c r="AB18" s="150" t="str">
        <f>IF(ISERROR(SigConcNL(Calculations!AI59,BioScale_Internal!J44)/Calculations!$W78),"",SigConcNL(Calculations!AI59,BioScale_Internal!J44)/Calculations!$W78)</f>
        <v/>
      </c>
      <c r="AC18" s="150" t="str">
        <f>IF(ISERROR(SigConcNL(Calculations!AJ59,BioScale_Internal!J44)/Calculations!$W78),"",SigConcNL(Calculations!AJ59,BioScale_Internal!J44)/Calculations!$W78)</f>
        <v/>
      </c>
      <c r="AD18" s="150" t="str">
        <f>IF(ISERROR(SigConcNL(Calculations!AK59,BioScale_Internal!J44)/Calculations!$W78),"",SigConcNL(Calculations!AK59,BioScale_Internal!J44)/Calculations!$W78)</f>
        <v/>
      </c>
      <c r="AE18" s="150" t="str">
        <f>IF(ISERROR(SigConcNL(Calculations!AL59,BioScale_Internal!J44)/Calculations!$W78),"",SigConcNL(Calculations!AL59,BioScale_Internal!J44)/Calculations!$W78)</f>
        <v/>
      </c>
      <c r="AF18" s="151" t="str">
        <f>IF(ISERROR(SigConcNL(Calculations!AM59,BioScale_Internal!J44)/Calculations!$W78),"",SigConcNL(Calculations!AM59,BioScale_Internal!J44)/Calculations!$W78)</f>
        <v/>
      </c>
    </row>
    <row r="19" spans="1:32" hidden="1" x14ac:dyDescent="0.25">
      <c r="A19" s="125"/>
      <c r="B19" s="125"/>
      <c r="C19" s="125"/>
      <c r="D19" s="125"/>
      <c r="E19" s="125"/>
      <c r="F19" s="125"/>
      <c r="G19" s="125"/>
      <c r="H19" s="125"/>
      <c r="I19" s="125"/>
      <c r="J19" s="125"/>
      <c r="L19" s="125"/>
      <c r="M19" s="125"/>
      <c r="N19" s="125"/>
      <c r="O19" s="125"/>
      <c r="P19" s="125"/>
      <c r="Q19" s="125"/>
      <c r="R19" s="125"/>
      <c r="S19" s="125"/>
      <c r="T19" s="125"/>
      <c r="U19" s="125"/>
    </row>
    <row r="20" spans="1:32" s="127" customFormat="1" ht="30" x14ac:dyDescent="0.25">
      <c r="A20" s="128" t="s">
        <v>42</v>
      </c>
      <c r="B20" s="135" t="s">
        <v>584</v>
      </c>
      <c r="C20" s="130" t="s">
        <v>579</v>
      </c>
      <c r="D20" s="131" t="s">
        <v>580</v>
      </c>
      <c r="E20" s="131" t="s">
        <v>581</v>
      </c>
      <c r="F20" s="130" t="s">
        <v>576</v>
      </c>
      <c r="G20" s="131" t="s">
        <v>577</v>
      </c>
      <c r="H20" s="131" t="s">
        <v>578</v>
      </c>
      <c r="I20" s="131" t="s">
        <v>583</v>
      </c>
      <c r="J20" s="141" t="s">
        <v>595</v>
      </c>
      <c r="L20" s="128" t="s">
        <v>42</v>
      </c>
      <c r="M20" s="135" t="s">
        <v>584</v>
      </c>
      <c r="N20" s="130" t="s">
        <v>579</v>
      </c>
      <c r="O20" s="131" t="s">
        <v>580</v>
      </c>
      <c r="P20" s="131" t="s">
        <v>581</v>
      </c>
      <c r="Q20" s="130" t="s">
        <v>576</v>
      </c>
      <c r="R20" s="131" t="s">
        <v>577</v>
      </c>
      <c r="S20" s="131" t="s">
        <v>578</v>
      </c>
      <c r="T20" s="131" t="s">
        <v>583</v>
      </c>
      <c r="U20" s="141" t="s">
        <v>595</v>
      </c>
      <c r="W20" s="128" t="s">
        <v>42</v>
      </c>
      <c r="X20" s="135" t="s">
        <v>584</v>
      </c>
      <c r="Y20" s="130" t="s">
        <v>579</v>
      </c>
      <c r="Z20" s="131" t="s">
        <v>580</v>
      </c>
      <c r="AA20" s="131" t="s">
        <v>581</v>
      </c>
      <c r="AB20" s="130" t="s">
        <v>576</v>
      </c>
      <c r="AC20" s="131" t="s">
        <v>577</v>
      </c>
      <c r="AD20" s="131" t="s">
        <v>578</v>
      </c>
      <c r="AE20" s="131" t="s">
        <v>583</v>
      </c>
      <c r="AF20" s="141" t="s">
        <v>595</v>
      </c>
    </row>
    <row r="21" spans="1:32" x14ac:dyDescent="0.25">
      <c r="A21" s="129" t="s">
        <v>29</v>
      </c>
      <c r="B21" s="123">
        <f>Calculations!Q63</f>
        <v>1000</v>
      </c>
      <c r="C21" s="132">
        <f>Calculations!L44</f>
        <v>2.6552500000000001</v>
      </c>
      <c r="D21" s="132">
        <f>Calculations!M44</f>
        <v>2.9881711240601187E-2</v>
      </c>
      <c r="E21" s="133">
        <f>D21/C21</f>
        <v>1.1253822141267748E-2</v>
      </c>
      <c r="F21" s="144">
        <f t="shared" ref="F21:F36" si="0">IF(ISERROR(AVERAGE(A3:J3)),NA(),AVERAGE(A3:J3))</f>
        <v>0.96785773922502316</v>
      </c>
      <c r="G21" s="134">
        <f t="shared" ref="G21:G36" si="1">IF(ISERROR(STDEV(A3:J3)),NA(),STDEV(A3:J3))</f>
        <v>6.915279160071168E-2</v>
      </c>
      <c r="H21" s="133">
        <f>G21/F21</f>
        <v>7.1449334750459573E-2</v>
      </c>
      <c r="I21" s="124" t="b">
        <f>IF(AND(COUNT(Calculations!B44:K44)=COUNT(Statistics!A3:J3),0.9&lt;=F21,F21&lt;=1.1,H21&lt;=0.2),TRUE,FALSE)</f>
        <v>1</v>
      </c>
      <c r="J21" s="142">
        <f>ABS(F21-1)</f>
        <v>3.2142260774976839E-2</v>
      </c>
      <c r="L21" s="129" t="s">
        <v>29</v>
      </c>
      <c r="M21" s="123" t="e">
        <f>Calculations!T63</f>
        <v>#N/A</v>
      </c>
      <c r="N21" s="132" t="e">
        <f>Calculations!Z44</f>
        <v>#N/A</v>
      </c>
      <c r="O21" s="132" t="e">
        <f>Calculations!AA44</f>
        <v>#N/A</v>
      </c>
      <c r="P21" s="133" t="e">
        <f>O21/N21</f>
        <v>#N/A</v>
      </c>
      <c r="Q21" s="144" t="e">
        <f t="shared" ref="Q21:Q36" si="2">IF(ISERROR(AVERAGE(L3:U3)),NA(),AVERAGE(L3:U3))</f>
        <v>#N/A</v>
      </c>
      <c r="R21" s="134" t="e">
        <f t="shared" ref="R21:R36" si="3">IF(ISERROR(STDEV(L3:U3)),NA(),STDEV(L3:U3))</f>
        <v>#N/A</v>
      </c>
      <c r="S21" s="133" t="e">
        <f>R21/Q21</f>
        <v>#N/A</v>
      </c>
      <c r="T21" s="123" t="e">
        <f>IF(AND(COUNT(Calculations!P44:Y44)=COUNT(Statistics!L3:U3),0.9&lt;=Q21,Q21&lt;=1.1,S21&lt;=0.2),TRUE,FALSE)</f>
        <v>#N/A</v>
      </c>
      <c r="U21" s="142" t="e">
        <f>ABS(Q21-1)</f>
        <v>#N/A</v>
      </c>
      <c r="W21" s="129" t="s">
        <v>29</v>
      </c>
      <c r="X21" s="123" t="e">
        <f>Calculations!W63</f>
        <v>#N/A</v>
      </c>
      <c r="Y21" s="132" t="e">
        <f>Calculations!AN44</f>
        <v>#N/A</v>
      </c>
      <c r="Z21" s="132" t="e">
        <f>Calculations!AO44</f>
        <v>#N/A</v>
      </c>
      <c r="AA21" s="133" t="e">
        <f>Z21/Y21</f>
        <v>#N/A</v>
      </c>
      <c r="AB21" s="144" t="e">
        <f t="shared" ref="AB21:AB36" si="4">IF(ISERROR(AVERAGE(W3:AF3)),NA(),AVERAGE(W3:AF3))</f>
        <v>#N/A</v>
      </c>
      <c r="AC21" s="134" t="e">
        <f t="shared" ref="AC21:AC36" si="5">IF(ISERROR(STDEV(W3:AF3)),NA(),STDEV(W3:AF3))</f>
        <v>#N/A</v>
      </c>
      <c r="AD21" s="133" t="e">
        <f>AC21/AB21</f>
        <v>#N/A</v>
      </c>
      <c r="AE21" s="123" t="e">
        <f>IF(AND(COUNT(Calculations!AD44:AM44)=COUNT(Statistics!W3:AF3),0.9&lt;=AB21,AB21&lt;=1.1,AD21&lt;=0.2),TRUE,FALSE)</f>
        <v>#N/A</v>
      </c>
      <c r="AF21" s="142" t="e">
        <f>ABS(AB21-1)</f>
        <v>#N/A</v>
      </c>
    </row>
    <row r="22" spans="1:32" x14ac:dyDescent="0.25">
      <c r="A22" s="38" t="s">
        <v>30</v>
      </c>
      <c r="B22" s="123">
        <f>Calculations!Q64</f>
        <v>333.33333333333331</v>
      </c>
      <c r="C22" s="132">
        <f>Calculations!L45</f>
        <v>1.8472500000000001</v>
      </c>
      <c r="D22" s="132">
        <f>Calculations!M45</f>
        <v>3.4903438226054399E-2</v>
      </c>
      <c r="E22" s="133">
        <f t="shared" ref="E22:E36" si="6">D22/C22</f>
        <v>1.8894810245529515E-2</v>
      </c>
      <c r="F22" s="144">
        <f t="shared" si="0"/>
        <v>1.0126845075196054</v>
      </c>
      <c r="G22" s="134">
        <f t="shared" si="1"/>
        <v>3.2240518186329968E-2</v>
      </c>
      <c r="H22" s="133">
        <f t="shared" ref="H22:H36" si="7">G22/F22</f>
        <v>3.1836685509584337E-2</v>
      </c>
      <c r="I22" s="124" t="b">
        <f>IF(AND(COUNT(Calculations!B45:K45)=COUNT(Statistics!A4:J4),0.9&lt;=F22,F22&lt;=1.1,H22&lt;=0.2),TRUE,FALSE)</f>
        <v>1</v>
      </c>
      <c r="J22" s="142">
        <f t="shared" ref="J22:J36" si="8">ABS(F22-1)</f>
        <v>1.268450751960537E-2</v>
      </c>
      <c r="L22" s="38" t="s">
        <v>30</v>
      </c>
      <c r="M22" s="146" t="e">
        <f>Calculations!T64</f>
        <v>#N/A</v>
      </c>
      <c r="N22" s="132" t="e">
        <f>Calculations!Z45</f>
        <v>#N/A</v>
      </c>
      <c r="O22" s="132" t="e">
        <f>Calculations!AA45</f>
        <v>#N/A</v>
      </c>
      <c r="P22" s="133" t="e">
        <f t="shared" ref="P22:P36" si="9">O22/N22</f>
        <v>#N/A</v>
      </c>
      <c r="Q22" s="144" t="e">
        <f t="shared" si="2"/>
        <v>#N/A</v>
      </c>
      <c r="R22" s="134" t="e">
        <f t="shared" si="3"/>
        <v>#N/A</v>
      </c>
      <c r="S22" s="133" t="e">
        <f t="shared" ref="S22:S36" si="10">R22/Q22</f>
        <v>#N/A</v>
      </c>
      <c r="T22" s="124" t="e">
        <f>IF(AND(COUNT(Calculations!P45:Y45)=COUNT(Statistics!L4:U4),0.9&lt;=Q22,Q22&lt;=1.1,S22&lt;=0.2),TRUE,FALSE)</f>
        <v>#N/A</v>
      </c>
      <c r="U22" s="142" t="e">
        <f t="shared" ref="U22:U36" si="11">ABS(Q22-1)</f>
        <v>#N/A</v>
      </c>
      <c r="W22" s="38" t="s">
        <v>30</v>
      </c>
      <c r="X22" s="146" t="e">
        <f>Calculations!W64</f>
        <v>#N/A</v>
      </c>
      <c r="Y22" s="132" t="e">
        <f>Calculations!AN45</f>
        <v>#N/A</v>
      </c>
      <c r="Z22" s="132" t="e">
        <f>Calculations!AO45</f>
        <v>#N/A</v>
      </c>
      <c r="AA22" s="133" t="e">
        <f t="shared" ref="AA22:AA36" si="12">Z22/Y22</f>
        <v>#N/A</v>
      </c>
      <c r="AB22" s="144" t="e">
        <f t="shared" si="4"/>
        <v>#N/A</v>
      </c>
      <c r="AC22" s="134" t="e">
        <f t="shared" si="5"/>
        <v>#N/A</v>
      </c>
      <c r="AD22" s="133" t="e">
        <f t="shared" ref="AD22:AD36" si="13">AC22/AB22</f>
        <v>#N/A</v>
      </c>
      <c r="AE22" s="124" t="e">
        <f>IF(AND(COUNT(Calculations!AD45:AM45)=COUNT(Statistics!W4:AF4),0.9&lt;=AB22,AB22&lt;=1.1,AD22&lt;=0.2),TRUE,FALSE)</f>
        <v>#N/A</v>
      </c>
      <c r="AF22" s="142" t="e">
        <f t="shared" ref="AF22:AF36" si="14">ABS(AB22-1)</f>
        <v>#N/A</v>
      </c>
    </row>
    <row r="23" spans="1:32" x14ac:dyDescent="0.25">
      <c r="A23" s="38" t="s">
        <v>31</v>
      </c>
      <c r="B23" s="123">
        <f>Calculations!Q65</f>
        <v>111.11111111111111</v>
      </c>
      <c r="C23" s="132">
        <f>Calculations!L46</f>
        <v>0.74299999999999999</v>
      </c>
      <c r="D23" s="132">
        <f>Calculations!M46</f>
        <v>1.626857912254992E-2</v>
      </c>
      <c r="E23" s="133">
        <f t="shared" si="6"/>
        <v>2.1895799626581319E-2</v>
      </c>
      <c r="F23" s="144">
        <f t="shared" si="0"/>
        <v>0.97476103392698477</v>
      </c>
      <c r="G23" s="134">
        <f t="shared" si="1"/>
        <v>2.2793159053172966E-2</v>
      </c>
      <c r="H23" s="133">
        <f t="shared" si="7"/>
        <v>2.3383330128972212E-2</v>
      </c>
      <c r="I23" s="124" t="b">
        <f>IF(AND(COUNT(Calculations!B46:K46)=COUNT(Statistics!A5:J5),0.9&lt;=F23,F23&lt;=1.1,H23&lt;=0.2),TRUE,FALSE)</f>
        <v>1</v>
      </c>
      <c r="J23" s="142">
        <f t="shared" si="8"/>
        <v>2.5238966073015234E-2</v>
      </c>
      <c r="L23" s="38" t="s">
        <v>31</v>
      </c>
      <c r="M23" s="146" t="e">
        <f>Calculations!T65</f>
        <v>#N/A</v>
      </c>
      <c r="N23" s="132" t="e">
        <f>Calculations!Z46</f>
        <v>#N/A</v>
      </c>
      <c r="O23" s="132" t="e">
        <f>Calculations!AA46</f>
        <v>#N/A</v>
      </c>
      <c r="P23" s="133" t="e">
        <f t="shared" si="9"/>
        <v>#N/A</v>
      </c>
      <c r="Q23" s="144" t="e">
        <f t="shared" si="2"/>
        <v>#N/A</v>
      </c>
      <c r="R23" s="134" t="e">
        <f t="shared" si="3"/>
        <v>#N/A</v>
      </c>
      <c r="S23" s="133" t="e">
        <f t="shared" si="10"/>
        <v>#N/A</v>
      </c>
      <c r="T23" s="124" t="e">
        <f>IF(AND(COUNT(Calculations!P46:Y46)=COUNT(Statistics!L5:U5),0.9&lt;=Q23,Q23&lt;=1.1,S23&lt;=0.2),TRUE,FALSE)</f>
        <v>#N/A</v>
      </c>
      <c r="U23" s="142" t="e">
        <f t="shared" si="11"/>
        <v>#N/A</v>
      </c>
      <c r="W23" s="38" t="s">
        <v>31</v>
      </c>
      <c r="X23" s="146" t="e">
        <f>Calculations!W65</f>
        <v>#N/A</v>
      </c>
      <c r="Y23" s="132" t="e">
        <f>Calculations!AN46</f>
        <v>#N/A</v>
      </c>
      <c r="Z23" s="132" t="e">
        <f>Calculations!AO46</f>
        <v>#N/A</v>
      </c>
      <c r="AA23" s="133" t="e">
        <f t="shared" si="12"/>
        <v>#N/A</v>
      </c>
      <c r="AB23" s="144" t="e">
        <f t="shared" si="4"/>
        <v>#N/A</v>
      </c>
      <c r="AC23" s="134" t="e">
        <f t="shared" si="5"/>
        <v>#N/A</v>
      </c>
      <c r="AD23" s="133" t="e">
        <f t="shared" si="13"/>
        <v>#N/A</v>
      </c>
      <c r="AE23" s="124" t="e">
        <f>IF(AND(COUNT(Calculations!AD46:AM46)=COUNT(Statistics!W5:AF5),0.9&lt;=AB23,AB23&lt;=1.1,AD23&lt;=0.2),TRUE,FALSE)</f>
        <v>#N/A</v>
      </c>
      <c r="AF23" s="142" t="e">
        <f t="shared" si="14"/>
        <v>#N/A</v>
      </c>
    </row>
    <row r="24" spans="1:32" x14ac:dyDescent="0.25">
      <c r="A24" s="38" t="s">
        <v>32</v>
      </c>
      <c r="B24" s="123">
        <f>Calculations!Q66</f>
        <v>37.037037037037038</v>
      </c>
      <c r="C24" s="132">
        <f>Calculations!L47</f>
        <v>0.27050000000000002</v>
      </c>
      <c r="D24" s="132">
        <f>Calculations!M47</f>
        <v>8.4261497731763658E-3</v>
      </c>
      <c r="E24" s="133">
        <f t="shared" si="6"/>
        <v>3.1150276425790629E-2</v>
      </c>
      <c r="F24" s="144">
        <f t="shared" si="0"/>
        <v>1.0276981098552898</v>
      </c>
      <c r="G24" s="134">
        <f t="shared" si="1"/>
        <v>3.2886729937655831E-2</v>
      </c>
      <c r="H24" s="133">
        <f t="shared" si="7"/>
        <v>3.2000379899780697E-2</v>
      </c>
      <c r="I24" s="124" t="b">
        <f>IF(AND(COUNT(Calculations!B47:K47)=COUNT(Statistics!A6:J6),0.9&lt;=F24,F24&lt;=1.1,H24&lt;=0.2),TRUE,FALSE)</f>
        <v>1</v>
      </c>
      <c r="J24" s="142">
        <f t="shared" si="8"/>
        <v>2.7698109855289754E-2</v>
      </c>
      <c r="L24" s="38" t="s">
        <v>32</v>
      </c>
      <c r="M24" s="146" t="e">
        <f>Calculations!T66</f>
        <v>#N/A</v>
      </c>
      <c r="N24" s="132" t="e">
        <f>Calculations!Z47</f>
        <v>#N/A</v>
      </c>
      <c r="O24" s="132" t="e">
        <f>Calculations!AA47</f>
        <v>#N/A</v>
      </c>
      <c r="P24" s="133" t="e">
        <f t="shared" si="9"/>
        <v>#N/A</v>
      </c>
      <c r="Q24" s="144" t="e">
        <f t="shared" si="2"/>
        <v>#N/A</v>
      </c>
      <c r="R24" s="134" t="e">
        <f t="shared" si="3"/>
        <v>#N/A</v>
      </c>
      <c r="S24" s="133" t="e">
        <f t="shared" si="10"/>
        <v>#N/A</v>
      </c>
      <c r="T24" s="124" t="e">
        <f>IF(AND(COUNT(Calculations!P47:Y47)=COUNT(Statistics!L6:U6),0.9&lt;=Q24,Q24&lt;=1.1,S24&lt;=0.2),TRUE,FALSE)</f>
        <v>#N/A</v>
      </c>
      <c r="U24" s="142" t="e">
        <f t="shared" si="11"/>
        <v>#N/A</v>
      </c>
      <c r="W24" s="38" t="s">
        <v>32</v>
      </c>
      <c r="X24" s="146" t="e">
        <f>Calculations!W66</f>
        <v>#N/A</v>
      </c>
      <c r="Y24" s="132" t="e">
        <f>Calculations!AN47</f>
        <v>#N/A</v>
      </c>
      <c r="Z24" s="132" t="e">
        <f>Calculations!AO47</f>
        <v>#N/A</v>
      </c>
      <c r="AA24" s="133" t="e">
        <f t="shared" si="12"/>
        <v>#N/A</v>
      </c>
      <c r="AB24" s="144" t="e">
        <f t="shared" si="4"/>
        <v>#N/A</v>
      </c>
      <c r="AC24" s="134" t="e">
        <f t="shared" si="5"/>
        <v>#N/A</v>
      </c>
      <c r="AD24" s="133" t="e">
        <f t="shared" si="13"/>
        <v>#N/A</v>
      </c>
      <c r="AE24" s="124" t="e">
        <f>IF(AND(COUNT(Calculations!AD47:AM47)=COUNT(Statistics!W6:AF6),0.9&lt;=AB24,AB24&lt;=1.1,AD24&lt;=0.2),TRUE,FALSE)</f>
        <v>#N/A</v>
      </c>
      <c r="AF24" s="142" t="e">
        <f t="shared" si="14"/>
        <v>#N/A</v>
      </c>
    </row>
    <row r="25" spans="1:32" x14ac:dyDescent="0.25">
      <c r="A25" s="38" t="s">
        <v>33</v>
      </c>
      <c r="B25" s="123">
        <f>Calculations!Q67</f>
        <v>12.345679012345679</v>
      </c>
      <c r="C25" s="132">
        <f>Calculations!L48</f>
        <v>9.8250000000000004E-2</v>
      </c>
      <c r="D25" s="132">
        <f>Calculations!M48</f>
        <v>1.212091855705119E-2</v>
      </c>
      <c r="E25" s="133">
        <f t="shared" si="6"/>
        <v>0.12336812780713678</v>
      </c>
      <c r="F25" s="144">
        <f t="shared" si="0"/>
        <v>1.0627884181503107</v>
      </c>
      <c r="G25" s="134">
        <f t="shared" si="1"/>
        <v>0.14305635635941305</v>
      </c>
      <c r="H25" s="133">
        <f t="shared" si="7"/>
        <v>0.13460473779756651</v>
      </c>
      <c r="I25" s="124" t="b">
        <f>IF(AND(COUNT(Calculations!B48:K48)=COUNT(Statistics!A7:J7),0.9&lt;=F25,F25&lt;=1.1,H25&lt;=0.2),TRUE,FALSE)</f>
        <v>1</v>
      </c>
      <c r="J25" s="142">
        <f t="shared" si="8"/>
        <v>6.2788418150310665E-2</v>
      </c>
      <c r="L25" s="38" t="s">
        <v>33</v>
      </c>
      <c r="M25" s="146" t="e">
        <f>Calculations!T67</f>
        <v>#N/A</v>
      </c>
      <c r="N25" s="132" t="e">
        <f>Calculations!Z48</f>
        <v>#N/A</v>
      </c>
      <c r="O25" s="132" t="e">
        <f>Calculations!AA48</f>
        <v>#N/A</v>
      </c>
      <c r="P25" s="133" t="e">
        <f t="shared" si="9"/>
        <v>#N/A</v>
      </c>
      <c r="Q25" s="144" t="e">
        <f t="shared" si="2"/>
        <v>#N/A</v>
      </c>
      <c r="R25" s="134" t="e">
        <f t="shared" si="3"/>
        <v>#N/A</v>
      </c>
      <c r="S25" s="133" t="e">
        <f t="shared" si="10"/>
        <v>#N/A</v>
      </c>
      <c r="T25" s="124" t="e">
        <f>IF(AND(COUNT(Calculations!P48:Y48)=COUNT(Statistics!L7:U7),0.9&lt;=Q25,Q25&lt;=1.1,S25&lt;=0.2),TRUE,FALSE)</f>
        <v>#N/A</v>
      </c>
      <c r="U25" s="142" t="e">
        <f t="shared" si="11"/>
        <v>#N/A</v>
      </c>
      <c r="W25" s="38" t="s">
        <v>33</v>
      </c>
      <c r="X25" s="146" t="e">
        <f>Calculations!W67</f>
        <v>#N/A</v>
      </c>
      <c r="Y25" s="132" t="e">
        <f>Calculations!AN48</f>
        <v>#N/A</v>
      </c>
      <c r="Z25" s="132" t="e">
        <f>Calculations!AO48</f>
        <v>#N/A</v>
      </c>
      <c r="AA25" s="133" t="e">
        <f t="shared" si="12"/>
        <v>#N/A</v>
      </c>
      <c r="AB25" s="144" t="e">
        <f t="shared" si="4"/>
        <v>#N/A</v>
      </c>
      <c r="AC25" s="134" t="e">
        <f t="shared" si="5"/>
        <v>#N/A</v>
      </c>
      <c r="AD25" s="133" t="e">
        <f t="shared" si="13"/>
        <v>#N/A</v>
      </c>
      <c r="AE25" s="124" t="e">
        <f>IF(AND(COUNT(Calculations!AD48:AM48)=COUNT(Statistics!W7:AF7),0.9&lt;=AB25,AB25&lt;=1.1,AD25&lt;=0.2),TRUE,FALSE)</f>
        <v>#N/A</v>
      </c>
      <c r="AF25" s="142" t="e">
        <f t="shared" si="14"/>
        <v>#N/A</v>
      </c>
    </row>
    <row r="26" spans="1:32" x14ac:dyDescent="0.25">
      <c r="A26" s="38" t="s">
        <v>34</v>
      </c>
      <c r="B26" s="123">
        <f>Calculations!Q68</f>
        <v>4.1152263374485596</v>
      </c>
      <c r="C26" s="132">
        <f>Calculations!L49</f>
        <v>3.5250000000000004E-2</v>
      </c>
      <c r="D26" s="132">
        <f>Calculations!M49</f>
        <v>2.3629078131263029E-3</v>
      </c>
      <c r="E26" s="133">
        <f t="shared" si="6"/>
        <v>6.7032845762448307E-2</v>
      </c>
      <c r="F26" s="144">
        <f t="shared" si="0"/>
        <v>0.93657638458090164</v>
      </c>
      <c r="G26" s="134">
        <f t="shared" si="1"/>
        <v>8.5690099145567702E-2</v>
      </c>
      <c r="H26" s="133">
        <f t="shared" si="7"/>
        <v>9.1492910302145014E-2</v>
      </c>
      <c r="I26" s="124" t="b">
        <f>IF(AND(COUNT(Calculations!B49:K49)=COUNT(Statistics!A8:J8),0.9&lt;=F26,F26&lt;=1.1,H26&lt;=0.2),TRUE,FALSE)</f>
        <v>1</v>
      </c>
      <c r="J26" s="142">
        <f t="shared" si="8"/>
        <v>6.3423615419098356E-2</v>
      </c>
      <c r="L26" s="38" t="s">
        <v>34</v>
      </c>
      <c r="M26" s="146" t="e">
        <f>Calculations!T68</f>
        <v>#N/A</v>
      </c>
      <c r="N26" s="132" t="e">
        <f>Calculations!Z49</f>
        <v>#N/A</v>
      </c>
      <c r="O26" s="132" t="e">
        <f>Calculations!AA49</f>
        <v>#N/A</v>
      </c>
      <c r="P26" s="133" t="e">
        <f t="shared" si="9"/>
        <v>#N/A</v>
      </c>
      <c r="Q26" s="144" t="e">
        <f t="shared" si="2"/>
        <v>#N/A</v>
      </c>
      <c r="R26" s="134" t="e">
        <f t="shared" si="3"/>
        <v>#N/A</v>
      </c>
      <c r="S26" s="133" t="e">
        <f t="shared" si="10"/>
        <v>#N/A</v>
      </c>
      <c r="T26" s="124" t="e">
        <f>IF(AND(COUNT(Calculations!P49:Y49)=COUNT(Statistics!L8:U8),0.9&lt;=Q26,Q26&lt;=1.1,S26&lt;=0.2),TRUE,FALSE)</f>
        <v>#N/A</v>
      </c>
      <c r="U26" s="142" t="e">
        <f t="shared" si="11"/>
        <v>#N/A</v>
      </c>
      <c r="W26" s="38" t="s">
        <v>34</v>
      </c>
      <c r="X26" s="146" t="e">
        <f>Calculations!W68</f>
        <v>#N/A</v>
      </c>
      <c r="Y26" s="132" t="e">
        <f>Calculations!AN49</f>
        <v>#N/A</v>
      </c>
      <c r="Z26" s="132" t="e">
        <f>Calculations!AO49</f>
        <v>#N/A</v>
      </c>
      <c r="AA26" s="133" t="e">
        <f t="shared" si="12"/>
        <v>#N/A</v>
      </c>
      <c r="AB26" s="144" t="e">
        <f t="shared" si="4"/>
        <v>#N/A</v>
      </c>
      <c r="AC26" s="134" t="e">
        <f t="shared" si="5"/>
        <v>#N/A</v>
      </c>
      <c r="AD26" s="133" t="e">
        <f t="shared" si="13"/>
        <v>#N/A</v>
      </c>
      <c r="AE26" s="124" t="e">
        <f>IF(AND(COUNT(Calculations!AD49:AM49)=COUNT(Statistics!W8:AF8),0.9&lt;=AB26,AB26&lt;=1.1,AD26&lt;=0.2),TRUE,FALSE)</f>
        <v>#N/A</v>
      </c>
      <c r="AF26" s="142" t="e">
        <f t="shared" si="14"/>
        <v>#N/A</v>
      </c>
    </row>
    <row r="27" spans="1:32" x14ac:dyDescent="0.25">
      <c r="A27" s="38" t="s">
        <v>35</v>
      </c>
      <c r="B27" s="123">
        <f>Calculations!Q69</f>
        <v>1.3717421124828533</v>
      </c>
      <c r="C27" s="132">
        <f>Calculations!L50</f>
        <v>1.7750000000000002E-2</v>
      </c>
      <c r="D27" s="132">
        <f>Calculations!M50</f>
        <v>2.7537852736430517E-3</v>
      </c>
      <c r="E27" s="133">
        <f t="shared" si="6"/>
        <v>0.15514283231791839</v>
      </c>
      <c r="F27" s="144">
        <f t="shared" si="0"/>
        <v>0.88898790818566831</v>
      </c>
      <c r="G27" s="134">
        <f t="shared" si="1"/>
        <v>0.30617369236719283</v>
      </c>
      <c r="H27" s="133">
        <f t="shared" si="7"/>
        <v>0.34440703810253331</v>
      </c>
      <c r="I27" s="124" t="b">
        <f>IF(AND(COUNT(Calculations!B50:K50)=COUNT(Statistics!A9:J9),0.9&lt;=F27,F27&lt;=1.1,H27&lt;=0.2),TRUE,FALSE)</f>
        <v>0</v>
      </c>
      <c r="J27" s="142">
        <f t="shared" si="8"/>
        <v>0.11101209181433169</v>
      </c>
      <c r="L27" s="38" t="s">
        <v>35</v>
      </c>
      <c r="M27" s="146" t="e">
        <f>Calculations!T69</f>
        <v>#N/A</v>
      </c>
      <c r="N27" s="132" t="e">
        <f>Calculations!Z50</f>
        <v>#N/A</v>
      </c>
      <c r="O27" s="132" t="e">
        <f>Calculations!AA50</f>
        <v>#N/A</v>
      </c>
      <c r="P27" s="133" t="e">
        <f t="shared" si="9"/>
        <v>#N/A</v>
      </c>
      <c r="Q27" s="144" t="e">
        <f t="shared" si="2"/>
        <v>#N/A</v>
      </c>
      <c r="R27" s="134" t="e">
        <f t="shared" si="3"/>
        <v>#N/A</v>
      </c>
      <c r="S27" s="133" t="e">
        <f t="shared" si="10"/>
        <v>#N/A</v>
      </c>
      <c r="T27" s="124" t="e">
        <f>IF(AND(COUNT(Calculations!P50:Y50)=COUNT(Statistics!L9:U9),0.9&lt;=Q27,Q27&lt;=1.1,S27&lt;=0.2),TRUE,FALSE)</f>
        <v>#N/A</v>
      </c>
      <c r="U27" s="142" t="e">
        <f t="shared" si="11"/>
        <v>#N/A</v>
      </c>
      <c r="W27" s="38" t="s">
        <v>35</v>
      </c>
      <c r="X27" s="146" t="e">
        <f>Calculations!W69</f>
        <v>#N/A</v>
      </c>
      <c r="Y27" s="132" t="e">
        <f>Calculations!AN50</f>
        <v>#N/A</v>
      </c>
      <c r="Z27" s="132" t="e">
        <f>Calculations!AO50</f>
        <v>#N/A</v>
      </c>
      <c r="AA27" s="133" t="e">
        <f t="shared" si="12"/>
        <v>#N/A</v>
      </c>
      <c r="AB27" s="144" t="e">
        <f t="shared" si="4"/>
        <v>#N/A</v>
      </c>
      <c r="AC27" s="134" t="e">
        <f t="shared" si="5"/>
        <v>#N/A</v>
      </c>
      <c r="AD27" s="133" t="e">
        <f t="shared" si="13"/>
        <v>#N/A</v>
      </c>
      <c r="AE27" s="124" t="e">
        <f>IF(AND(COUNT(Calculations!AD50:AM50)=COUNT(Statistics!W9:AF9),0.9&lt;=AB27,AB27&lt;=1.1,AD27&lt;=0.2),TRUE,FALSE)</f>
        <v>#N/A</v>
      </c>
      <c r="AF27" s="142" t="e">
        <f t="shared" si="14"/>
        <v>#N/A</v>
      </c>
    </row>
    <row r="28" spans="1:32" x14ac:dyDescent="0.25">
      <c r="A28" s="38" t="s">
        <v>36</v>
      </c>
      <c r="B28" s="123" t="e">
        <f>Calculations!Q70</f>
        <v>#N/A</v>
      </c>
      <c r="C28" s="132" t="e">
        <f>Calculations!L51</f>
        <v>#N/A</v>
      </c>
      <c r="D28" s="132" t="e">
        <f>Calculations!M51</f>
        <v>#N/A</v>
      </c>
      <c r="E28" s="133" t="e">
        <f t="shared" si="6"/>
        <v>#N/A</v>
      </c>
      <c r="F28" s="144" t="e">
        <f t="shared" si="0"/>
        <v>#N/A</v>
      </c>
      <c r="G28" s="134" t="e">
        <f t="shared" si="1"/>
        <v>#N/A</v>
      </c>
      <c r="H28" s="133" t="e">
        <f t="shared" si="7"/>
        <v>#N/A</v>
      </c>
      <c r="I28" s="124" t="e">
        <f>IF(AND(COUNT(Calculations!B51:K51)=COUNT(Statistics!A10:J10),0.9&lt;=F28,F28&lt;=1.1,H28&lt;=0.2),TRUE,FALSE)</f>
        <v>#N/A</v>
      </c>
      <c r="J28" s="142" t="e">
        <f t="shared" si="8"/>
        <v>#N/A</v>
      </c>
      <c r="L28" s="38" t="s">
        <v>36</v>
      </c>
      <c r="M28" s="146" t="e">
        <f>Calculations!T70</f>
        <v>#N/A</v>
      </c>
      <c r="N28" s="132" t="e">
        <f>Calculations!Z51</f>
        <v>#N/A</v>
      </c>
      <c r="O28" s="132" t="e">
        <f>Calculations!AA51</f>
        <v>#N/A</v>
      </c>
      <c r="P28" s="133" t="e">
        <f t="shared" si="9"/>
        <v>#N/A</v>
      </c>
      <c r="Q28" s="144" t="e">
        <f t="shared" si="2"/>
        <v>#N/A</v>
      </c>
      <c r="R28" s="134" t="e">
        <f t="shared" si="3"/>
        <v>#N/A</v>
      </c>
      <c r="S28" s="133" t="e">
        <f t="shared" si="10"/>
        <v>#N/A</v>
      </c>
      <c r="T28" s="124" t="e">
        <f>IF(AND(COUNT(Calculations!P51:Y51)=COUNT(Statistics!L10:U10),0.9&lt;=Q28,Q28&lt;=1.1,S28&lt;=0.2),TRUE,FALSE)</f>
        <v>#N/A</v>
      </c>
      <c r="U28" s="142" t="e">
        <f t="shared" si="11"/>
        <v>#N/A</v>
      </c>
      <c r="W28" s="38" t="s">
        <v>36</v>
      </c>
      <c r="X28" s="146" t="e">
        <f>Calculations!W70</f>
        <v>#N/A</v>
      </c>
      <c r="Y28" s="132" t="e">
        <f>Calculations!AN51</f>
        <v>#N/A</v>
      </c>
      <c r="Z28" s="132" t="e">
        <f>Calculations!AO51</f>
        <v>#N/A</v>
      </c>
      <c r="AA28" s="133" t="e">
        <f t="shared" si="12"/>
        <v>#N/A</v>
      </c>
      <c r="AB28" s="144" t="e">
        <f t="shared" si="4"/>
        <v>#N/A</v>
      </c>
      <c r="AC28" s="134" t="e">
        <f t="shared" si="5"/>
        <v>#N/A</v>
      </c>
      <c r="AD28" s="133" t="e">
        <f t="shared" si="13"/>
        <v>#N/A</v>
      </c>
      <c r="AE28" s="124" t="e">
        <f>IF(AND(COUNT(Calculations!AD51:AM51)=COUNT(Statistics!W10:AF10),0.9&lt;=AB28,AB28&lt;=1.1,AD28&lt;=0.2),TRUE,FALSE)</f>
        <v>#N/A</v>
      </c>
      <c r="AF28" s="142" t="e">
        <f t="shared" si="14"/>
        <v>#N/A</v>
      </c>
    </row>
    <row r="29" spans="1:32" x14ac:dyDescent="0.25">
      <c r="A29" s="38" t="s">
        <v>48</v>
      </c>
      <c r="B29" s="123" t="e">
        <f>Calculations!Q71</f>
        <v>#N/A</v>
      </c>
      <c r="C29" s="132" t="e">
        <f>Calculations!L52</f>
        <v>#N/A</v>
      </c>
      <c r="D29" s="132" t="e">
        <f>Calculations!M52</f>
        <v>#N/A</v>
      </c>
      <c r="E29" s="133" t="e">
        <f t="shared" si="6"/>
        <v>#N/A</v>
      </c>
      <c r="F29" s="144" t="e">
        <f t="shared" si="0"/>
        <v>#N/A</v>
      </c>
      <c r="G29" s="134" t="e">
        <f t="shared" si="1"/>
        <v>#N/A</v>
      </c>
      <c r="H29" s="133" t="e">
        <f t="shared" si="7"/>
        <v>#N/A</v>
      </c>
      <c r="I29" s="124" t="e">
        <f>IF(AND(COUNT(Calculations!B52:K52)=COUNT(Statistics!A11:J11),0.9&lt;=F29,F29&lt;=1.1,H29&lt;=0.2),TRUE,FALSE)</f>
        <v>#N/A</v>
      </c>
      <c r="J29" s="142" t="e">
        <f t="shared" si="8"/>
        <v>#N/A</v>
      </c>
      <c r="L29" s="38" t="s">
        <v>48</v>
      </c>
      <c r="M29" s="146" t="e">
        <f>Calculations!T71</f>
        <v>#N/A</v>
      </c>
      <c r="N29" s="132" t="e">
        <f>Calculations!Z52</f>
        <v>#N/A</v>
      </c>
      <c r="O29" s="132" t="e">
        <f>Calculations!AA52</f>
        <v>#N/A</v>
      </c>
      <c r="P29" s="133" t="e">
        <f t="shared" si="9"/>
        <v>#N/A</v>
      </c>
      <c r="Q29" s="144" t="e">
        <f t="shared" si="2"/>
        <v>#N/A</v>
      </c>
      <c r="R29" s="134" t="e">
        <f t="shared" si="3"/>
        <v>#N/A</v>
      </c>
      <c r="S29" s="133" t="e">
        <f t="shared" si="10"/>
        <v>#N/A</v>
      </c>
      <c r="T29" s="124" t="e">
        <f>IF(AND(COUNT(Calculations!P52:Y52)=COUNT(Statistics!L11:U11),0.9&lt;=Q29,Q29&lt;=1.1,S29&lt;=0.2),TRUE,FALSE)</f>
        <v>#N/A</v>
      </c>
      <c r="U29" s="142" t="e">
        <f t="shared" si="11"/>
        <v>#N/A</v>
      </c>
      <c r="W29" s="38" t="s">
        <v>48</v>
      </c>
      <c r="X29" s="146" t="e">
        <f>Calculations!W71</f>
        <v>#N/A</v>
      </c>
      <c r="Y29" s="132" t="e">
        <f>Calculations!AN52</f>
        <v>#N/A</v>
      </c>
      <c r="Z29" s="132" t="e">
        <f>Calculations!AO52</f>
        <v>#N/A</v>
      </c>
      <c r="AA29" s="133" t="e">
        <f t="shared" si="12"/>
        <v>#N/A</v>
      </c>
      <c r="AB29" s="144" t="e">
        <f t="shared" si="4"/>
        <v>#N/A</v>
      </c>
      <c r="AC29" s="134" t="e">
        <f t="shared" si="5"/>
        <v>#N/A</v>
      </c>
      <c r="AD29" s="133" t="e">
        <f t="shared" si="13"/>
        <v>#N/A</v>
      </c>
      <c r="AE29" s="124" t="e">
        <f>IF(AND(COUNT(Calculations!AD52:AM52)=COUNT(Statistics!W11:AF11),0.9&lt;=AB29,AB29&lt;=1.1,AD29&lt;=0.2),TRUE,FALSE)</f>
        <v>#N/A</v>
      </c>
      <c r="AF29" s="142" t="e">
        <f t="shared" si="14"/>
        <v>#N/A</v>
      </c>
    </row>
    <row r="30" spans="1:32" x14ac:dyDescent="0.25">
      <c r="A30" s="38" t="s">
        <v>49</v>
      </c>
      <c r="B30" s="123" t="e">
        <f>Calculations!Q72</f>
        <v>#N/A</v>
      </c>
      <c r="C30" s="132" t="e">
        <f>Calculations!L53</f>
        <v>#N/A</v>
      </c>
      <c r="D30" s="132" t="e">
        <f>Calculations!M53</f>
        <v>#N/A</v>
      </c>
      <c r="E30" s="133" t="e">
        <f t="shared" si="6"/>
        <v>#N/A</v>
      </c>
      <c r="F30" s="144" t="e">
        <f t="shared" si="0"/>
        <v>#N/A</v>
      </c>
      <c r="G30" s="134" t="e">
        <f t="shared" si="1"/>
        <v>#N/A</v>
      </c>
      <c r="H30" s="133" t="e">
        <f t="shared" si="7"/>
        <v>#N/A</v>
      </c>
      <c r="I30" s="124" t="e">
        <f>IF(AND(COUNT(Calculations!B53:K53)=COUNT(Statistics!A12:J12),0.9&lt;=F30,F30&lt;=1.1,H30&lt;=0.2),TRUE,FALSE)</f>
        <v>#N/A</v>
      </c>
      <c r="J30" s="142" t="e">
        <f t="shared" si="8"/>
        <v>#N/A</v>
      </c>
      <c r="L30" s="38" t="s">
        <v>49</v>
      </c>
      <c r="M30" s="146" t="e">
        <f>Calculations!T72</f>
        <v>#N/A</v>
      </c>
      <c r="N30" s="132" t="e">
        <f>Calculations!Z53</f>
        <v>#N/A</v>
      </c>
      <c r="O30" s="132" t="e">
        <f>Calculations!AA53</f>
        <v>#N/A</v>
      </c>
      <c r="P30" s="133" t="e">
        <f t="shared" si="9"/>
        <v>#N/A</v>
      </c>
      <c r="Q30" s="144" t="e">
        <f t="shared" si="2"/>
        <v>#N/A</v>
      </c>
      <c r="R30" s="134" t="e">
        <f t="shared" si="3"/>
        <v>#N/A</v>
      </c>
      <c r="S30" s="133" t="e">
        <f t="shared" si="10"/>
        <v>#N/A</v>
      </c>
      <c r="T30" s="124" t="e">
        <f>IF(AND(COUNT(Calculations!P53:Y53)=COUNT(Statistics!L12:U12),0.9&lt;=Q30,Q30&lt;=1.1,S30&lt;=0.2),TRUE,FALSE)</f>
        <v>#N/A</v>
      </c>
      <c r="U30" s="142" t="e">
        <f t="shared" si="11"/>
        <v>#N/A</v>
      </c>
      <c r="W30" s="38" t="s">
        <v>49</v>
      </c>
      <c r="X30" s="146" t="e">
        <f>Calculations!W72</f>
        <v>#N/A</v>
      </c>
      <c r="Y30" s="132" t="e">
        <f>Calculations!AN53</f>
        <v>#N/A</v>
      </c>
      <c r="Z30" s="132" t="e">
        <f>Calculations!AO53</f>
        <v>#N/A</v>
      </c>
      <c r="AA30" s="133" t="e">
        <f t="shared" si="12"/>
        <v>#N/A</v>
      </c>
      <c r="AB30" s="144" t="e">
        <f t="shared" si="4"/>
        <v>#N/A</v>
      </c>
      <c r="AC30" s="134" t="e">
        <f t="shared" si="5"/>
        <v>#N/A</v>
      </c>
      <c r="AD30" s="133" t="e">
        <f t="shared" si="13"/>
        <v>#N/A</v>
      </c>
      <c r="AE30" s="124" t="e">
        <f>IF(AND(COUNT(Calculations!AD53:AM53)=COUNT(Statistics!W12:AF12),0.9&lt;=AB30,AB30&lt;=1.1,AD30&lt;=0.2),TRUE,FALSE)</f>
        <v>#N/A</v>
      </c>
      <c r="AF30" s="142" t="e">
        <f t="shared" si="14"/>
        <v>#N/A</v>
      </c>
    </row>
    <row r="31" spans="1:32" x14ac:dyDescent="0.25">
      <c r="A31" s="38" t="s">
        <v>50</v>
      </c>
      <c r="B31" s="123" t="e">
        <f>Calculations!Q73</f>
        <v>#N/A</v>
      </c>
      <c r="C31" s="132" t="e">
        <f>Calculations!L54</f>
        <v>#N/A</v>
      </c>
      <c r="D31" s="132" t="e">
        <f>Calculations!M54</f>
        <v>#N/A</v>
      </c>
      <c r="E31" s="133" t="e">
        <f t="shared" si="6"/>
        <v>#N/A</v>
      </c>
      <c r="F31" s="144" t="e">
        <f t="shared" si="0"/>
        <v>#N/A</v>
      </c>
      <c r="G31" s="134" t="e">
        <f t="shared" si="1"/>
        <v>#N/A</v>
      </c>
      <c r="H31" s="133" t="e">
        <f t="shared" si="7"/>
        <v>#N/A</v>
      </c>
      <c r="I31" s="124" t="e">
        <f>IF(AND(COUNT(Calculations!B54:K54)=COUNT(Statistics!A13:J13),0.9&lt;=F31,F31&lt;=1.1,H31&lt;=0.2),TRUE,FALSE)</f>
        <v>#N/A</v>
      </c>
      <c r="J31" s="142" t="e">
        <f t="shared" si="8"/>
        <v>#N/A</v>
      </c>
      <c r="L31" s="38" t="s">
        <v>50</v>
      </c>
      <c r="M31" s="146" t="e">
        <f>Calculations!T73</f>
        <v>#N/A</v>
      </c>
      <c r="N31" s="132" t="e">
        <f>Calculations!Z54</f>
        <v>#N/A</v>
      </c>
      <c r="O31" s="132" t="e">
        <f>Calculations!AA54</f>
        <v>#N/A</v>
      </c>
      <c r="P31" s="133" t="e">
        <f t="shared" si="9"/>
        <v>#N/A</v>
      </c>
      <c r="Q31" s="144" t="e">
        <f t="shared" si="2"/>
        <v>#N/A</v>
      </c>
      <c r="R31" s="134" t="e">
        <f t="shared" si="3"/>
        <v>#N/A</v>
      </c>
      <c r="S31" s="133" t="e">
        <f t="shared" si="10"/>
        <v>#N/A</v>
      </c>
      <c r="T31" s="124" t="e">
        <f>IF(AND(COUNT(Calculations!P54:Y54)=COUNT(Statistics!L13:U13),0.9&lt;=Q31,Q31&lt;=1.1,S31&lt;=0.2),TRUE,FALSE)</f>
        <v>#N/A</v>
      </c>
      <c r="U31" s="142" t="e">
        <f t="shared" si="11"/>
        <v>#N/A</v>
      </c>
      <c r="W31" s="38" t="s">
        <v>50</v>
      </c>
      <c r="X31" s="146" t="e">
        <f>Calculations!W73</f>
        <v>#N/A</v>
      </c>
      <c r="Y31" s="132" t="e">
        <f>Calculations!AN54</f>
        <v>#N/A</v>
      </c>
      <c r="Z31" s="132" t="e">
        <f>Calculations!AO54</f>
        <v>#N/A</v>
      </c>
      <c r="AA31" s="133" t="e">
        <f t="shared" si="12"/>
        <v>#N/A</v>
      </c>
      <c r="AB31" s="144" t="e">
        <f t="shared" si="4"/>
        <v>#N/A</v>
      </c>
      <c r="AC31" s="134" t="e">
        <f t="shared" si="5"/>
        <v>#N/A</v>
      </c>
      <c r="AD31" s="133" t="e">
        <f t="shared" si="13"/>
        <v>#N/A</v>
      </c>
      <c r="AE31" s="124" t="e">
        <f>IF(AND(COUNT(Calculations!AD54:AM54)=COUNT(Statistics!W13:AF13),0.9&lt;=AB31,AB31&lt;=1.1,AD31&lt;=0.2),TRUE,FALSE)</f>
        <v>#N/A</v>
      </c>
      <c r="AF31" s="142" t="e">
        <f t="shared" si="14"/>
        <v>#N/A</v>
      </c>
    </row>
    <row r="32" spans="1:32" x14ac:dyDescent="0.25">
      <c r="A32" s="38" t="s">
        <v>51</v>
      </c>
      <c r="B32" s="123" t="e">
        <f>Calculations!Q74</f>
        <v>#N/A</v>
      </c>
      <c r="C32" s="132" t="e">
        <f>Calculations!L55</f>
        <v>#N/A</v>
      </c>
      <c r="D32" s="132" t="e">
        <f>Calculations!M55</f>
        <v>#N/A</v>
      </c>
      <c r="E32" s="133" t="e">
        <f t="shared" si="6"/>
        <v>#N/A</v>
      </c>
      <c r="F32" s="144" t="e">
        <f t="shared" si="0"/>
        <v>#N/A</v>
      </c>
      <c r="G32" s="134" t="e">
        <f t="shared" si="1"/>
        <v>#N/A</v>
      </c>
      <c r="H32" s="133" t="e">
        <f t="shared" si="7"/>
        <v>#N/A</v>
      </c>
      <c r="I32" s="124" t="e">
        <f>IF(AND(COUNT(Calculations!B55:K55)=COUNT(Statistics!A14:J14),0.9&lt;=F32,F32&lt;=1.1,H32&lt;=0.2),TRUE,FALSE)</f>
        <v>#N/A</v>
      </c>
      <c r="J32" s="142" t="e">
        <f t="shared" si="8"/>
        <v>#N/A</v>
      </c>
      <c r="L32" s="38" t="s">
        <v>51</v>
      </c>
      <c r="M32" s="146" t="e">
        <f>Calculations!T74</f>
        <v>#N/A</v>
      </c>
      <c r="N32" s="132" t="e">
        <f>Calculations!Z55</f>
        <v>#N/A</v>
      </c>
      <c r="O32" s="132" t="e">
        <f>Calculations!AA55</f>
        <v>#N/A</v>
      </c>
      <c r="P32" s="133" t="e">
        <f t="shared" si="9"/>
        <v>#N/A</v>
      </c>
      <c r="Q32" s="144" t="e">
        <f t="shared" si="2"/>
        <v>#N/A</v>
      </c>
      <c r="R32" s="134" t="e">
        <f t="shared" si="3"/>
        <v>#N/A</v>
      </c>
      <c r="S32" s="133" t="e">
        <f t="shared" si="10"/>
        <v>#N/A</v>
      </c>
      <c r="T32" s="124" t="e">
        <f>IF(AND(COUNT(Calculations!P55:Y55)=COUNT(Statistics!L14:U14),0.9&lt;=Q32,Q32&lt;=1.1,S32&lt;=0.2),TRUE,FALSE)</f>
        <v>#N/A</v>
      </c>
      <c r="U32" s="142" t="e">
        <f t="shared" si="11"/>
        <v>#N/A</v>
      </c>
      <c r="W32" s="38" t="s">
        <v>51</v>
      </c>
      <c r="X32" s="146" t="e">
        <f>Calculations!W74</f>
        <v>#N/A</v>
      </c>
      <c r="Y32" s="132" t="e">
        <f>Calculations!AN55</f>
        <v>#N/A</v>
      </c>
      <c r="Z32" s="132" t="e">
        <f>Calculations!AO55</f>
        <v>#N/A</v>
      </c>
      <c r="AA32" s="133" t="e">
        <f t="shared" si="12"/>
        <v>#N/A</v>
      </c>
      <c r="AB32" s="144" t="e">
        <f t="shared" si="4"/>
        <v>#N/A</v>
      </c>
      <c r="AC32" s="134" t="e">
        <f t="shared" si="5"/>
        <v>#N/A</v>
      </c>
      <c r="AD32" s="133" t="e">
        <f t="shared" si="13"/>
        <v>#N/A</v>
      </c>
      <c r="AE32" s="124" t="e">
        <f>IF(AND(COUNT(Calculations!AD55:AM55)=COUNT(Statistics!W14:AF14),0.9&lt;=AB32,AB32&lt;=1.1,AD32&lt;=0.2),TRUE,FALSE)</f>
        <v>#N/A</v>
      </c>
      <c r="AF32" s="142" t="e">
        <f t="shared" si="14"/>
        <v>#N/A</v>
      </c>
    </row>
    <row r="33" spans="1:32" x14ac:dyDescent="0.25">
      <c r="A33" s="38" t="s">
        <v>98</v>
      </c>
      <c r="B33" s="123" t="e">
        <f>Calculations!Q75</f>
        <v>#N/A</v>
      </c>
      <c r="C33" s="132" t="e">
        <f>Calculations!L56</f>
        <v>#N/A</v>
      </c>
      <c r="D33" s="132" t="e">
        <f>Calculations!M56</f>
        <v>#N/A</v>
      </c>
      <c r="E33" s="133" t="e">
        <f t="shared" si="6"/>
        <v>#N/A</v>
      </c>
      <c r="F33" s="144" t="e">
        <f t="shared" si="0"/>
        <v>#N/A</v>
      </c>
      <c r="G33" s="134" t="e">
        <f t="shared" si="1"/>
        <v>#N/A</v>
      </c>
      <c r="H33" s="133" t="e">
        <f t="shared" si="7"/>
        <v>#N/A</v>
      </c>
      <c r="I33" s="124" t="e">
        <f>IF(AND(COUNT(Calculations!B56:K56)=COUNT(Statistics!A15:J15),0.9&lt;=F33,F33&lt;=1.1,H33&lt;=0.2),TRUE,FALSE)</f>
        <v>#N/A</v>
      </c>
      <c r="J33" s="142" t="e">
        <f t="shared" si="8"/>
        <v>#N/A</v>
      </c>
      <c r="L33" s="38" t="s">
        <v>98</v>
      </c>
      <c r="M33" s="146" t="e">
        <f>Calculations!T75</f>
        <v>#N/A</v>
      </c>
      <c r="N33" s="132" t="e">
        <f>Calculations!Z56</f>
        <v>#N/A</v>
      </c>
      <c r="O33" s="132" t="e">
        <f>Calculations!AA56</f>
        <v>#N/A</v>
      </c>
      <c r="P33" s="133" t="e">
        <f t="shared" si="9"/>
        <v>#N/A</v>
      </c>
      <c r="Q33" s="144" t="e">
        <f t="shared" si="2"/>
        <v>#N/A</v>
      </c>
      <c r="R33" s="134" t="e">
        <f t="shared" si="3"/>
        <v>#N/A</v>
      </c>
      <c r="S33" s="133" t="e">
        <f t="shared" si="10"/>
        <v>#N/A</v>
      </c>
      <c r="T33" s="124" t="e">
        <f>IF(AND(COUNT(Calculations!P56:Y56)=COUNT(Statistics!L15:U15),0.9&lt;=Q33,Q33&lt;=1.1,S33&lt;=0.2),TRUE,FALSE)</f>
        <v>#N/A</v>
      </c>
      <c r="U33" s="142" t="e">
        <f t="shared" si="11"/>
        <v>#N/A</v>
      </c>
      <c r="W33" s="38" t="s">
        <v>98</v>
      </c>
      <c r="X33" s="146" t="e">
        <f>Calculations!W75</f>
        <v>#N/A</v>
      </c>
      <c r="Y33" s="132" t="e">
        <f>Calculations!AN56</f>
        <v>#N/A</v>
      </c>
      <c r="Z33" s="132" t="e">
        <f>Calculations!AO56</f>
        <v>#N/A</v>
      </c>
      <c r="AA33" s="133" t="e">
        <f t="shared" si="12"/>
        <v>#N/A</v>
      </c>
      <c r="AB33" s="144" t="e">
        <f t="shared" si="4"/>
        <v>#N/A</v>
      </c>
      <c r="AC33" s="134" t="e">
        <f t="shared" si="5"/>
        <v>#N/A</v>
      </c>
      <c r="AD33" s="133" t="e">
        <f t="shared" si="13"/>
        <v>#N/A</v>
      </c>
      <c r="AE33" s="124" t="e">
        <f>IF(AND(COUNT(Calculations!AD56:AM56)=COUNT(Statistics!W15:AF15),0.9&lt;=AB33,AB33&lt;=1.1,AD33&lt;=0.2),TRUE,FALSE)</f>
        <v>#N/A</v>
      </c>
      <c r="AF33" s="142" t="e">
        <f t="shared" si="14"/>
        <v>#N/A</v>
      </c>
    </row>
    <row r="34" spans="1:32" x14ac:dyDescent="0.25">
      <c r="A34" s="38" t="s">
        <v>99</v>
      </c>
      <c r="B34" s="123" t="e">
        <f>Calculations!Q76</f>
        <v>#N/A</v>
      </c>
      <c r="C34" s="132" t="e">
        <f>Calculations!L57</f>
        <v>#N/A</v>
      </c>
      <c r="D34" s="132" t="e">
        <f>Calculations!M57</f>
        <v>#N/A</v>
      </c>
      <c r="E34" s="133" t="e">
        <f t="shared" si="6"/>
        <v>#N/A</v>
      </c>
      <c r="F34" s="144" t="e">
        <f t="shared" si="0"/>
        <v>#N/A</v>
      </c>
      <c r="G34" s="134" t="e">
        <f t="shared" si="1"/>
        <v>#N/A</v>
      </c>
      <c r="H34" s="133" t="e">
        <f t="shared" si="7"/>
        <v>#N/A</v>
      </c>
      <c r="I34" s="124" t="e">
        <f>IF(AND(COUNT(Calculations!B57:K57)=COUNT(Statistics!A16:J16),0.9&lt;=F34,F34&lt;=1.1,H34&lt;=0.2),TRUE,FALSE)</f>
        <v>#N/A</v>
      </c>
      <c r="J34" s="142" t="e">
        <f t="shared" si="8"/>
        <v>#N/A</v>
      </c>
      <c r="L34" s="38" t="s">
        <v>99</v>
      </c>
      <c r="M34" s="146" t="e">
        <f>Calculations!T76</f>
        <v>#N/A</v>
      </c>
      <c r="N34" s="132" t="e">
        <f>Calculations!Z57</f>
        <v>#N/A</v>
      </c>
      <c r="O34" s="132" t="e">
        <f>Calculations!AA57</f>
        <v>#N/A</v>
      </c>
      <c r="P34" s="133" t="e">
        <f t="shared" si="9"/>
        <v>#N/A</v>
      </c>
      <c r="Q34" s="144" t="e">
        <f t="shared" si="2"/>
        <v>#N/A</v>
      </c>
      <c r="R34" s="134" t="e">
        <f t="shared" si="3"/>
        <v>#N/A</v>
      </c>
      <c r="S34" s="133" t="e">
        <f t="shared" si="10"/>
        <v>#N/A</v>
      </c>
      <c r="T34" s="124" t="e">
        <f>IF(AND(COUNT(Calculations!P57:Y57)=COUNT(Statistics!L16:U16),0.9&lt;=Q34,Q34&lt;=1.1,S34&lt;=0.2),TRUE,FALSE)</f>
        <v>#N/A</v>
      </c>
      <c r="U34" s="142" t="e">
        <f t="shared" si="11"/>
        <v>#N/A</v>
      </c>
      <c r="W34" s="38" t="s">
        <v>99</v>
      </c>
      <c r="X34" s="146" t="e">
        <f>Calculations!W76</f>
        <v>#N/A</v>
      </c>
      <c r="Y34" s="132" t="e">
        <f>Calculations!AN57</f>
        <v>#N/A</v>
      </c>
      <c r="Z34" s="132" t="e">
        <f>Calculations!AO57</f>
        <v>#N/A</v>
      </c>
      <c r="AA34" s="133" t="e">
        <f t="shared" si="12"/>
        <v>#N/A</v>
      </c>
      <c r="AB34" s="144" t="e">
        <f t="shared" si="4"/>
        <v>#N/A</v>
      </c>
      <c r="AC34" s="134" t="e">
        <f t="shared" si="5"/>
        <v>#N/A</v>
      </c>
      <c r="AD34" s="133" t="e">
        <f t="shared" si="13"/>
        <v>#N/A</v>
      </c>
      <c r="AE34" s="124" t="e">
        <f>IF(AND(COUNT(Calculations!AD57:AM57)=COUNT(Statistics!W16:AF16),0.9&lt;=AB34,AB34&lt;=1.1,AD34&lt;=0.2),TRUE,FALSE)</f>
        <v>#N/A</v>
      </c>
      <c r="AF34" s="142" t="e">
        <f t="shared" si="14"/>
        <v>#N/A</v>
      </c>
    </row>
    <row r="35" spans="1:32" x14ac:dyDescent="0.25">
      <c r="A35" s="38" t="s">
        <v>100</v>
      </c>
      <c r="B35" s="123" t="e">
        <f>Calculations!Q77</f>
        <v>#N/A</v>
      </c>
      <c r="C35" s="132" t="e">
        <f>Calculations!L58</f>
        <v>#N/A</v>
      </c>
      <c r="D35" s="132" t="e">
        <f>Calculations!M58</f>
        <v>#N/A</v>
      </c>
      <c r="E35" s="133" t="e">
        <f t="shared" si="6"/>
        <v>#N/A</v>
      </c>
      <c r="F35" s="144" t="e">
        <f t="shared" si="0"/>
        <v>#N/A</v>
      </c>
      <c r="G35" s="134" t="e">
        <f t="shared" si="1"/>
        <v>#N/A</v>
      </c>
      <c r="H35" s="133" t="e">
        <f t="shared" si="7"/>
        <v>#N/A</v>
      </c>
      <c r="I35" s="124" t="e">
        <f>IF(AND(COUNT(Calculations!B58:K58)=COUNT(Statistics!A17:J17),0.9&lt;=F35,F35&lt;=1.1,H35&lt;=0.2),TRUE,FALSE)</f>
        <v>#N/A</v>
      </c>
      <c r="J35" s="142" t="e">
        <f t="shared" si="8"/>
        <v>#N/A</v>
      </c>
      <c r="L35" s="38" t="s">
        <v>100</v>
      </c>
      <c r="M35" s="146" t="e">
        <f>Calculations!T77</f>
        <v>#N/A</v>
      </c>
      <c r="N35" s="132" t="e">
        <f>Calculations!Z58</f>
        <v>#N/A</v>
      </c>
      <c r="O35" s="132" t="e">
        <f>Calculations!AA58</f>
        <v>#N/A</v>
      </c>
      <c r="P35" s="133" t="e">
        <f t="shared" si="9"/>
        <v>#N/A</v>
      </c>
      <c r="Q35" s="144" t="e">
        <f t="shared" si="2"/>
        <v>#N/A</v>
      </c>
      <c r="R35" s="134" t="e">
        <f t="shared" si="3"/>
        <v>#N/A</v>
      </c>
      <c r="S35" s="133" t="e">
        <f t="shared" si="10"/>
        <v>#N/A</v>
      </c>
      <c r="T35" s="124" t="e">
        <f>IF(AND(COUNT(Calculations!P58:Y58)=COUNT(Statistics!L17:U17),0.9&lt;=Q35,Q35&lt;=1.1,S35&lt;=0.2),TRUE,FALSE)</f>
        <v>#N/A</v>
      </c>
      <c r="U35" s="142" t="e">
        <f t="shared" si="11"/>
        <v>#N/A</v>
      </c>
      <c r="W35" s="38" t="s">
        <v>100</v>
      </c>
      <c r="X35" s="146" t="e">
        <f>Calculations!W77</f>
        <v>#N/A</v>
      </c>
      <c r="Y35" s="132" t="e">
        <f>Calculations!AN58</f>
        <v>#N/A</v>
      </c>
      <c r="Z35" s="132" t="e">
        <f>Calculations!AO58</f>
        <v>#N/A</v>
      </c>
      <c r="AA35" s="133" t="e">
        <f t="shared" si="12"/>
        <v>#N/A</v>
      </c>
      <c r="AB35" s="144" t="e">
        <f t="shared" si="4"/>
        <v>#N/A</v>
      </c>
      <c r="AC35" s="134" t="e">
        <f t="shared" si="5"/>
        <v>#N/A</v>
      </c>
      <c r="AD35" s="133" t="e">
        <f t="shared" si="13"/>
        <v>#N/A</v>
      </c>
      <c r="AE35" s="124" t="e">
        <f>IF(AND(COUNT(Calculations!AD58:AM58)=COUNT(Statistics!W17:AF17),0.9&lt;=AB35,AB35&lt;=1.1,AD35&lt;=0.2),TRUE,FALSE)</f>
        <v>#N/A</v>
      </c>
      <c r="AF35" s="142" t="e">
        <f t="shared" si="14"/>
        <v>#N/A</v>
      </c>
    </row>
    <row r="36" spans="1:32" x14ac:dyDescent="0.25">
      <c r="A36" s="38" t="s">
        <v>101</v>
      </c>
      <c r="B36" s="123" t="e">
        <f>Calculations!Q78</f>
        <v>#N/A</v>
      </c>
      <c r="C36" s="132" t="e">
        <f>Calculations!L59</f>
        <v>#N/A</v>
      </c>
      <c r="D36" s="132" t="e">
        <f>Calculations!M59</f>
        <v>#N/A</v>
      </c>
      <c r="E36" s="133" t="e">
        <f t="shared" si="6"/>
        <v>#N/A</v>
      </c>
      <c r="F36" s="144" t="e">
        <f t="shared" si="0"/>
        <v>#N/A</v>
      </c>
      <c r="G36" s="134" t="e">
        <f t="shared" si="1"/>
        <v>#N/A</v>
      </c>
      <c r="H36" s="133" t="e">
        <f t="shared" si="7"/>
        <v>#N/A</v>
      </c>
      <c r="I36" s="124" t="e">
        <f>IF(AND(COUNT(Calculations!B59:K59)=COUNT(Statistics!A18:J18),0.9&lt;=F36,F36&lt;=1.1,H36&lt;=0.2),TRUE,FALSE)</f>
        <v>#N/A</v>
      </c>
      <c r="J36" s="142" t="e">
        <f t="shared" si="8"/>
        <v>#N/A</v>
      </c>
      <c r="L36" s="38" t="s">
        <v>101</v>
      </c>
      <c r="M36" s="146" t="e">
        <f>Calculations!T78</f>
        <v>#N/A</v>
      </c>
      <c r="N36" s="132" t="e">
        <f>Calculations!Z59</f>
        <v>#N/A</v>
      </c>
      <c r="O36" s="132" t="e">
        <f>Calculations!AA59</f>
        <v>#N/A</v>
      </c>
      <c r="P36" s="133" t="e">
        <f t="shared" si="9"/>
        <v>#N/A</v>
      </c>
      <c r="Q36" s="144" t="e">
        <f t="shared" si="2"/>
        <v>#N/A</v>
      </c>
      <c r="R36" s="134" t="e">
        <f t="shared" si="3"/>
        <v>#N/A</v>
      </c>
      <c r="S36" s="133" t="e">
        <f t="shared" si="10"/>
        <v>#N/A</v>
      </c>
      <c r="T36" s="124" t="e">
        <f>IF(AND(COUNT(Calculations!P59:Y59)=COUNT(Statistics!L18:U18),0.9&lt;=Q36,Q36&lt;=1.1,S36&lt;=0.2),TRUE,FALSE)</f>
        <v>#N/A</v>
      </c>
      <c r="U36" s="142" t="e">
        <f t="shared" si="11"/>
        <v>#N/A</v>
      </c>
      <c r="W36" s="38" t="s">
        <v>101</v>
      </c>
      <c r="X36" s="146" t="e">
        <f>Calculations!W78</f>
        <v>#N/A</v>
      </c>
      <c r="Y36" s="132" t="e">
        <f>Calculations!AN59</f>
        <v>#N/A</v>
      </c>
      <c r="Z36" s="132" t="e">
        <f>Calculations!AO59</f>
        <v>#N/A</v>
      </c>
      <c r="AA36" s="133" t="e">
        <f t="shared" si="12"/>
        <v>#N/A</v>
      </c>
      <c r="AB36" s="144" t="e">
        <f t="shared" si="4"/>
        <v>#N/A</v>
      </c>
      <c r="AC36" s="134" t="e">
        <f t="shared" si="5"/>
        <v>#N/A</v>
      </c>
      <c r="AD36" s="133" t="e">
        <f t="shared" si="13"/>
        <v>#N/A</v>
      </c>
      <c r="AE36" s="124" t="e">
        <f>IF(AND(COUNT(Calculations!AD59:AM59)=COUNT(Statistics!W18:AF18),0.9&lt;=AB36,AB36&lt;=1.1,AD36&lt;=0.2),TRUE,FALSE)</f>
        <v>#N/A</v>
      </c>
      <c r="AF36" s="142" t="e">
        <f t="shared" si="14"/>
        <v>#N/A</v>
      </c>
    </row>
    <row r="37" spans="1:32" hidden="1" x14ac:dyDescent="0.25">
      <c r="J37" s="140"/>
      <c r="T37" s="143"/>
    </row>
    <row r="38" spans="1:32" hidden="1" x14ac:dyDescent="0.25">
      <c r="A38" s="123" t="s">
        <v>585</v>
      </c>
      <c r="B38" s="128" t="s">
        <v>584</v>
      </c>
      <c r="C38" s="123" t="s">
        <v>582</v>
      </c>
      <c r="D38" s="123" t="s">
        <v>585</v>
      </c>
      <c r="E38" s="128" t="s">
        <v>584</v>
      </c>
      <c r="F38" s="123" t="s">
        <v>582</v>
      </c>
      <c r="H38" s="83"/>
      <c r="I38" s="83"/>
      <c r="J38" s="140"/>
      <c r="L38" s="123" t="s">
        <v>585</v>
      </c>
      <c r="M38" s="128" t="s">
        <v>584</v>
      </c>
      <c r="N38" s="123" t="s">
        <v>582</v>
      </c>
      <c r="O38" s="123" t="s">
        <v>585</v>
      </c>
      <c r="P38" s="128" t="s">
        <v>584</v>
      </c>
      <c r="Q38" s="123" t="s">
        <v>582</v>
      </c>
      <c r="T38" s="143"/>
      <c r="W38" s="123" t="s">
        <v>585</v>
      </c>
      <c r="X38" s="128" t="s">
        <v>584</v>
      </c>
      <c r="Y38" s="123" t="s">
        <v>582</v>
      </c>
      <c r="Z38" s="123" t="s">
        <v>585</v>
      </c>
      <c r="AA38" s="128" t="s">
        <v>584</v>
      </c>
      <c r="AB38" s="123" t="s">
        <v>582</v>
      </c>
    </row>
    <row r="39" spans="1:32" hidden="1" x14ac:dyDescent="0.25">
      <c r="A39" s="123">
        <f>IF(ISERROR(C39),0,IF(C39=FALSE,0,1))</f>
        <v>1</v>
      </c>
      <c r="B39" s="136">
        <f t="array" ref="B39">LARGE(IF(ISERROR(B$21:B$36),"",B$21:B$36),1)</f>
        <v>1000</v>
      </c>
      <c r="C39" s="123" t="b">
        <f t="shared" ref="C39:C54" si="15">VLOOKUP(B39,B$21:I$36,8,FALSE)</f>
        <v>1</v>
      </c>
      <c r="D39" s="123">
        <f>IF(ISERROR(F39),0,IF(F39=FALSE,0,1))</f>
        <v>0</v>
      </c>
      <c r="E39" s="136">
        <f t="array" ref="E39">SMALL(IF(ISERROR(B$21:B$36),"",B$21:B$36),1)</f>
        <v>1.3717421124828533</v>
      </c>
      <c r="F39" s="123" t="b">
        <f t="shared" ref="F39:F54" si="16">VLOOKUP(E39,B$21:I$36,8,FALSE)</f>
        <v>0</v>
      </c>
      <c r="H39" s="83"/>
      <c r="I39" s="83"/>
      <c r="J39" s="140"/>
      <c r="L39" s="123">
        <f>IF(ISERROR(N39),0,IF(N39=FALSE,0,1))</f>
        <v>0</v>
      </c>
      <c r="M39" s="136" t="e">
        <f t="array" ref="M39">LARGE(IF(ISERROR(M$21:M$36),"",M$21:M$36),1)</f>
        <v>#NUM!</v>
      </c>
      <c r="N39" s="123" t="e">
        <f t="shared" ref="N39:N54" si="17">VLOOKUP(M39,M$21:T$36,8,FALSE)</f>
        <v>#NUM!</v>
      </c>
      <c r="O39" s="123">
        <f>IF(ISERROR(Q39),0,IF(Q39=FALSE,0,1))</f>
        <v>0</v>
      </c>
      <c r="P39" s="136" t="e">
        <f t="array" ref="P39">SMALL(IF(ISERROR(M$21:M$36),"",M$21:M$36),1)</f>
        <v>#NUM!</v>
      </c>
      <c r="Q39" s="123" t="e">
        <f t="shared" ref="Q39:Q54" si="18">VLOOKUP(P39,M$21:T$36,8,FALSE)</f>
        <v>#NUM!</v>
      </c>
      <c r="T39" s="143"/>
      <c r="W39" s="123">
        <f>IF(ISERROR(Y39),0,IF(Y39=FALSE,0,1))</f>
        <v>0</v>
      </c>
      <c r="X39" s="136" t="e">
        <f t="array" ref="X39">LARGE(IF(ISERROR(X$21:X$36),"",X$21:X$36),1)</f>
        <v>#NUM!</v>
      </c>
      <c r="Y39" s="123" t="e">
        <f t="shared" ref="Y39:Y54" si="19">VLOOKUP(X39,X$21:AE$36,8,FALSE)</f>
        <v>#NUM!</v>
      </c>
      <c r="Z39" s="123">
        <f>IF(ISERROR(AB39),0,IF(AB39=FALSE,0,1))</f>
        <v>0</v>
      </c>
      <c r="AA39" s="136" t="e">
        <f t="array" ref="AA39">SMALL(IF(ISERROR(X$21:X$36),"",X$21:X$36),1)</f>
        <v>#NUM!</v>
      </c>
      <c r="AB39" s="123" t="e">
        <f t="shared" ref="AB39:AB54" si="20">VLOOKUP(AA39,X$21:AE$36,8,FALSE)</f>
        <v>#NUM!</v>
      </c>
    </row>
    <row r="40" spans="1:32" hidden="1" x14ac:dyDescent="0.25">
      <c r="A40" s="123">
        <f t="shared" ref="A40:A54" si="21">IF(ISERROR(C40),0,IF(C40=FALSE,0,A39+1))</f>
        <v>2</v>
      </c>
      <c r="B40" s="136">
        <f t="array" ref="B40">LARGE(IF(ISERROR(B$21:B$36),"",B$21:B$36),2)</f>
        <v>333.33333333333331</v>
      </c>
      <c r="C40" s="123" t="b">
        <f t="shared" si="15"/>
        <v>1</v>
      </c>
      <c r="D40" s="123">
        <f t="shared" ref="D40:D54" si="22">IF(ISERROR(F40),0,IF(F40=FALSE,0,D39+1))</f>
        <v>1</v>
      </c>
      <c r="E40" s="136">
        <f t="array" ref="E40">SMALL(IF(ISERROR(B$21:B$36),"",B$21:B$36),2)</f>
        <v>4.1152263374485596</v>
      </c>
      <c r="F40" s="123" t="b">
        <f t="shared" si="16"/>
        <v>1</v>
      </c>
      <c r="H40" s="83"/>
      <c r="I40" s="83"/>
      <c r="J40" s="140"/>
      <c r="L40" s="123">
        <f t="shared" ref="L40:L54" si="23">IF(ISERROR(N40),0,IF(N40=FALSE,0,L39+1))</f>
        <v>0</v>
      </c>
      <c r="M40" s="136" t="e">
        <f t="array" ref="M40">LARGE(IF(ISERROR(M$21:M$36),"",M$21:M$36),2)</f>
        <v>#NUM!</v>
      </c>
      <c r="N40" s="123" t="e">
        <f t="shared" si="17"/>
        <v>#NUM!</v>
      </c>
      <c r="O40" s="123">
        <f t="shared" ref="O40:O54" si="24">IF(ISERROR(Q40),0,IF(Q40=FALSE,0,O39+1))</f>
        <v>0</v>
      </c>
      <c r="P40" s="136" t="e">
        <f t="array" ref="P40">SMALL(IF(ISERROR(M$21:M$36),"",M$21:M$36),2)</f>
        <v>#NUM!</v>
      </c>
      <c r="Q40" s="123" t="e">
        <f t="shared" si="18"/>
        <v>#NUM!</v>
      </c>
      <c r="T40" s="143"/>
      <c r="W40" s="123">
        <f t="shared" ref="W40:W54" si="25">IF(ISERROR(Y40),0,IF(Y40=FALSE,0,W39+1))</f>
        <v>0</v>
      </c>
      <c r="X40" s="136" t="e">
        <f t="array" ref="X40">LARGE(IF(ISERROR(X$21:X$36),"",X$21:X$36),2)</f>
        <v>#NUM!</v>
      </c>
      <c r="Y40" s="123" t="e">
        <f t="shared" si="19"/>
        <v>#NUM!</v>
      </c>
      <c r="Z40" s="123">
        <f t="shared" ref="Z40:Z54" si="26">IF(ISERROR(AB40),0,IF(AB40=FALSE,0,Z39+1))</f>
        <v>0</v>
      </c>
      <c r="AA40" s="136" t="e">
        <f t="array" ref="AA40">SMALL(IF(ISERROR(X$21:X$36),"",X$21:X$36),2)</f>
        <v>#NUM!</v>
      </c>
      <c r="AB40" s="123" t="e">
        <f t="shared" si="20"/>
        <v>#NUM!</v>
      </c>
    </row>
    <row r="41" spans="1:32" hidden="1" x14ac:dyDescent="0.25">
      <c r="A41" s="123">
        <f t="shared" si="21"/>
        <v>3</v>
      </c>
      <c r="B41" s="136">
        <f t="array" ref="B41">LARGE(IF(ISERROR(B$21:B$36),"",B$21:B$36),3)</f>
        <v>111.11111111111111</v>
      </c>
      <c r="C41" s="123" t="b">
        <f t="shared" si="15"/>
        <v>1</v>
      </c>
      <c r="D41" s="123">
        <f t="shared" si="22"/>
        <v>2</v>
      </c>
      <c r="E41" s="136">
        <f t="array" ref="E41">SMALL(IF(ISERROR(B$21:B$36),"",B$21:B$36),3)</f>
        <v>12.345679012345679</v>
      </c>
      <c r="F41" s="123" t="b">
        <f t="shared" si="16"/>
        <v>1</v>
      </c>
      <c r="H41" s="83"/>
      <c r="I41" s="83"/>
      <c r="J41" s="140"/>
      <c r="L41" s="123">
        <f t="shared" si="23"/>
        <v>0</v>
      </c>
      <c r="M41" s="136" t="e">
        <f t="array" ref="M41">LARGE(IF(ISERROR(M$21:M$36),"",M$21:M$36),3)</f>
        <v>#NUM!</v>
      </c>
      <c r="N41" s="123" t="e">
        <f t="shared" si="17"/>
        <v>#NUM!</v>
      </c>
      <c r="O41" s="123">
        <f t="shared" si="24"/>
        <v>0</v>
      </c>
      <c r="P41" s="136" t="e">
        <f t="array" ref="P41">SMALL(IF(ISERROR(M$21:M$36),"",M$21:M$36),3)</f>
        <v>#NUM!</v>
      </c>
      <c r="Q41" s="123" t="e">
        <f t="shared" si="18"/>
        <v>#NUM!</v>
      </c>
      <c r="T41" s="143"/>
      <c r="W41" s="123">
        <f t="shared" si="25"/>
        <v>0</v>
      </c>
      <c r="X41" s="136" t="e">
        <f t="array" ref="X41">LARGE(IF(ISERROR(X$21:X$36),"",X$21:X$36),3)</f>
        <v>#NUM!</v>
      </c>
      <c r="Y41" s="123" t="e">
        <f t="shared" si="19"/>
        <v>#NUM!</v>
      </c>
      <c r="Z41" s="123">
        <f t="shared" si="26"/>
        <v>0</v>
      </c>
      <c r="AA41" s="136" t="e">
        <f t="array" ref="AA41">SMALL(IF(ISERROR(X$21:X$36),"",X$21:X$36),3)</f>
        <v>#NUM!</v>
      </c>
      <c r="AB41" s="123" t="e">
        <f t="shared" si="20"/>
        <v>#NUM!</v>
      </c>
    </row>
    <row r="42" spans="1:32" hidden="1" x14ac:dyDescent="0.25">
      <c r="A42" s="123">
        <f t="shared" si="21"/>
        <v>4</v>
      </c>
      <c r="B42" s="136">
        <f t="array" ref="B42">LARGE(IF(ISERROR(B$21:B$36),"",B$21:B$36),4)</f>
        <v>37.037037037037038</v>
      </c>
      <c r="C42" s="123" t="b">
        <f t="shared" si="15"/>
        <v>1</v>
      </c>
      <c r="D42" s="123">
        <f t="shared" si="22"/>
        <v>3</v>
      </c>
      <c r="E42" s="136">
        <f t="array" ref="E42">SMALL(IF(ISERROR(B$21:B$36),"",B$21:B$36),4)</f>
        <v>37.037037037037038</v>
      </c>
      <c r="F42" s="123" t="b">
        <f t="shared" si="16"/>
        <v>1</v>
      </c>
      <c r="H42" s="83"/>
      <c r="I42" s="83"/>
      <c r="J42" s="140"/>
      <c r="L42" s="123">
        <f t="shared" si="23"/>
        <v>0</v>
      </c>
      <c r="M42" s="136" t="e">
        <f t="array" ref="M42">LARGE(IF(ISERROR(M$21:M$36),"",M$21:M$36),4)</f>
        <v>#NUM!</v>
      </c>
      <c r="N42" s="123" t="e">
        <f t="shared" si="17"/>
        <v>#NUM!</v>
      </c>
      <c r="O42" s="123">
        <f t="shared" si="24"/>
        <v>0</v>
      </c>
      <c r="P42" s="136" t="e">
        <f t="array" ref="P42">SMALL(IF(ISERROR(M$21:M$36),"",M$21:M$36),4)</f>
        <v>#NUM!</v>
      </c>
      <c r="Q42" s="123" t="e">
        <f t="shared" si="18"/>
        <v>#NUM!</v>
      </c>
      <c r="T42" s="143"/>
      <c r="W42" s="123">
        <f t="shared" si="25"/>
        <v>0</v>
      </c>
      <c r="X42" s="136" t="e">
        <f t="array" ref="X42">LARGE(IF(ISERROR(X$21:X$36),"",X$21:X$36),4)</f>
        <v>#NUM!</v>
      </c>
      <c r="Y42" s="123" t="e">
        <f t="shared" si="19"/>
        <v>#NUM!</v>
      </c>
      <c r="Z42" s="123">
        <f t="shared" si="26"/>
        <v>0</v>
      </c>
      <c r="AA42" s="136" t="e">
        <f t="array" ref="AA42">SMALL(IF(ISERROR(X$21:X$36),"",X$21:X$36),4)</f>
        <v>#NUM!</v>
      </c>
      <c r="AB42" s="123" t="e">
        <f t="shared" si="20"/>
        <v>#NUM!</v>
      </c>
    </row>
    <row r="43" spans="1:32" hidden="1" x14ac:dyDescent="0.25">
      <c r="A43" s="123">
        <f t="shared" si="21"/>
        <v>5</v>
      </c>
      <c r="B43" s="136">
        <f t="array" ref="B43">LARGE(IF(ISERROR(B$21:B$36),"",B$21:B$36),5)</f>
        <v>12.345679012345679</v>
      </c>
      <c r="C43" s="123" t="b">
        <f t="shared" si="15"/>
        <v>1</v>
      </c>
      <c r="D43" s="123">
        <f t="shared" si="22"/>
        <v>4</v>
      </c>
      <c r="E43" s="136">
        <f t="array" ref="E43">SMALL(IF(ISERROR(B$21:B$36),"",B$21:B$36),5)</f>
        <v>111.11111111111111</v>
      </c>
      <c r="F43" s="123" t="b">
        <f t="shared" si="16"/>
        <v>1</v>
      </c>
      <c r="H43" s="83"/>
      <c r="I43" s="83"/>
      <c r="J43" s="140"/>
      <c r="L43" s="123">
        <f t="shared" si="23"/>
        <v>0</v>
      </c>
      <c r="M43" s="136" t="e">
        <f t="array" ref="M43">LARGE(IF(ISERROR(M$21:M$36),"",M$21:M$36),5)</f>
        <v>#NUM!</v>
      </c>
      <c r="N43" s="123" t="e">
        <f t="shared" si="17"/>
        <v>#NUM!</v>
      </c>
      <c r="O43" s="123">
        <f t="shared" si="24"/>
        <v>0</v>
      </c>
      <c r="P43" s="136" t="e">
        <f t="array" ref="P43">SMALL(IF(ISERROR(M$21:M$36),"",M$21:M$36),5)</f>
        <v>#NUM!</v>
      </c>
      <c r="Q43" s="123" t="e">
        <f t="shared" si="18"/>
        <v>#NUM!</v>
      </c>
      <c r="T43" s="143"/>
      <c r="W43" s="123">
        <f t="shared" si="25"/>
        <v>0</v>
      </c>
      <c r="X43" s="136" t="e">
        <f t="array" ref="X43">LARGE(IF(ISERROR(X$21:X$36),"",X$21:X$36),5)</f>
        <v>#NUM!</v>
      </c>
      <c r="Y43" s="123" t="e">
        <f t="shared" si="19"/>
        <v>#NUM!</v>
      </c>
      <c r="Z43" s="123">
        <f t="shared" si="26"/>
        <v>0</v>
      </c>
      <c r="AA43" s="136" t="e">
        <f t="array" ref="AA43">SMALL(IF(ISERROR(X$21:X$36),"",X$21:X$36),5)</f>
        <v>#NUM!</v>
      </c>
      <c r="AB43" s="123" t="e">
        <f t="shared" si="20"/>
        <v>#NUM!</v>
      </c>
    </row>
    <row r="44" spans="1:32" hidden="1" x14ac:dyDescent="0.25">
      <c r="A44" s="123">
        <f t="shared" si="21"/>
        <v>6</v>
      </c>
      <c r="B44" s="136">
        <f t="array" ref="B44">LARGE(IF(ISERROR(B$21:B$36),"",B$21:B$36),6)</f>
        <v>4.1152263374485596</v>
      </c>
      <c r="C44" s="123" t="b">
        <f t="shared" si="15"/>
        <v>1</v>
      </c>
      <c r="D44" s="123">
        <f t="shared" si="22"/>
        <v>5</v>
      </c>
      <c r="E44" s="136">
        <f t="array" ref="E44">SMALL(IF(ISERROR(B$21:B$36),"",B$21:B$36),6)</f>
        <v>333.33333333333331</v>
      </c>
      <c r="F44" s="123" t="b">
        <f t="shared" si="16"/>
        <v>1</v>
      </c>
      <c r="H44" s="83"/>
      <c r="I44" s="83"/>
      <c r="J44" s="140"/>
      <c r="L44" s="123">
        <f t="shared" si="23"/>
        <v>0</v>
      </c>
      <c r="M44" s="136" t="e">
        <f t="array" ref="M44">LARGE(IF(ISERROR(M$21:M$36),"",M$21:M$36),6)</f>
        <v>#NUM!</v>
      </c>
      <c r="N44" s="123" t="e">
        <f t="shared" si="17"/>
        <v>#NUM!</v>
      </c>
      <c r="O44" s="123">
        <f t="shared" si="24"/>
        <v>0</v>
      </c>
      <c r="P44" s="136" t="e">
        <f t="array" ref="P44">SMALL(IF(ISERROR(M$21:M$36),"",M$21:M$36),6)</f>
        <v>#NUM!</v>
      </c>
      <c r="Q44" s="123" t="e">
        <f t="shared" si="18"/>
        <v>#NUM!</v>
      </c>
      <c r="T44" s="143"/>
      <c r="W44" s="123">
        <f t="shared" si="25"/>
        <v>0</v>
      </c>
      <c r="X44" s="136" t="e">
        <f t="array" ref="X44">LARGE(IF(ISERROR(X$21:X$36),"",X$21:X$36),6)</f>
        <v>#NUM!</v>
      </c>
      <c r="Y44" s="123" t="e">
        <f t="shared" si="19"/>
        <v>#NUM!</v>
      </c>
      <c r="Z44" s="123">
        <f t="shared" si="26"/>
        <v>0</v>
      </c>
      <c r="AA44" s="136" t="e">
        <f t="array" ref="AA44">SMALL(IF(ISERROR(X$21:X$36),"",X$21:X$36),6)</f>
        <v>#NUM!</v>
      </c>
      <c r="AB44" s="123" t="e">
        <f t="shared" si="20"/>
        <v>#NUM!</v>
      </c>
    </row>
    <row r="45" spans="1:32" hidden="1" x14ac:dyDescent="0.25">
      <c r="A45" s="123">
        <f t="shared" si="21"/>
        <v>0</v>
      </c>
      <c r="B45" s="136">
        <f t="array" ref="B45">LARGE(IF(ISERROR(B$21:B$36),"",B$21:B$36),7)</f>
        <v>1.3717421124828533</v>
      </c>
      <c r="C45" s="123" t="b">
        <f t="shared" si="15"/>
        <v>0</v>
      </c>
      <c r="D45" s="123">
        <f t="shared" si="22"/>
        <v>6</v>
      </c>
      <c r="E45" s="136">
        <f t="array" ref="E45">SMALL(IF(ISERROR(B$21:B$36),"",B$21:B$36),7)</f>
        <v>1000</v>
      </c>
      <c r="F45" s="123" t="b">
        <f t="shared" si="16"/>
        <v>1</v>
      </c>
      <c r="H45" s="83"/>
      <c r="I45" s="83"/>
      <c r="J45" s="140"/>
      <c r="L45" s="123">
        <f t="shared" si="23"/>
        <v>0</v>
      </c>
      <c r="M45" s="136" t="e">
        <f t="array" ref="M45">LARGE(IF(ISERROR(M$21:M$36),"",M$21:M$36),7)</f>
        <v>#NUM!</v>
      </c>
      <c r="N45" s="123" t="e">
        <f t="shared" si="17"/>
        <v>#NUM!</v>
      </c>
      <c r="O45" s="123">
        <f t="shared" si="24"/>
        <v>0</v>
      </c>
      <c r="P45" s="136" t="e">
        <f t="array" ref="P45">SMALL(IF(ISERROR(M$21:M$36),"",M$21:M$36),7)</f>
        <v>#NUM!</v>
      </c>
      <c r="Q45" s="123" t="e">
        <f t="shared" si="18"/>
        <v>#NUM!</v>
      </c>
      <c r="T45" s="143"/>
      <c r="W45" s="123">
        <f t="shared" si="25"/>
        <v>0</v>
      </c>
      <c r="X45" s="136" t="e">
        <f t="array" ref="X45">LARGE(IF(ISERROR(X$21:X$36),"",X$21:X$36),7)</f>
        <v>#NUM!</v>
      </c>
      <c r="Y45" s="123" t="e">
        <f t="shared" si="19"/>
        <v>#NUM!</v>
      </c>
      <c r="Z45" s="123">
        <f t="shared" si="26"/>
        <v>0</v>
      </c>
      <c r="AA45" s="136" t="e">
        <f t="array" ref="AA45">SMALL(IF(ISERROR(X$21:X$36),"",X$21:X$36),7)</f>
        <v>#NUM!</v>
      </c>
      <c r="AB45" s="123" t="e">
        <f t="shared" si="20"/>
        <v>#NUM!</v>
      </c>
    </row>
    <row r="46" spans="1:32" hidden="1" x14ac:dyDescent="0.25">
      <c r="A46" s="123">
        <f t="shared" si="21"/>
        <v>0</v>
      </c>
      <c r="B46" s="136" t="e">
        <f t="array" ref="B46">LARGE(IF(ISERROR(B$21:B$36),"",B$21:B$36),8)</f>
        <v>#NUM!</v>
      </c>
      <c r="C46" s="123" t="e">
        <f t="shared" si="15"/>
        <v>#NUM!</v>
      </c>
      <c r="D46" s="123">
        <f t="shared" si="22"/>
        <v>0</v>
      </c>
      <c r="E46" s="136" t="e">
        <f t="array" ref="E46">SMALL(IF(ISERROR(B$21:B$36),"",B$21:B$36),8)</f>
        <v>#NUM!</v>
      </c>
      <c r="F46" s="123" t="e">
        <f t="shared" si="16"/>
        <v>#NUM!</v>
      </c>
      <c r="H46" s="83"/>
      <c r="I46" s="83"/>
      <c r="J46" s="140"/>
      <c r="L46" s="123">
        <f t="shared" si="23"/>
        <v>0</v>
      </c>
      <c r="M46" s="136" t="e">
        <f t="array" ref="M46">LARGE(IF(ISERROR(M$21:M$36),"",M$21:M$36),8)</f>
        <v>#NUM!</v>
      </c>
      <c r="N46" s="123" t="e">
        <f t="shared" si="17"/>
        <v>#NUM!</v>
      </c>
      <c r="O46" s="123">
        <f t="shared" si="24"/>
        <v>0</v>
      </c>
      <c r="P46" s="136" t="e">
        <f t="array" ref="P46">SMALL(IF(ISERROR(M$21:M$36),"",M$21:M$36),8)</f>
        <v>#NUM!</v>
      </c>
      <c r="Q46" s="123" t="e">
        <f t="shared" si="18"/>
        <v>#NUM!</v>
      </c>
      <c r="T46" s="143"/>
      <c r="W46" s="123">
        <f t="shared" si="25"/>
        <v>0</v>
      </c>
      <c r="X46" s="136" t="e">
        <f t="array" ref="X46">LARGE(IF(ISERROR(X$21:X$36),"",X$21:X$36),8)</f>
        <v>#NUM!</v>
      </c>
      <c r="Y46" s="123" t="e">
        <f t="shared" si="19"/>
        <v>#NUM!</v>
      </c>
      <c r="Z46" s="123">
        <f t="shared" si="26"/>
        <v>0</v>
      </c>
      <c r="AA46" s="136" t="e">
        <f t="array" ref="AA46">SMALL(IF(ISERROR(X$21:X$36),"",X$21:X$36),8)</f>
        <v>#NUM!</v>
      </c>
      <c r="AB46" s="123" t="e">
        <f t="shared" si="20"/>
        <v>#NUM!</v>
      </c>
    </row>
    <row r="47" spans="1:32" hidden="1" x14ac:dyDescent="0.25">
      <c r="A47" s="123">
        <f t="shared" si="21"/>
        <v>0</v>
      </c>
      <c r="B47" s="136" t="e">
        <f t="array" ref="B47">LARGE(IF(ISERROR(B$21:B$36),"",B$21:B$36),9)</f>
        <v>#NUM!</v>
      </c>
      <c r="C47" s="123" t="e">
        <f t="shared" si="15"/>
        <v>#NUM!</v>
      </c>
      <c r="D47" s="123">
        <f t="shared" si="22"/>
        <v>0</v>
      </c>
      <c r="E47" s="136" t="e">
        <f t="array" ref="E47">SMALL(IF(ISERROR(B$21:B$36),"",B$21:B$36),9)</f>
        <v>#NUM!</v>
      </c>
      <c r="F47" s="123" t="e">
        <f t="shared" si="16"/>
        <v>#NUM!</v>
      </c>
      <c r="H47" s="83"/>
      <c r="I47" s="83"/>
      <c r="J47" s="140"/>
      <c r="L47" s="123">
        <f t="shared" si="23"/>
        <v>0</v>
      </c>
      <c r="M47" s="136" t="e">
        <f t="array" ref="M47">LARGE(IF(ISERROR(M$21:M$36),"",M$21:M$36),9)</f>
        <v>#NUM!</v>
      </c>
      <c r="N47" s="123" t="e">
        <f t="shared" si="17"/>
        <v>#NUM!</v>
      </c>
      <c r="O47" s="123">
        <f t="shared" si="24"/>
        <v>0</v>
      </c>
      <c r="P47" s="136" t="e">
        <f t="array" ref="P47">SMALL(IF(ISERROR(M$21:M$36),"",M$21:M$36),9)</f>
        <v>#NUM!</v>
      </c>
      <c r="Q47" s="123" t="e">
        <f t="shared" si="18"/>
        <v>#NUM!</v>
      </c>
      <c r="T47" s="143"/>
      <c r="W47" s="123">
        <f t="shared" si="25"/>
        <v>0</v>
      </c>
      <c r="X47" s="136" t="e">
        <f t="array" ref="X47">LARGE(IF(ISERROR(X$21:X$36),"",X$21:X$36),9)</f>
        <v>#NUM!</v>
      </c>
      <c r="Y47" s="123" t="e">
        <f t="shared" si="19"/>
        <v>#NUM!</v>
      </c>
      <c r="Z47" s="123">
        <f t="shared" si="26"/>
        <v>0</v>
      </c>
      <c r="AA47" s="136" t="e">
        <f t="array" ref="AA47">SMALL(IF(ISERROR(X$21:X$36),"",X$21:X$36),9)</f>
        <v>#NUM!</v>
      </c>
      <c r="AB47" s="123" t="e">
        <f t="shared" si="20"/>
        <v>#NUM!</v>
      </c>
    </row>
    <row r="48" spans="1:32" hidden="1" x14ac:dyDescent="0.25">
      <c r="A48" s="123">
        <f t="shared" si="21"/>
        <v>0</v>
      </c>
      <c r="B48" s="136" t="e">
        <f t="array" ref="B48">LARGE(IF(ISERROR(B$21:B$36),"",B$21:B$36),10)</f>
        <v>#NUM!</v>
      </c>
      <c r="C48" s="123" t="e">
        <f t="shared" si="15"/>
        <v>#NUM!</v>
      </c>
      <c r="D48" s="123">
        <f t="shared" si="22"/>
        <v>0</v>
      </c>
      <c r="E48" s="136" t="e">
        <f t="array" ref="E48">SMALL(IF(ISERROR(B$21:B$36),"",B$21:B$36),10)</f>
        <v>#NUM!</v>
      </c>
      <c r="F48" s="123" t="e">
        <f t="shared" si="16"/>
        <v>#NUM!</v>
      </c>
      <c r="H48" s="83"/>
      <c r="I48" s="83"/>
      <c r="J48" s="140"/>
      <c r="L48" s="123">
        <f t="shared" si="23"/>
        <v>0</v>
      </c>
      <c r="M48" s="136" t="e">
        <f t="array" ref="M48">LARGE(IF(ISERROR(M$21:M$36),"",M$21:M$36),10)</f>
        <v>#NUM!</v>
      </c>
      <c r="N48" s="123" t="e">
        <f t="shared" si="17"/>
        <v>#NUM!</v>
      </c>
      <c r="O48" s="123">
        <f t="shared" si="24"/>
        <v>0</v>
      </c>
      <c r="P48" s="136" t="e">
        <f t="array" ref="P48">SMALL(IF(ISERROR(M$21:M$36),"",M$21:M$36),10)</f>
        <v>#NUM!</v>
      </c>
      <c r="Q48" s="123" t="e">
        <f t="shared" si="18"/>
        <v>#NUM!</v>
      </c>
      <c r="T48" s="143"/>
      <c r="W48" s="123">
        <f t="shared" si="25"/>
        <v>0</v>
      </c>
      <c r="X48" s="136" t="e">
        <f t="array" ref="X48">LARGE(IF(ISERROR(X$21:X$36),"",X$21:X$36),10)</f>
        <v>#NUM!</v>
      </c>
      <c r="Y48" s="123" t="e">
        <f t="shared" si="19"/>
        <v>#NUM!</v>
      </c>
      <c r="Z48" s="123">
        <f t="shared" si="26"/>
        <v>0</v>
      </c>
      <c r="AA48" s="136" t="e">
        <f t="array" ref="AA48">SMALL(IF(ISERROR(X$21:X$36),"",X$21:X$36),10)</f>
        <v>#NUM!</v>
      </c>
      <c r="AB48" s="123" t="e">
        <f t="shared" si="20"/>
        <v>#NUM!</v>
      </c>
    </row>
    <row r="49" spans="1:29" hidden="1" x14ac:dyDescent="0.25">
      <c r="A49" s="123">
        <f t="shared" si="21"/>
        <v>0</v>
      </c>
      <c r="B49" s="136" t="e">
        <f t="array" ref="B49">LARGE(IF(ISERROR(B$21:B$36),"",B$21:B$36),11)</f>
        <v>#NUM!</v>
      </c>
      <c r="C49" s="123" t="e">
        <f t="shared" si="15"/>
        <v>#NUM!</v>
      </c>
      <c r="D49" s="123">
        <f t="shared" si="22"/>
        <v>0</v>
      </c>
      <c r="E49" s="136" t="e">
        <f t="array" ref="E49">SMALL(IF(ISERROR(B$21:B$36),"",B$21:B$36),11)</f>
        <v>#NUM!</v>
      </c>
      <c r="F49" s="123" t="e">
        <f t="shared" si="16"/>
        <v>#NUM!</v>
      </c>
      <c r="H49" s="83"/>
      <c r="I49" s="83"/>
      <c r="J49" s="140"/>
      <c r="L49" s="123">
        <f t="shared" si="23"/>
        <v>0</v>
      </c>
      <c r="M49" s="136" t="e">
        <f t="array" ref="M49">LARGE(IF(ISERROR(M$21:M$36),"",M$21:M$36),11)</f>
        <v>#NUM!</v>
      </c>
      <c r="N49" s="123" t="e">
        <f t="shared" si="17"/>
        <v>#NUM!</v>
      </c>
      <c r="O49" s="123">
        <f t="shared" si="24"/>
        <v>0</v>
      </c>
      <c r="P49" s="136" t="e">
        <f t="array" ref="P49">SMALL(IF(ISERROR(M$21:M$36),"",M$21:M$36),11)</f>
        <v>#NUM!</v>
      </c>
      <c r="Q49" s="123" t="e">
        <f t="shared" si="18"/>
        <v>#NUM!</v>
      </c>
      <c r="T49" s="143"/>
      <c r="W49" s="123">
        <f t="shared" si="25"/>
        <v>0</v>
      </c>
      <c r="X49" s="136" t="e">
        <f t="array" ref="X49">LARGE(IF(ISERROR(X$21:X$36),"",X$21:X$36),11)</f>
        <v>#NUM!</v>
      </c>
      <c r="Y49" s="123" t="e">
        <f t="shared" si="19"/>
        <v>#NUM!</v>
      </c>
      <c r="Z49" s="123">
        <f t="shared" si="26"/>
        <v>0</v>
      </c>
      <c r="AA49" s="136" t="e">
        <f t="array" ref="AA49">SMALL(IF(ISERROR(X$21:X$36),"",X$21:X$36),11)</f>
        <v>#NUM!</v>
      </c>
      <c r="AB49" s="123" t="e">
        <f t="shared" si="20"/>
        <v>#NUM!</v>
      </c>
    </row>
    <row r="50" spans="1:29" hidden="1" x14ac:dyDescent="0.25">
      <c r="A50" s="123">
        <f t="shared" si="21"/>
        <v>0</v>
      </c>
      <c r="B50" s="136" t="e">
        <f t="array" ref="B50">LARGE(IF(ISERROR(B$21:B$36),"",B$21:B$36),12)</f>
        <v>#NUM!</v>
      </c>
      <c r="C50" s="123" t="e">
        <f t="shared" si="15"/>
        <v>#NUM!</v>
      </c>
      <c r="D50" s="123">
        <f t="shared" si="22"/>
        <v>0</v>
      </c>
      <c r="E50" s="136" t="e">
        <f t="array" ref="E50">SMALL(IF(ISERROR(B$21:B$36),"",B$21:B$36),12)</f>
        <v>#NUM!</v>
      </c>
      <c r="F50" s="123" t="e">
        <f t="shared" si="16"/>
        <v>#NUM!</v>
      </c>
      <c r="H50" s="83"/>
      <c r="I50" s="83"/>
      <c r="J50" s="140"/>
      <c r="L50" s="123">
        <f t="shared" si="23"/>
        <v>0</v>
      </c>
      <c r="M50" s="136" t="e">
        <f t="array" ref="M50">LARGE(IF(ISERROR(M$21:M$36),"",M$21:M$36),12)</f>
        <v>#NUM!</v>
      </c>
      <c r="N50" s="123" t="e">
        <f t="shared" si="17"/>
        <v>#NUM!</v>
      </c>
      <c r="O50" s="123">
        <f t="shared" si="24"/>
        <v>0</v>
      </c>
      <c r="P50" s="136" t="e">
        <f t="array" ref="P50">SMALL(IF(ISERROR(M$21:M$36),"",M$21:M$36),12)</f>
        <v>#NUM!</v>
      </c>
      <c r="Q50" s="123" t="e">
        <f t="shared" si="18"/>
        <v>#NUM!</v>
      </c>
      <c r="T50" s="143"/>
      <c r="W50" s="123">
        <f t="shared" si="25"/>
        <v>0</v>
      </c>
      <c r="X50" s="136" t="e">
        <f t="array" ref="X50">LARGE(IF(ISERROR(X$21:X$36),"",X$21:X$36),12)</f>
        <v>#NUM!</v>
      </c>
      <c r="Y50" s="123" t="e">
        <f t="shared" si="19"/>
        <v>#NUM!</v>
      </c>
      <c r="Z50" s="123">
        <f t="shared" si="26"/>
        <v>0</v>
      </c>
      <c r="AA50" s="136" t="e">
        <f t="array" ref="AA50">SMALL(IF(ISERROR(X$21:X$36),"",X$21:X$36),12)</f>
        <v>#NUM!</v>
      </c>
      <c r="AB50" s="123" t="e">
        <f t="shared" si="20"/>
        <v>#NUM!</v>
      </c>
    </row>
    <row r="51" spans="1:29" hidden="1" x14ac:dyDescent="0.25">
      <c r="A51" s="123">
        <f t="shared" si="21"/>
        <v>0</v>
      </c>
      <c r="B51" s="136" t="e">
        <f t="array" ref="B51">LARGE(IF(ISERROR(B$21:B$36),"",B$21:B$36),13)</f>
        <v>#NUM!</v>
      </c>
      <c r="C51" s="123" t="e">
        <f t="shared" si="15"/>
        <v>#NUM!</v>
      </c>
      <c r="D51" s="123">
        <f t="shared" si="22"/>
        <v>0</v>
      </c>
      <c r="E51" s="136" t="e">
        <f t="array" ref="E51">SMALL(IF(ISERROR(B$21:B$36),"",B$21:B$36),13)</f>
        <v>#NUM!</v>
      </c>
      <c r="F51" s="123" t="e">
        <f t="shared" si="16"/>
        <v>#NUM!</v>
      </c>
      <c r="H51" s="83"/>
      <c r="I51" s="83"/>
      <c r="J51" s="140"/>
      <c r="L51" s="123">
        <f t="shared" si="23"/>
        <v>0</v>
      </c>
      <c r="M51" s="136" t="e">
        <f t="array" ref="M51">LARGE(IF(ISERROR(M$21:M$36),"",M$21:M$36),13)</f>
        <v>#NUM!</v>
      </c>
      <c r="N51" s="123" t="e">
        <f t="shared" si="17"/>
        <v>#NUM!</v>
      </c>
      <c r="O51" s="123">
        <f t="shared" si="24"/>
        <v>0</v>
      </c>
      <c r="P51" s="136" t="e">
        <f t="array" ref="P51">SMALL(IF(ISERROR(M$21:M$36),"",M$21:M$36),13)</f>
        <v>#NUM!</v>
      </c>
      <c r="Q51" s="123" t="e">
        <f t="shared" si="18"/>
        <v>#NUM!</v>
      </c>
      <c r="T51" s="143"/>
      <c r="W51" s="123">
        <f t="shared" si="25"/>
        <v>0</v>
      </c>
      <c r="X51" s="136" t="e">
        <f t="array" ref="X51">LARGE(IF(ISERROR(X$21:X$36),"",X$21:X$36),13)</f>
        <v>#NUM!</v>
      </c>
      <c r="Y51" s="123" t="e">
        <f t="shared" si="19"/>
        <v>#NUM!</v>
      </c>
      <c r="Z51" s="123">
        <f t="shared" si="26"/>
        <v>0</v>
      </c>
      <c r="AA51" s="136" t="e">
        <f t="array" ref="AA51">SMALL(IF(ISERROR(X$21:X$36),"",X$21:X$36),13)</f>
        <v>#NUM!</v>
      </c>
      <c r="AB51" s="123" t="e">
        <f t="shared" si="20"/>
        <v>#NUM!</v>
      </c>
    </row>
    <row r="52" spans="1:29" hidden="1" x14ac:dyDescent="0.25">
      <c r="A52" s="123">
        <f t="shared" si="21"/>
        <v>0</v>
      </c>
      <c r="B52" s="136" t="e">
        <f t="array" ref="B52">LARGE(IF(ISERROR(B$21:B$36),"",B$21:B$36),14)</f>
        <v>#NUM!</v>
      </c>
      <c r="C52" s="123" t="e">
        <f t="shared" si="15"/>
        <v>#NUM!</v>
      </c>
      <c r="D52" s="123">
        <f t="shared" si="22"/>
        <v>0</v>
      </c>
      <c r="E52" s="136" t="e">
        <f t="array" ref="E52">SMALL(IF(ISERROR(B$21:B$36),"",B$21:B$36),14)</f>
        <v>#NUM!</v>
      </c>
      <c r="F52" s="123" t="e">
        <f t="shared" si="16"/>
        <v>#NUM!</v>
      </c>
      <c r="H52" s="83"/>
      <c r="I52" s="83"/>
      <c r="J52" s="140"/>
      <c r="L52" s="123">
        <f t="shared" si="23"/>
        <v>0</v>
      </c>
      <c r="M52" s="136" t="e">
        <f t="array" ref="M52">LARGE(IF(ISERROR(M$21:M$36),"",M$21:M$36),14)</f>
        <v>#NUM!</v>
      </c>
      <c r="N52" s="123" t="e">
        <f t="shared" si="17"/>
        <v>#NUM!</v>
      </c>
      <c r="O52" s="123">
        <f t="shared" si="24"/>
        <v>0</v>
      </c>
      <c r="P52" s="136" t="e">
        <f t="array" ref="P52">SMALL(IF(ISERROR(M$21:M$36),"",M$21:M$36),14)</f>
        <v>#NUM!</v>
      </c>
      <c r="Q52" s="123" t="e">
        <f t="shared" si="18"/>
        <v>#NUM!</v>
      </c>
      <c r="T52" s="143"/>
      <c r="W52" s="123">
        <f t="shared" si="25"/>
        <v>0</v>
      </c>
      <c r="X52" s="136" t="e">
        <f t="array" ref="X52">LARGE(IF(ISERROR(X$21:X$36),"",X$21:X$36),14)</f>
        <v>#NUM!</v>
      </c>
      <c r="Y52" s="123" t="e">
        <f t="shared" si="19"/>
        <v>#NUM!</v>
      </c>
      <c r="Z52" s="123">
        <f t="shared" si="26"/>
        <v>0</v>
      </c>
      <c r="AA52" s="136" t="e">
        <f t="array" ref="AA52">SMALL(IF(ISERROR(X$21:X$36),"",X$21:X$36),14)</f>
        <v>#NUM!</v>
      </c>
      <c r="AB52" s="123" t="e">
        <f t="shared" si="20"/>
        <v>#NUM!</v>
      </c>
    </row>
    <row r="53" spans="1:29" hidden="1" x14ac:dyDescent="0.25">
      <c r="A53" s="123">
        <f t="shared" si="21"/>
        <v>0</v>
      </c>
      <c r="B53" s="136" t="e">
        <f t="array" ref="B53">LARGE(IF(ISERROR(B$21:B$36),"",B$21:B$36),15)</f>
        <v>#NUM!</v>
      </c>
      <c r="C53" s="123" t="e">
        <f t="shared" si="15"/>
        <v>#NUM!</v>
      </c>
      <c r="D53" s="123">
        <f t="shared" si="22"/>
        <v>0</v>
      </c>
      <c r="E53" s="136" t="e">
        <f t="array" ref="E53">SMALL(IF(ISERROR(B$21:B$36),"",B$21:B$36),15)</f>
        <v>#NUM!</v>
      </c>
      <c r="F53" s="123" t="e">
        <f t="shared" si="16"/>
        <v>#NUM!</v>
      </c>
      <c r="H53" s="83"/>
      <c r="I53" s="83"/>
      <c r="J53" s="140"/>
      <c r="L53" s="123">
        <f t="shared" si="23"/>
        <v>0</v>
      </c>
      <c r="M53" s="136" t="e">
        <f t="array" ref="M53">LARGE(IF(ISERROR(M$21:M$36),"",M$21:M$36),15)</f>
        <v>#NUM!</v>
      </c>
      <c r="N53" s="123" t="e">
        <f t="shared" si="17"/>
        <v>#NUM!</v>
      </c>
      <c r="O53" s="123">
        <f t="shared" si="24"/>
        <v>0</v>
      </c>
      <c r="P53" s="136" t="e">
        <f t="array" ref="P53">SMALL(IF(ISERROR(M$21:M$36),"",M$21:M$36),15)</f>
        <v>#NUM!</v>
      </c>
      <c r="Q53" s="123" t="e">
        <f t="shared" si="18"/>
        <v>#NUM!</v>
      </c>
      <c r="T53" s="143"/>
      <c r="W53" s="123">
        <f t="shared" si="25"/>
        <v>0</v>
      </c>
      <c r="X53" s="136" t="e">
        <f t="array" ref="X53">LARGE(IF(ISERROR(X$21:X$36),"",X$21:X$36),15)</f>
        <v>#NUM!</v>
      </c>
      <c r="Y53" s="123" t="e">
        <f t="shared" si="19"/>
        <v>#NUM!</v>
      </c>
      <c r="Z53" s="123">
        <f t="shared" si="26"/>
        <v>0</v>
      </c>
      <c r="AA53" s="136" t="e">
        <f t="array" ref="AA53">SMALL(IF(ISERROR(X$21:X$36),"",X$21:X$36),15)</f>
        <v>#NUM!</v>
      </c>
      <c r="AB53" s="123" t="e">
        <f t="shared" si="20"/>
        <v>#NUM!</v>
      </c>
    </row>
    <row r="54" spans="1:29" hidden="1" x14ac:dyDescent="0.25">
      <c r="A54" s="123">
        <f t="shared" si="21"/>
        <v>0</v>
      </c>
      <c r="B54" s="136" t="e">
        <f t="array" ref="B54">LARGE(IF(ISERROR(B$21:B$36),"",B$21:B$36),16)</f>
        <v>#NUM!</v>
      </c>
      <c r="C54" s="123" t="e">
        <f t="shared" si="15"/>
        <v>#NUM!</v>
      </c>
      <c r="D54" s="123">
        <f t="shared" si="22"/>
        <v>0</v>
      </c>
      <c r="E54" s="136" t="e">
        <f t="array" ref="E54">SMALL(IF(ISERROR(B$21:B$36),"",B$21:B$36),16)</f>
        <v>#NUM!</v>
      </c>
      <c r="F54" s="123" t="e">
        <f t="shared" si="16"/>
        <v>#NUM!</v>
      </c>
      <c r="H54" s="83"/>
      <c r="I54" s="83"/>
      <c r="J54" s="140"/>
      <c r="L54" s="123">
        <f t="shared" si="23"/>
        <v>0</v>
      </c>
      <c r="M54" s="136" t="e">
        <f t="array" ref="M54">LARGE(IF(ISERROR(M$21:M$36),"",M$21:M$36),16)</f>
        <v>#NUM!</v>
      </c>
      <c r="N54" s="123" t="e">
        <f t="shared" si="17"/>
        <v>#NUM!</v>
      </c>
      <c r="O54" s="123">
        <f t="shared" si="24"/>
        <v>0</v>
      </c>
      <c r="P54" s="136" t="e">
        <f t="array" ref="P54">SMALL(IF(ISERROR(M$21:M$36),"",M$21:M$36),16)</f>
        <v>#NUM!</v>
      </c>
      <c r="Q54" s="123" t="e">
        <f t="shared" si="18"/>
        <v>#NUM!</v>
      </c>
      <c r="T54" s="143"/>
      <c r="W54" s="123">
        <f t="shared" si="25"/>
        <v>0</v>
      </c>
      <c r="X54" s="136" t="e">
        <f t="array" ref="X54">LARGE(IF(ISERROR(X$21:X$36),"",X$21:X$36),16)</f>
        <v>#NUM!</v>
      </c>
      <c r="Y54" s="123" t="e">
        <f t="shared" si="19"/>
        <v>#NUM!</v>
      </c>
      <c r="Z54" s="123">
        <f t="shared" si="26"/>
        <v>0</v>
      </c>
      <c r="AA54" s="136" t="e">
        <f t="array" ref="AA54">SMALL(IF(ISERROR(X$21:X$36),"",X$21:X$36),16)</f>
        <v>#NUM!</v>
      </c>
      <c r="AB54" s="123" t="e">
        <f t="shared" si="20"/>
        <v>#NUM!</v>
      </c>
    </row>
    <row r="56" spans="1:29" x14ac:dyDescent="0.25">
      <c r="A56" s="735" t="s">
        <v>589</v>
      </c>
      <c r="B56" s="735"/>
      <c r="C56" s="735"/>
      <c r="E56" s="735" t="s">
        <v>596</v>
      </c>
      <c r="F56" s="735"/>
      <c r="G56" s="735"/>
      <c r="L56" s="735" t="s">
        <v>589</v>
      </c>
      <c r="M56" s="735"/>
      <c r="N56" s="735"/>
      <c r="P56" s="735" t="s">
        <v>596</v>
      </c>
      <c r="Q56" s="735"/>
      <c r="R56" s="735"/>
      <c r="W56" s="735" t="s">
        <v>589</v>
      </c>
      <c r="X56" s="735"/>
      <c r="Y56" s="735"/>
      <c r="AA56" s="735" t="s">
        <v>596</v>
      </c>
      <c r="AB56" s="735"/>
      <c r="AC56" s="735"/>
    </row>
    <row r="57" spans="1:29" x14ac:dyDescent="0.25">
      <c r="A57" s="735" t="s">
        <v>590</v>
      </c>
      <c r="B57" s="735"/>
      <c r="C57" s="27">
        <f>IF(ISERROR(VLOOKUP(MAX(A39:A54),A39:B54,2,FALSE)),NA(),VLOOKUP(MAX(A39:A54),A39:B54,2,FALSE))</f>
        <v>4.1152263374485596</v>
      </c>
      <c r="E57" s="27"/>
      <c r="F57" s="27" t="s">
        <v>598</v>
      </c>
      <c r="G57" s="27" t="s">
        <v>599</v>
      </c>
      <c r="L57" s="735" t="s">
        <v>590</v>
      </c>
      <c r="M57" s="735"/>
      <c r="N57" s="27" t="e">
        <f>IF(ISERROR(VLOOKUP(MAX(L39:L54),L39:M54,2,FALSE)),NA(),VLOOKUP(MAX(L39:L54),L39:M54,2,FALSE))</f>
        <v>#N/A</v>
      </c>
      <c r="P57" s="27"/>
      <c r="Q57" s="27" t="s">
        <v>598</v>
      </c>
      <c r="R57" s="27" t="s">
        <v>599</v>
      </c>
      <c r="W57" s="735" t="s">
        <v>590</v>
      </c>
      <c r="X57" s="735"/>
      <c r="Y57" s="27" t="e">
        <f>IF(ISERROR(VLOOKUP(MAX(W39:W54),W39:X54,2,FALSE)),NA(),VLOOKUP(MAX(W39:W54),W39:X54,2,FALSE))</f>
        <v>#N/A</v>
      </c>
      <c r="AA57" s="27"/>
      <c r="AB57" s="27" t="s">
        <v>598</v>
      </c>
      <c r="AC57" s="27" t="s">
        <v>599</v>
      </c>
    </row>
    <row r="58" spans="1:29" x14ac:dyDescent="0.25">
      <c r="A58" s="735" t="s">
        <v>591</v>
      </c>
      <c r="B58" s="735"/>
      <c r="C58" s="27">
        <f>IF(ISERROR(VLOOKUP(MAX(D39:D54),D39:E54,2,FALSE)),NA(),VLOOKUP(MAX(D39:D54),D39:E54,2,FALSE))</f>
        <v>1000</v>
      </c>
      <c r="E58" s="27" t="s">
        <v>597</v>
      </c>
      <c r="F58" s="145">
        <f>MIN(Calculations!AB63:AB88)</f>
        <v>1.3717421124828533</v>
      </c>
      <c r="G58" s="145">
        <f>MAX(Calculations!AB63:AB88)</f>
        <v>1000</v>
      </c>
      <c r="L58" s="735" t="s">
        <v>591</v>
      </c>
      <c r="M58" s="735"/>
      <c r="N58" s="27" t="e">
        <f>IF(ISERROR(VLOOKUP(MAX(O39:O54),O39:P54,2,FALSE)),NA(),VLOOKUP(MAX(O39:O54),O39:P54,2,FALSE))</f>
        <v>#N/A</v>
      </c>
      <c r="P58" s="27" t="s">
        <v>597</v>
      </c>
      <c r="Q58" s="145" t="e">
        <f>MIN(Calculations!AD63:AD88)</f>
        <v>#N/A</v>
      </c>
      <c r="R58" s="145" t="e">
        <f>MAX(Calculations!AD63:AD88)</f>
        <v>#N/A</v>
      </c>
      <c r="W58" s="735" t="s">
        <v>591</v>
      </c>
      <c r="X58" s="735"/>
      <c r="Y58" s="27" t="e">
        <f>IF(ISERROR(VLOOKUP(MAX(Z39:Z54),Z39:AA54,2,FALSE)),NA(),VLOOKUP(MAX(Z39:Z54),Z39:AA54,2,FALSE))</f>
        <v>#N/A</v>
      </c>
      <c r="AA58" s="27" t="s">
        <v>597</v>
      </c>
      <c r="AB58" s="145" t="e">
        <f>MIN(Calculations!AF63:AF88)</f>
        <v>#N/A</v>
      </c>
      <c r="AC58" s="145" t="e">
        <f>MAX(Calculations!AF63:AF88)</f>
        <v>#N/A</v>
      </c>
    </row>
    <row r="59" spans="1:29" x14ac:dyDescent="0.25">
      <c r="A59" s="769" t="s">
        <v>592</v>
      </c>
      <c r="B59" s="769"/>
      <c r="C59" s="137">
        <f t="array" ref="C59">AVERAGE(IF(ISERROR(E21:E36),"",E21:E36))</f>
        <v>6.1248359189524662E-2</v>
      </c>
      <c r="E59" s="735" t="s">
        <v>602</v>
      </c>
      <c r="F59" s="735"/>
      <c r="G59" s="735"/>
      <c r="I59" s="138"/>
      <c r="L59" s="769" t="s">
        <v>592</v>
      </c>
      <c r="M59" s="769"/>
      <c r="N59" s="137" t="e">
        <f t="array" ref="N59">AVERAGE(IF(ISERROR(P21:P36),"",P21:P36))</f>
        <v>#DIV/0!</v>
      </c>
      <c r="P59" s="735" t="s">
        <v>601</v>
      </c>
      <c r="Q59" s="735"/>
      <c r="R59" s="735"/>
      <c r="W59" s="769" t="s">
        <v>592</v>
      </c>
      <c r="X59" s="769"/>
      <c r="Y59" s="137" t="e">
        <f t="array" ref="Y59">AVERAGE(IF(ISERROR(AA21:AA36),"",AA21:AA36))</f>
        <v>#DIV/0!</v>
      </c>
      <c r="AA59" s="735" t="s">
        <v>600</v>
      </c>
      <c r="AB59" s="735"/>
      <c r="AC59" s="735"/>
    </row>
    <row r="60" spans="1:29" x14ac:dyDescent="0.25">
      <c r="A60" s="769" t="s">
        <v>593</v>
      </c>
      <c r="B60" s="769"/>
      <c r="C60" s="139">
        <f t="array" ref="C60">AVERAGE(IF(ISERROR(H21:H36),"",H21:H36))</f>
        <v>0.10416777378443452</v>
      </c>
      <c r="L60" s="769" t="s">
        <v>593</v>
      </c>
      <c r="M60" s="769"/>
      <c r="N60" s="139" t="e">
        <f t="array" ref="N60">AVERAGE(IF(ISERROR(S21:S36),"",S21:S36))</f>
        <v>#DIV/0!</v>
      </c>
      <c r="W60" s="769" t="s">
        <v>593</v>
      </c>
      <c r="X60" s="769"/>
      <c r="Y60" s="139" t="e">
        <f t="array" ref="Y60">AVERAGE(IF(ISERROR(AD21:AD36),"",AD21:AD36))</f>
        <v>#DIV/0!</v>
      </c>
    </row>
    <row r="61" spans="1:29" x14ac:dyDescent="0.25">
      <c r="A61" s="769" t="s">
        <v>594</v>
      </c>
      <c r="B61" s="769"/>
      <c r="C61" s="139">
        <f t="array" ref="C61">AVERAGE(IF(ISERROR(ABS((A3:J18)-1)),"",ABS((A3:J18)-1)))</f>
        <v>7.7762484490374276E-2</v>
      </c>
      <c r="L61" s="769" t="s">
        <v>594</v>
      </c>
      <c r="M61" s="769"/>
      <c r="N61" s="139" t="e">
        <f t="array" ref="N61">AVERAGE(IF(ISERROR(ABS((L3:U18)-1)),"",ABS((L3:U18)-1)))</f>
        <v>#DIV/0!</v>
      </c>
      <c r="W61" s="769" t="s">
        <v>594</v>
      </c>
      <c r="X61" s="769"/>
      <c r="Y61" s="139" t="e">
        <f t="array" ref="Y61">AVERAGE(IF(ISERROR(ABS((W3:AF18)-1)),"",ABS((W3:AF18)-1)))</f>
        <v>#DIV/0!</v>
      </c>
    </row>
    <row r="68" spans="15:15" x14ac:dyDescent="0.25">
      <c r="O68" s="138"/>
    </row>
  </sheetData>
  <mergeCells count="27">
    <mergeCell ref="AA59:AC59"/>
    <mergeCell ref="P59:R59"/>
    <mergeCell ref="W58:X58"/>
    <mergeCell ref="W59:X59"/>
    <mergeCell ref="W60:X60"/>
    <mergeCell ref="W61:X61"/>
    <mergeCell ref="E56:G56"/>
    <mergeCell ref="P56:R56"/>
    <mergeCell ref="A61:B61"/>
    <mergeCell ref="L56:N56"/>
    <mergeCell ref="L57:M57"/>
    <mergeCell ref="L58:M58"/>
    <mergeCell ref="L59:M59"/>
    <mergeCell ref="L60:M60"/>
    <mergeCell ref="L61:M61"/>
    <mergeCell ref="E59:G59"/>
    <mergeCell ref="A58:B58"/>
    <mergeCell ref="A59:B59"/>
    <mergeCell ref="A60:B60"/>
    <mergeCell ref="A1:J1"/>
    <mergeCell ref="L1:U1"/>
    <mergeCell ref="W1:AF1"/>
    <mergeCell ref="A56:C56"/>
    <mergeCell ref="A57:B57"/>
    <mergeCell ref="W56:Y56"/>
    <mergeCell ref="W57:X57"/>
    <mergeCell ref="AA56:AC56"/>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AW240"/>
  <sheetViews>
    <sheetView topLeftCell="A15" zoomScale="80" zoomScaleNormal="80" workbookViewId="0">
      <selection activeCell="AW27" sqref="AW27"/>
    </sheetView>
  </sheetViews>
  <sheetFormatPr defaultColWidth="9.140625" defaultRowHeight="15" x14ac:dyDescent="0.25"/>
  <cols>
    <col min="1" max="1" width="12.28515625" style="2" customWidth="1"/>
    <col min="2" max="26" width="9.7109375" style="2" customWidth="1"/>
    <col min="27" max="27" width="14.85546875" style="2" bestFit="1" customWidth="1"/>
    <col min="28" max="29" width="9.140625" style="2"/>
    <col min="30" max="30" width="10.7109375" style="2" customWidth="1"/>
    <col min="31" max="31" width="11.85546875" style="2" customWidth="1"/>
    <col min="32" max="43" width="10.140625" style="2" bestFit="1" customWidth="1"/>
    <col min="44" max="16384" width="9.140625" style="2"/>
  </cols>
  <sheetData>
    <row r="1" spans="1:49" s="12" customFormat="1" ht="20.100000000000001" customHeight="1" x14ac:dyDescent="0.25">
      <c r="A1" s="772" t="s">
        <v>1142</v>
      </c>
      <c r="B1" s="772"/>
      <c r="C1" s="772"/>
      <c r="D1" s="772"/>
      <c r="E1" s="772"/>
      <c r="F1" s="772"/>
      <c r="G1" s="772"/>
      <c r="H1" s="772"/>
      <c r="I1" s="772"/>
      <c r="J1" s="772"/>
      <c r="K1" s="772"/>
      <c r="L1" s="772"/>
      <c r="M1" s="772"/>
      <c r="N1" s="772"/>
      <c r="O1" s="772"/>
      <c r="P1" s="772"/>
      <c r="Q1" s="772"/>
      <c r="R1" s="772"/>
      <c r="S1" s="772"/>
      <c r="T1" s="772"/>
      <c r="U1" s="772"/>
      <c r="V1" s="772"/>
      <c r="W1" s="772"/>
      <c r="X1" s="772"/>
      <c r="Y1" s="772"/>
      <c r="Z1" s="772"/>
      <c r="AA1" s="772"/>
      <c r="AB1" s="772"/>
      <c r="AC1" s="772"/>
      <c r="AD1" s="772"/>
      <c r="AE1" s="772"/>
      <c r="AF1" s="772"/>
      <c r="AG1" s="772"/>
      <c r="AH1" s="772"/>
      <c r="AI1" s="772"/>
      <c r="AJ1" s="772"/>
      <c r="AK1" s="772"/>
    </row>
    <row r="2" spans="1:49" s="12" customFormat="1" ht="20.100000000000001" customHeight="1" x14ac:dyDescent="0.25">
      <c r="A2" s="424" t="s">
        <v>983</v>
      </c>
      <c r="B2" s="372" t="s">
        <v>0</v>
      </c>
      <c r="C2" s="420" t="s">
        <v>1</v>
      </c>
      <c r="D2" s="375" t="s">
        <v>2</v>
      </c>
      <c r="E2" s="375" t="s">
        <v>3</v>
      </c>
      <c r="F2" s="375" t="s">
        <v>4</v>
      </c>
      <c r="G2" s="375" t="s">
        <v>5</v>
      </c>
      <c r="H2" s="375" t="s">
        <v>6</v>
      </c>
      <c r="I2" s="375" t="s">
        <v>7</v>
      </c>
      <c r="J2" s="375" t="s">
        <v>8</v>
      </c>
      <c r="K2" s="375" t="s">
        <v>9</v>
      </c>
      <c r="L2" s="375" t="s">
        <v>10</v>
      </c>
      <c r="M2" s="375" t="s">
        <v>11</v>
      </c>
      <c r="N2" s="375" t="s">
        <v>45</v>
      </c>
      <c r="O2" s="375" t="s">
        <v>46</v>
      </c>
      <c r="P2" s="375" t="s">
        <v>47</v>
      </c>
      <c r="Q2" s="375" t="s">
        <v>66</v>
      </c>
      <c r="R2" s="375" t="s">
        <v>67</v>
      </c>
      <c r="S2" s="375" t="s">
        <v>68</v>
      </c>
      <c r="T2" s="375" t="s">
        <v>69</v>
      </c>
      <c r="U2" s="375" t="s">
        <v>70</v>
      </c>
      <c r="V2" s="375" t="s">
        <v>117</v>
      </c>
      <c r="W2" s="375" t="s">
        <v>118</v>
      </c>
      <c r="X2" s="375" t="s">
        <v>119</v>
      </c>
      <c r="Y2" s="375" t="s">
        <v>120</v>
      </c>
      <c r="Z2" s="375" t="s">
        <v>158</v>
      </c>
      <c r="AA2" s="375" t="s">
        <v>159</v>
      </c>
      <c r="AB2" s="375" t="s">
        <v>160</v>
      </c>
      <c r="AC2" s="375" t="s">
        <v>161</v>
      </c>
      <c r="AD2" s="375" t="s">
        <v>162</v>
      </c>
      <c r="AE2" s="375" t="s">
        <v>163</v>
      </c>
      <c r="AF2" s="375" t="s">
        <v>164</v>
      </c>
      <c r="AG2" s="375" t="s">
        <v>165</v>
      </c>
      <c r="AH2" s="375" t="s">
        <v>166</v>
      </c>
      <c r="AI2" s="375" t="s">
        <v>167</v>
      </c>
      <c r="AJ2" s="375" t="s">
        <v>168</v>
      </c>
      <c r="AK2" s="375" t="s">
        <v>169</v>
      </c>
      <c r="AL2" s="375" t="s">
        <v>997</v>
      </c>
      <c r="AM2" s="375" t="s">
        <v>998</v>
      </c>
      <c r="AN2" s="375" t="s">
        <v>999</v>
      </c>
      <c r="AO2" s="375" t="s">
        <v>1000</v>
      </c>
      <c r="AP2" s="375" t="s">
        <v>1001</v>
      </c>
      <c r="AQ2" s="375" t="s">
        <v>1002</v>
      </c>
      <c r="AR2" s="375" t="s">
        <v>1003</v>
      </c>
      <c r="AS2" s="375" t="s">
        <v>1004</v>
      </c>
      <c r="AT2" s="375" t="s">
        <v>1005</v>
      </c>
      <c r="AU2" s="375" t="s">
        <v>1006</v>
      </c>
      <c r="AV2" s="375" t="s">
        <v>1007</v>
      </c>
      <c r="AW2" s="375" t="s">
        <v>1008</v>
      </c>
    </row>
    <row r="3" spans="1:49" s="12" customFormat="1" ht="20.100000000000001" customHeight="1" x14ac:dyDescent="0.25">
      <c r="A3" s="102" t="s">
        <v>21</v>
      </c>
      <c r="B3" s="67" t="str">
        <f>IF(ISBLANK('Sample Setup'!B27),"",'Sample Setup'!B27)</f>
        <v>S1</v>
      </c>
      <c r="C3" s="67" t="str">
        <f>IF(ISBLANK('Sample Setup'!C27),"",'Sample Setup'!C27)</f>
        <v>U1</v>
      </c>
      <c r="D3" s="67" t="str">
        <f>IF(ISBLANK('Sample Setup'!D27),"",'Sample Setup'!D27)</f>
        <v>U6</v>
      </c>
      <c r="E3" s="67" t="str">
        <f>IF(ISBLANK('Sample Setup'!E27),"",'Sample Setup'!E27)</f>
        <v>U14</v>
      </c>
      <c r="F3" s="67" t="str">
        <f>IF(ISBLANK('Sample Setup'!F27),"",'Sample Setup'!F27)</f>
        <v>U22</v>
      </c>
      <c r="G3" s="67" t="str">
        <f>IF(ISBLANK('Sample Setup'!G27),"",'Sample Setup'!G27)</f>
        <v>U30</v>
      </c>
      <c r="H3" s="67" t="str">
        <f>IF(ISBLANK('Sample Setup'!H27),"",'Sample Setup'!H27)</f>
        <v>U38</v>
      </c>
      <c r="I3" s="67" t="str">
        <f>IF(ISBLANK('Sample Setup'!I27),"",'Sample Setup'!I27)</f>
        <v>U46</v>
      </c>
      <c r="J3" s="67" t="str">
        <f>IF(ISBLANK('Sample Setup'!J27),"",'Sample Setup'!J27)</f>
        <v>U54</v>
      </c>
      <c r="K3" s="67" t="str">
        <f>IF(ISBLANK('Sample Setup'!K27),"",'Sample Setup'!K27)</f>
        <v>U62</v>
      </c>
      <c r="L3" s="67" t="str">
        <f>IF(ISBLANK('Sample Setup'!L27),"",'Sample Setup'!L27)</f>
        <v>U70</v>
      </c>
      <c r="M3" s="67" t="str">
        <f>IF(ISBLANK('Sample Setup'!M27),"",'Sample Setup'!M27)</f>
        <v>U78</v>
      </c>
      <c r="N3" s="67" t="str">
        <f>IF(ISBLANK('Sample Setup'!N27),"",'Sample Setup'!N27)</f>
        <v>U85</v>
      </c>
      <c r="O3" s="67" t="str">
        <f>IF(ISBLANK('Sample Setup'!O27),"",'Sample Setup'!O27)</f>
        <v>U77</v>
      </c>
      <c r="P3" s="67" t="str">
        <f>IF(ISBLANK('Sample Setup'!P27),"",'Sample Setup'!P27)</f>
        <v>U69</v>
      </c>
      <c r="Q3" s="67" t="str">
        <f>IF(ISBLANK('Sample Setup'!Q27),"",'Sample Setup'!Q27)</f>
        <v>U61</v>
      </c>
      <c r="R3" s="67" t="str">
        <f>IF(ISBLANK('Sample Setup'!R27),"",'Sample Setup'!R27)</f>
        <v>U53</v>
      </c>
      <c r="S3" s="67" t="str">
        <f>IF(ISBLANK('Sample Setup'!S27),"",'Sample Setup'!S27)</f>
        <v>U45</v>
      </c>
      <c r="T3" s="67" t="str">
        <f>IF(ISBLANK('Sample Setup'!T27),"",'Sample Setup'!T27)</f>
        <v>U37</v>
      </c>
      <c r="U3" s="67" t="str">
        <f>IF(ISBLANK('Sample Setup'!U27),"",'Sample Setup'!U27)</f>
        <v>U29</v>
      </c>
      <c r="V3" s="67" t="str">
        <f>IF(ISBLANK('Sample Setup'!V27),"",'Sample Setup'!V27)</f>
        <v>U21</v>
      </c>
      <c r="W3" s="67" t="str">
        <f>IF(ISBLANK('Sample Setup'!W27),"",'Sample Setup'!W27)</f>
        <v>U13</v>
      </c>
      <c r="X3" s="67" t="str">
        <f>IF(ISBLANK('Sample Setup'!X27),"",'Sample Setup'!X27)</f>
        <v>U5</v>
      </c>
      <c r="Y3" s="67" t="str">
        <f>IF(ISBLANK('Sample Setup'!Y27),"",'Sample Setup'!Y27)</f>
        <v>NEG</v>
      </c>
      <c r="Z3" s="67" t="str">
        <f>IF(ISBLANK('Sample Setup'!Z27),"",'Sample Setup'!Z27)</f>
        <v>S1</v>
      </c>
      <c r="AA3" s="67" t="str">
        <f>IF(ISBLANK('Sample Setup'!AA27),"",'Sample Setup'!AA27)</f>
        <v>U1</v>
      </c>
      <c r="AB3" s="67" t="str">
        <f>IF(ISBLANK('Sample Setup'!AB27),"",'Sample Setup'!AB27)</f>
        <v>U88</v>
      </c>
      <c r="AC3" s="67" t="str">
        <f>IF(ISBLANK('Sample Setup'!AC27),"",'Sample Setup'!AC27)</f>
        <v>U96</v>
      </c>
      <c r="AD3" s="67" t="str">
        <f>IF(ISBLANK('Sample Setup'!AD27),"",'Sample Setup'!AD27)</f>
        <v>U104</v>
      </c>
      <c r="AE3" s="67" t="str">
        <f>IF(ISBLANK('Sample Setup'!AE27),"",'Sample Setup'!AE27)</f>
        <v>U112</v>
      </c>
      <c r="AF3" s="67" t="str">
        <f>IF(ISBLANK('Sample Setup'!AF27),"",'Sample Setup'!AF27)</f>
        <v>U120</v>
      </c>
      <c r="AG3" s="67" t="str">
        <f>IF(ISBLANK('Sample Setup'!AG27),"",'Sample Setup'!AG27)</f>
        <v>U128</v>
      </c>
      <c r="AH3" s="67" t="str">
        <f>IF(ISBLANK('Sample Setup'!AH27),"",'Sample Setup'!AH27)</f>
        <v>U136</v>
      </c>
      <c r="AI3" s="67" t="str">
        <f>IF(ISBLANK('Sample Setup'!AI27),"",'Sample Setup'!AI27)</f>
        <v>U144</v>
      </c>
      <c r="AJ3" s="67" t="str">
        <f>IF(ISBLANK('Sample Setup'!AJ27),"",'Sample Setup'!AJ27)</f>
        <v>U152</v>
      </c>
      <c r="AK3" s="67" t="str">
        <f>IF(ISBLANK('Sample Setup'!AK27),"",'Sample Setup'!AK27)</f>
        <v>U160</v>
      </c>
      <c r="AL3" s="67" t="str">
        <f>IF(ISBLANK('Sample Setup'!AL27),"",'Sample Setup'!AL27)</f>
        <v>U167</v>
      </c>
      <c r="AM3" s="67" t="str">
        <f>IF(ISBLANK('Sample Setup'!AM27),"",'Sample Setup'!AM27)</f>
        <v>U159</v>
      </c>
      <c r="AN3" s="67" t="str">
        <f>IF(ISBLANK('Sample Setup'!AN27),"",'Sample Setup'!AN27)</f>
        <v>U151</v>
      </c>
      <c r="AO3" s="67" t="str">
        <f>IF(ISBLANK('Sample Setup'!AO27),"",'Sample Setup'!AO27)</f>
        <v>U143</v>
      </c>
      <c r="AP3" s="67" t="str">
        <f>IF(ISBLANK('Sample Setup'!AP27),"",'Sample Setup'!AP27)</f>
        <v>U135</v>
      </c>
      <c r="AQ3" s="67" t="str">
        <f>IF(ISBLANK('Sample Setup'!AQ27),"",'Sample Setup'!AQ27)</f>
        <v>U127</v>
      </c>
      <c r="AR3" s="67" t="str">
        <f>IF(ISBLANK('Sample Setup'!AR27),"",'Sample Setup'!AR27)</f>
        <v>U119</v>
      </c>
      <c r="AS3" s="67" t="str">
        <f>IF(ISBLANK('Sample Setup'!AS27),"",'Sample Setup'!AS27)</f>
        <v>U111</v>
      </c>
      <c r="AT3" s="67" t="str">
        <f>IF(ISBLANK('Sample Setup'!AT27),"",'Sample Setup'!AT27)</f>
        <v>U103</v>
      </c>
      <c r="AU3" s="67" t="str">
        <f>IF(ISBLANK('Sample Setup'!AU27),"",'Sample Setup'!AU27)</f>
        <v>U95</v>
      </c>
      <c r="AV3" s="67" t="str">
        <f>IF(ISBLANK('Sample Setup'!AV27),"",'Sample Setup'!AV27)</f>
        <v>U87</v>
      </c>
      <c r="AW3" s="67" t="str">
        <f>IF(ISBLANK('Sample Setup'!AW27),"",'Sample Setup'!AW27)</f>
        <v>NEG</v>
      </c>
    </row>
    <row r="4" spans="1:49" s="12" customFormat="1" ht="20.100000000000001" customHeight="1" x14ac:dyDescent="0.25">
      <c r="A4" s="102" t="s">
        <v>22</v>
      </c>
      <c r="B4" s="67" t="str">
        <f>IF(ISBLANK('Sample Setup'!B28),"",'Sample Setup'!B28)</f>
        <v>S2</v>
      </c>
      <c r="C4" s="67" t="str">
        <f>IF(ISBLANK('Sample Setup'!C28),"",'Sample Setup'!C28)</f>
        <v>U1</v>
      </c>
      <c r="D4" s="67" t="str">
        <f>IF(ISBLANK('Sample Setup'!D28),"",'Sample Setup'!D28)</f>
        <v>U7</v>
      </c>
      <c r="E4" s="67" t="str">
        <f>IF(ISBLANK('Sample Setup'!E28),"",'Sample Setup'!E28)</f>
        <v>U15</v>
      </c>
      <c r="F4" s="67" t="str">
        <f>IF(ISBLANK('Sample Setup'!F28),"",'Sample Setup'!F28)</f>
        <v>U23</v>
      </c>
      <c r="G4" s="67" t="str">
        <f>IF(ISBLANK('Sample Setup'!G28),"",'Sample Setup'!G28)</f>
        <v>U31</v>
      </c>
      <c r="H4" s="67" t="str">
        <f>IF(ISBLANK('Sample Setup'!H28),"",'Sample Setup'!H28)</f>
        <v>U39</v>
      </c>
      <c r="I4" s="67" t="str">
        <f>IF(ISBLANK('Sample Setup'!I28),"",'Sample Setup'!I28)</f>
        <v>U47</v>
      </c>
      <c r="J4" s="67" t="str">
        <f>IF(ISBLANK('Sample Setup'!J28),"",'Sample Setup'!J28)</f>
        <v>U55</v>
      </c>
      <c r="K4" s="67" t="str">
        <f>IF(ISBLANK('Sample Setup'!K28),"",'Sample Setup'!K28)</f>
        <v>U63</v>
      </c>
      <c r="L4" s="67" t="str">
        <f>IF(ISBLANK('Sample Setup'!L28),"",'Sample Setup'!L28)</f>
        <v>U71</v>
      </c>
      <c r="M4" s="67" t="str">
        <f>IF(ISBLANK('Sample Setup'!M28),"",'Sample Setup'!M28)</f>
        <v>U79</v>
      </c>
      <c r="N4" s="67" t="str">
        <f>IF(ISBLANK('Sample Setup'!N28),"",'Sample Setup'!N28)</f>
        <v>U84</v>
      </c>
      <c r="O4" s="67" t="str">
        <f>IF(ISBLANK('Sample Setup'!O28),"",'Sample Setup'!O28)</f>
        <v>U76</v>
      </c>
      <c r="P4" s="67" t="str">
        <f>IF(ISBLANK('Sample Setup'!P28),"",'Sample Setup'!P28)</f>
        <v>U68</v>
      </c>
      <c r="Q4" s="67" t="str">
        <f>IF(ISBLANK('Sample Setup'!Q28),"",'Sample Setup'!Q28)</f>
        <v>U60</v>
      </c>
      <c r="R4" s="67" t="str">
        <f>IF(ISBLANK('Sample Setup'!R28),"",'Sample Setup'!R28)</f>
        <v>U52</v>
      </c>
      <c r="S4" s="67" t="str">
        <f>IF(ISBLANK('Sample Setup'!S28),"",'Sample Setup'!S28)</f>
        <v>U44</v>
      </c>
      <c r="T4" s="67" t="str">
        <f>IF(ISBLANK('Sample Setup'!T28),"",'Sample Setup'!T28)</f>
        <v>U36</v>
      </c>
      <c r="U4" s="67" t="str">
        <f>IF(ISBLANK('Sample Setup'!U28),"",'Sample Setup'!U28)</f>
        <v>U28</v>
      </c>
      <c r="V4" s="67" t="str">
        <f>IF(ISBLANK('Sample Setup'!V28),"",'Sample Setup'!V28)</f>
        <v>U20</v>
      </c>
      <c r="W4" s="67" t="str">
        <f>IF(ISBLANK('Sample Setup'!W28),"",'Sample Setup'!W28)</f>
        <v>U12</v>
      </c>
      <c r="X4" s="67" t="str">
        <f>IF(ISBLANK('Sample Setup'!X28),"",'Sample Setup'!X28)</f>
        <v>U4</v>
      </c>
      <c r="Y4" s="67" t="str">
        <f>IF(ISBLANK('Sample Setup'!Y28),"",'Sample Setup'!Y28)</f>
        <v>S7</v>
      </c>
      <c r="Z4" s="67" t="str">
        <f>IF(ISBLANK('Sample Setup'!Z28),"",'Sample Setup'!Z28)</f>
        <v>S2</v>
      </c>
      <c r="AA4" s="67" t="str">
        <f>IF(ISBLANK('Sample Setup'!AA28),"",'Sample Setup'!AA28)</f>
        <v>U1</v>
      </c>
      <c r="AB4" s="67" t="str">
        <f>IF(ISBLANK('Sample Setup'!AB28),"",'Sample Setup'!AB28)</f>
        <v>U89</v>
      </c>
      <c r="AC4" s="67" t="str">
        <f>IF(ISBLANK('Sample Setup'!AC28),"",'Sample Setup'!AC28)</f>
        <v>U97</v>
      </c>
      <c r="AD4" s="67" t="str">
        <f>IF(ISBLANK('Sample Setup'!AD28),"",'Sample Setup'!AD28)</f>
        <v>U105</v>
      </c>
      <c r="AE4" s="67" t="str">
        <f>IF(ISBLANK('Sample Setup'!AE28),"",'Sample Setup'!AE28)</f>
        <v>U113</v>
      </c>
      <c r="AF4" s="67" t="str">
        <f>IF(ISBLANK('Sample Setup'!AF28),"",'Sample Setup'!AF28)</f>
        <v>U121</v>
      </c>
      <c r="AG4" s="67" t="str">
        <f>IF(ISBLANK('Sample Setup'!AG28),"",'Sample Setup'!AG28)</f>
        <v>U129</v>
      </c>
      <c r="AH4" s="67" t="str">
        <f>IF(ISBLANK('Sample Setup'!AH28),"",'Sample Setup'!AH28)</f>
        <v>U137</v>
      </c>
      <c r="AI4" s="67" t="str">
        <f>IF(ISBLANK('Sample Setup'!AI28),"",'Sample Setup'!AI28)</f>
        <v>U145</v>
      </c>
      <c r="AJ4" s="67" t="str">
        <f>IF(ISBLANK('Sample Setup'!AJ28),"",'Sample Setup'!AJ28)</f>
        <v>U153</v>
      </c>
      <c r="AK4" s="67" t="str">
        <f>IF(ISBLANK('Sample Setup'!AK28),"",'Sample Setup'!AK28)</f>
        <v>U161</v>
      </c>
      <c r="AL4" s="67" t="str">
        <f>IF(ISBLANK('Sample Setup'!AL28),"",'Sample Setup'!AL28)</f>
        <v>U166</v>
      </c>
      <c r="AM4" s="67" t="str">
        <f>IF(ISBLANK('Sample Setup'!AM28),"",'Sample Setup'!AM28)</f>
        <v>U158</v>
      </c>
      <c r="AN4" s="67" t="str">
        <f>IF(ISBLANK('Sample Setup'!AN28),"",'Sample Setup'!AN28)</f>
        <v>U150</v>
      </c>
      <c r="AO4" s="67" t="str">
        <f>IF(ISBLANK('Sample Setup'!AO28),"",'Sample Setup'!AO28)</f>
        <v>U142</v>
      </c>
      <c r="AP4" s="67" t="str">
        <f>IF(ISBLANK('Sample Setup'!AP28),"",'Sample Setup'!AP28)</f>
        <v>U134</v>
      </c>
      <c r="AQ4" s="67" t="str">
        <f>IF(ISBLANK('Sample Setup'!AQ28),"",'Sample Setup'!AQ28)</f>
        <v>U126</v>
      </c>
      <c r="AR4" s="67" t="str">
        <f>IF(ISBLANK('Sample Setup'!AR28),"",'Sample Setup'!AR28)</f>
        <v>U118</v>
      </c>
      <c r="AS4" s="67" t="str">
        <f>IF(ISBLANK('Sample Setup'!AS28),"",'Sample Setup'!AS28)</f>
        <v>U110</v>
      </c>
      <c r="AT4" s="67" t="str">
        <f>IF(ISBLANK('Sample Setup'!AT28),"",'Sample Setup'!AT28)</f>
        <v>U102</v>
      </c>
      <c r="AU4" s="67" t="str">
        <f>IF(ISBLANK('Sample Setup'!AU28),"",'Sample Setup'!AU28)</f>
        <v>U94</v>
      </c>
      <c r="AV4" s="67" t="str">
        <f>IF(ISBLANK('Sample Setup'!AV28),"",'Sample Setup'!AV28)</f>
        <v>U86</v>
      </c>
      <c r="AW4" s="67" t="str">
        <f>IF(ISBLANK('Sample Setup'!AW28),"",'Sample Setup'!AW28)</f>
        <v>S7</v>
      </c>
    </row>
    <row r="5" spans="1:49" s="12" customFormat="1" ht="20.100000000000001" customHeight="1" x14ac:dyDescent="0.25">
      <c r="A5" s="102" t="s">
        <v>23</v>
      </c>
      <c r="B5" s="67" t="str">
        <f>IF(ISBLANK('Sample Setup'!B29),"",'Sample Setup'!B29)</f>
        <v>S3</v>
      </c>
      <c r="C5" s="67" t="str">
        <f>IF(ISBLANK('Sample Setup'!C29),"",'Sample Setup'!C29)</f>
        <v>U2</v>
      </c>
      <c r="D5" s="67" t="str">
        <f>IF(ISBLANK('Sample Setup'!D29),"",'Sample Setup'!D29)</f>
        <v>U8</v>
      </c>
      <c r="E5" s="67" t="str">
        <f>IF(ISBLANK('Sample Setup'!E29),"",'Sample Setup'!E29)</f>
        <v>U16</v>
      </c>
      <c r="F5" s="67" t="str">
        <f>IF(ISBLANK('Sample Setup'!F29),"",'Sample Setup'!F29)</f>
        <v>U24</v>
      </c>
      <c r="G5" s="67" t="str">
        <f>IF(ISBLANK('Sample Setup'!G29),"",'Sample Setup'!G29)</f>
        <v>U32</v>
      </c>
      <c r="H5" s="67" t="str">
        <f>IF(ISBLANK('Sample Setup'!H29),"",'Sample Setup'!H29)</f>
        <v>U40</v>
      </c>
      <c r="I5" s="67" t="str">
        <f>IF(ISBLANK('Sample Setup'!I29),"",'Sample Setup'!I29)</f>
        <v>U48</v>
      </c>
      <c r="J5" s="67" t="str">
        <f>IF(ISBLANK('Sample Setup'!J29),"",'Sample Setup'!J29)</f>
        <v>U56</v>
      </c>
      <c r="K5" s="67" t="str">
        <f>IF(ISBLANK('Sample Setup'!K29),"",'Sample Setup'!K29)</f>
        <v>U64</v>
      </c>
      <c r="L5" s="67" t="str">
        <f>IF(ISBLANK('Sample Setup'!L29),"",'Sample Setup'!L29)</f>
        <v>U72</v>
      </c>
      <c r="M5" s="67" t="str">
        <f>IF(ISBLANK('Sample Setup'!M29),"",'Sample Setup'!M29)</f>
        <v>U80</v>
      </c>
      <c r="N5" s="67" t="str">
        <f>IF(ISBLANK('Sample Setup'!N29),"",'Sample Setup'!N29)</f>
        <v>U83</v>
      </c>
      <c r="O5" s="67" t="str">
        <f>IF(ISBLANK('Sample Setup'!O29),"",'Sample Setup'!O29)</f>
        <v>U75</v>
      </c>
      <c r="P5" s="67" t="str">
        <f>IF(ISBLANK('Sample Setup'!P29),"",'Sample Setup'!P29)</f>
        <v>U67</v>
      </c>
      <c r="Q5" s="67" t="str">
        <f>IF(ISBLANK('Sample Setup'!Q29),"",'Sample Setup'!Q29)</f>
        <v>U59</v>
      </c>
      <c r="R5" s="67" t="str">
        <f>IF(ISBLANK('Sample Setup'!R29),"",'Sample Setup'!R29)</f>
        <v>U51</v>
      </c>
      <c r="S5" s="67" t="str">
        <f>IF(ISBLANK('Sample Setup'!S29),"",'Sample Setup'!S29)</f>
        <v>U43</v>
      </c>
      <c r="T5" s="67" t="str">
        <f>IF(ISBLANK('Sample Setup'!T29),"",'Sample Setup'!T29)</f>
        <v>U35</v>
      </c>
      <c r="U5" s="67" t="str">
        <f>IF(ISBLANK('Sample Setup'!U29),"",'Sample Setup'!U29)</f>
        <v>U27</v>
      </c>
      <c r="V5" s="67" t="str">
        <f>IF(ISBLANK('Sample Setup'!V29),"",'Sample Setup'!V29)</f>
        <v>U19</v>
      </c>
      <c r="W5" s="67" t="str">
        <f>IF(ISBLANK('Sample Setup'!W29),"",'Sample Setup'!W29)</f>
        <v>U11</v>
      </c>
      <c r="X5" s="67" t="str">
        <f>IF(ISBLANK('Sample Setup'!X29),"",'Sample Setup'!X29)</f>
        <v>U3</v>
      </c>
      <c r="Y5" s="67" t="str">
        <f>IF(ISBLANK('Sample Setup'!Y29),"",'Sample Setup'!Y29)</f>
        <v>S6</v>
      </c>
      <c r="Z5" s="67" t="str">
        <f>IF(ISBLANK('Sample Setup'!Z29),"",'Sample Setup'!Z29)</f>
        <v>S3</v>
      </c>
      <c r="AA5" s="67" t="str">
        <f>IF(ISBLANK('Sample Setup'!AA29),"",'Sample Setup'!AA29)</f>
        <v>U2</v>
      </c>
      <c r="AB5" s="67" t="str">
        <f>IF(ISBLANK('Sample Setup'!AB29),"",'Sample Setup'!AB29)</f>
        <v>U90</v>
      </c>
      <c r="AC5" s="67" t="str">
        <f>IF(ISBLANK('Sample Setup'!AC29),"",'Sample Setup'!AC29)</f>
        <v>U98</v>
      </c>
      <c r="AD5" s="67" t="str">
        <f>IF(ISBLANK('Sample Setup'!AD29),"",'Sample Setup'!AD29)</f>
        <v>U106</v>
      </c>
      <c r="AE5" s="67" t="str">
        <f>IF(ISBLANK('Sample Setup'!AE29),"",'Sample Setup'!AE29)</f>
        <v>U114</v>
      </c>
      <c r="AF5" s="67" t="str">
        <f>IF(ISBLANK('Sample Setup'!AF29),"",'Sample Setup'!AF29)</f>
        <v>U122</v>
      </c>
      <c r="AG5" s="67" t="str">
        <f>IF(ISBLANK('Sample Setup'!AG29),"",'Sample Setup'!AG29)</f>
        <v>U130</v>
      </c>
      <c r="AH5" s="67" t="str">
        <f>IF(ISBLANK('Sample Setup'!AH29),"",'Sample Setup'!AH29)</f>
        <v>U138</v>
      </c>
      <c r="AI5" s="67" t="str">
        <f>IF(ISBLANK('Sample Setup'!AI29),"",'Sample Setup'!AI29)</f>
        <v>U146</v>
      </c>
      <c r="AJ5" s="67" t="str">
        <f>IF(ISBLANK('Sample Setup'!AJ29),"",'Sample Setup'!AJ29)</f>
        <v>U154</v>
      </c>
      <c r="AK5" s="67" t="str">
        <f>IF(ISBLANK('Sample Setup'!AK29),"",'Sample Setup'!AK29)</f>
        <v>U162</v>
      </c>
      <c r="AL5" s="67" t="str">
        <f>IF(ISBLANK('Sample Setup'!AL29),"",'Sample Setup'!AL29)</f>
        <v>U165</v>
      </c>
      <c r="AM5" s="67" t="str">
        <f>IF(ISBLANK('Sample Setup'!AM29),"",'Sample Setup'!AM29)</f>
        <v>U157</v>
      </c>
      <c r="AN5" s="67" t="str">
        <f>IF(ISBLANK('Sample Setup'!AN29),"",'Sample Setup'!AN29)</f>
        <v>U149</v>
      </c>
      <c r="AO5" s="67" t="str">
        <f>IF(ISBLANK('Sample Setup'!AO29),"",'Sample Setup'!AO29)</f>
        <v>U141</v>
      </c>
      <c r="AP5" s="67" t="str">
        <f>IF(ISBLANK('Sample Setup'!AP29),"",'Sample Setup'!AP29)</f>
        <v>U133</v>
      </c>
      <c r="AQ5" s="67" t="str">
        <f>IF(ISBLANK('Sample Setup'!AQ29),"",'Sample Setup'!AQ29)</f>
        <v>U125</v>
      </c>
      <c r="AR5" s="67" t="str">
        <f>IF(ISBLANK('Sample Setup'!AR29),"",'Sample Setup'!AR29)</f>
        <v>U117</v>
      </c>
      <c r="AS5" s="67" t="str">
        <f>IF(ISBLANK('Sample Setup'!AS29),"",'Sample Setup'!AS29)</f>
        <v>U109</v>
      </c>
      <c r="AT5" s="67" t="str">
        <f>IF(ISBLANK('Sample Setup'!AT29),"",'Sample Setup'!AT29)</f>
        <v>U101</v>
      </c>
      <c r="AU5" s="67" t="str">
        <f>IF(ISBLANK('Sample Setup'!AU29),"",'Sample Setup'!AU29)</f>
        <v>U93</v>
      </c>
      <c r="AV5" s="67" t="str">
        <f>IF(ISBLANK('Sample Setup'!AV29),"",'Sample Setup'!AV29)</f>
        <v>U3</v>
      </c>
      <c r="AW5" s="67" t="str">
        <f>IF(ISBLANK('Sample Setup'!AW29),"",'Sample Setup'!AW29)</f>
        <v>S6</v>
      </c>
    </row>
    <row r="6" spans="1:49" s="12" customFormat="1" ht="20.100000000000001" customHeight="1" x14ac:dyDescent="0.25">
      <c r="A6" s="102" t="s">
        <v>24</v>
      </c>
      <c r="B6" s="67" t="str">
        <f>IF(ISBLANK('Sample Setup'!B30),"",'Sample Setup'!B30)</f>
        <v>S4</v>
      </c>
      <c r="C6" s="67" t="str">
        <f>IF(ISBLANK('Sample Setup'!C30),"",'Sample Setup'!C30)</f>
        <v>U2</v>
      </c>
      <c r="D6" s="67" t="str">
        <f>IF(ISBLANK('Sample Setup'!D30),"",'Sample Setup'!D30)</f>
        <v>U9</v>
      </c>
      <c r="E6" s="67" t="str">
        <f>IF(ISBLANK('Sample Setup'!E30),"",'Sample Setup'!E30)</f>
        <v>U17</v>
      </c>
      <c r="F6" s="67" t="str">
        <f>IF(ISBLANK('Sample Setup'!F30),"",'Sample Setup'!F30)</f>
        <v>U25</v>
      </c>
      <c r="G6" s="67" t="str">
        <f>IF(ISBLANK('Sample Setup'!G30),"",'Sample Setup'!G30)</f>
        <v>U33</v>
      </c>
      <c r="H6" s="67" t="str">
        <f>IF(ISBLANK('Sample Setup'!H30),"",'Sample Setup'!H30)</f>
        <v>U41</v>
      </c>
      <c r="I6" s="67" t="str">
        <f>IF(ISBLANK('Sample Setup'!I30),"",'Sample Setup'!I30)</f>
        <v>U49</v>
      </c>
      <c r="J6" s="67" t="str">
        <f>IF(ISBLANK('Sample Setup'!J30),"",'Sample Setup'!J30)</f>
        <v>U57</v>
      </c>
      <c r="K6" s="67" t="str">
        <f>IF(ISBLANK('Sample Setup'!K30),"",'Sample Setup'!K30)</f>
        <v>U65</v>
      </c>
      <c r="L6" s="67" t="str">
        <f>IF(ISBLANK('Sample Setup'!L30),"",'Sample Setup'!L30)</f>
        <v>U73</v>
      </c>
      <c r="M6" s="67" t="str">
        <f>IF(ISBLANK('Sample Setup'!M30),"",'Sample Setup'!M30)</f>
        <v>U81</v>
      </c>
      <c r="N6" s="67" t="str">
        <f>IF(ISBLANK('Sample Setup'!N30),"",'Sample Setup'!N30)</f>
        <v>U82</v>
      </c>
      <c r="O6" s="67" t="str">
        <f>IF(ISBLANK('Sample Setup'!O30),"",'Sample Setup'!O30)</f>
        <v>U74</v>
      </c>
      <c r="P6" s="67" t="str">
        <f>IF(ISBLANK('Sample Setup'!P30),"",'Sample Setup'!P30)</f>
        <v>U66</v>
      </c>
      <c r="Q6" s="67" t="str">
        <f>IF(ISBLANK('Sample Setup'!Q30),"",'Sample Setup'!Q30)</f>
        <v>U58</v>
      </c>
      <c r="R6" s="67" t="str">
        <f>IF(ISBLANK('Sample Setup'!R30),"",'Sample Setup'!R30)</f>
        <v>U50</v>
      </c>
      <c r="S6" s="67" t="str">
        <f>IF(ISBLANK('Sample Setup'!S30),"",'Sample Setup'!S30)</f>
        <v>U42</v>
      </c>
      <c r="T6" s="67" t="str">
        <f>IF(ISBLANK('Sample Setup'!T30),"",'Sample Setup'!T30)</f>
        <v>U34</v>
      </c>
      <c r="U6" s="67" t="str">
        <f>IF(ISBLANK('Sample Setup'!U30),"",'Sample Setup'!U30)</f>
        <v>U26</v>
      </c>
      <c r="V6" s="67" t="str">
        <f>IF(ISBLANK('Sample Setup'!V30),"",'Sample Setup'!V30)</f>
        <v>U18</v>
      </c>
      <c r="W6" s="67" t="str">
        <f>IF(ISBLANK('Sample Setup'!W30),"",'Sample Setup'!W30)</f>
        <v>U10</v>
      </c>
      <c r="X6" s="67" t="str">
        <f>IF(ISBLANK('Sample Setup'!X30),"",'Sample Setup'!X30)</f>
        <v>U3</v>
      </c>
      <c r="Y6" s="67" t="str">
        <f>IF(ISBLANK('Sample Setup'!Y30),"",'Sample Setup'!Y30)</f>
        <v>S5</v>
      </c>
      <c r="Z6" s="67" t="str">
        <f>IF(ISBLANK('Sample Setup'!Z30),"",'Sample Setup'!Z30)</f>
        <v>S4</v>
      </c>
      <c r="AA6" s="67" t="str">
        <f>IF(ISBLANK('Sample Setup'!AA30),"",'Sample Setup'!AA30)</f>
        <v>U2</v>
      </c>
      <c r="AB6" s="67" t="str">
        <f>IF(ISBLANK('Sample Setup'!AB30),"",'Sample Setup'!AB30)</f>
        <v>U91</v>
      </c>
      <c r="AC6" s="67" t="str">
        <f>IF(ISBLANK('Sample Setup'!AC30),"",'Sample Setup'!AC30)</f>
        <v>U99</v>
      </c>
      <c r="AD6" s="67" t="str">
        <f>IF(ISBLANK('Sample Setup'!AD30),"",'Sample Setup'!AD30)</f>
        <v>U107</v>
      </c>
      <c r="AE6" s="67" t="str">
        <f>IF(ISBLANK('Sample Setup'!AE30),"",'Sample Setup'!AE30)</f>
        <v>U115</v>
      </c>
      <c r="AF6" s="67" t="str">
        <f>IF(ISBLANK('Sample Setup'!AF30),"",'Sample Setup'!AF30)</f>
        <v>U123</v>
      </c>
      <c r="AG6" s="67" t="str">
        <f>IF(ISBLANK('Sample Setup'!AG30),"",'Sample Setup'!AG30)</f>
        <v>U131</v>
      </c>
      <c r="AH6" s="67" t="str">
        <f>IF(ISBLANK('Sample Setup'!AH30),"",'Sample Setup'!AH30)</f>
        <v>U139</v>
      </c>
      <c r="AI6" s="67" t="str">
        <f>IF(ISBLANK('Sample Setup'!AI30),"",'Sample Setup'!AI30)</f>
        <v>U147</v>
      </c>
      <c r="AJ6" s="67" t="str">
        <f>IF(ISBLANK('Sample Setup'!AJ30),"",'Sample Setup'!AJ30)</f>
        <v>U155</v>
      </c>
      <c r="AK6" s="67" t="str">
        <f>IF(ISBLANK('Sample Setup'!AK30),"",'Sample Setup'!AK30)</f>
        <v>U163</v>
      </c>
      <c r="AL6" s="67" t="str">
        <f>IF(ISBLANK('Sample Setup'!AL30),"",'Sample Setup'!AL30)</f>
        <v>U164</v>
      </c>
      <c r="AM6" s="67" t="str">
        <f>IF(ISBLANK('Sample Setup'!AM30),"",'Sample Setup'!AM30)</f>
        <v>U156</v>
      </c>
      <c r="AN6" s="67" t="str">
        <f>IF(ISBLANK('Sample Setup'!AN30),"",'Sample Setup'!AN30)</f>
        <v>U148</v>
      </c>
      <c r="AO6" s="67" t="str">
        <f>IF(ISBLANK('Sample Setup'!AO30),"",'Sample Setup'!AO30)</f>
        <v>U140</v>
      </c>
      <c r="AP6" s="67" t="str">
        <f>IF(ISBLANK('Sample Setup'!AP30),"",'Sample Setup'!AP30)</f>
        <v>U132</v>
      </c>
      <c r="AQ6" s="67" t="str">
        <f>IF(ISBLANK('Sample Setup'!AQ30),"",'Sample Setup'!AQ30)</f>
        <v>U124</v>
      </c>
      <c r="AR6" s="67" t="str">
        <f>IF(ISBLANK('Sample Setup'!AR30),"",'Sample Setup'!AR30)</f>
        <v>U116</v>
      </c>
      <c r="AS6" s="67" t="str">
        <f>IF(ISBLANK('Sample Setup'!AS30),"",'Sample Setup'!AS30)</f>
        <v>U108</v>
      </c>
      <c r="AT6" s="67" t="str">
        <f>IF(ISBLANK('Sample Setup'!AT30),"",'Sample Setup'!AT30)</f>
        <v>U100</v>
      </c>
      <c r="AU6" s="67" t="str">
        <f>IF(ISBLANK('Sample Setup'!AU30),"",'Sample Setup'!AU30)</f>
        <v>U92</v>
      </c>
      <c r="AV6" s="67" t="str">
        <f>IF(ISBLANK('Sample Setup'!AV30),"",'Sample Setup'!AV30)</f>
        <v>U3</v>
      </c>
      <c r="AW6" s="67" t="str">
        <f>IF(ISBLANK('Sample Setup'!AW30),"",'Sample Setup'!AW30)</f>
        <v>S5</v>
      </c>
    </row>
    <row r="7" spans="1:49" s="12" customFormat="1" ht="20.100000000000001" customHeight="1" x14ac:dyDescent="0.25">
      <c r="A7" s="102" t="s">
        <v>25</v>
      </c>
      <c r="B7" s="67" t="str">
        <f>IF(ISBLANK('Sample Setup'!B31),"",'Sample Setup'!B31)</f>
        <v>S5</v>
      </c>
      <c r="C7" s="67" t="str">
        <f>IF(ISBLANK('Sample Setup'!C31),"",'Sample Setup'!C31)</f>
        <v>U3</v>
      </c>
      <c r="D7" s="67" t="str">
        <f>IF(ISBLANK('Sample Setup'!D31),"",'Sample Setup'!D31)</f>
        <v>U10</v>
      </c>
      <c r="E7" s="67" t="str">
        <f>IF(ISBLANK('Sample Setup'!E31),"",'Sample Setup'!E31)</f>
        <v>U18</v>
      </c>
      <c r="F7" s="67" t="str">
        <f>IF(ISBLANK('Sample Setup'!F31),"",'Sample Setup'!F31)</f>
        <v>U26</v>
      </c>
      <c r="G7" s="67" t="str">
        <f>IF(ISBLANK('Sample Setup'!G31),"",'Sample Setup'!G31)</f>
        <v>U34</v>
      </c>
      <c r="H7" s="67" t="str">
        <f>IF(ISBLANK('Sample Setup'!H31),"",'Sample Setup'!H31)</f>
        <v>U42</v>
      </c>
      <c r="I7" s="67" t="str">
        <f>IF(ISBLANK('Sample Setup'!I31),"",'Sample Setup'!I31)</f>
        <v>U50</v>
      </c>
      <c r="J7" s="67" t="str">
        <f>IF(ISBLANK('Sample Setup'!J31),"",'Sample Setup'!J31)</f>
        <v>U58</v>
      </c>
      <c r="K7" s="67" t="str">
        <f>IF(ISBLANK('Sample Setup'!K31),"",'Sample Setup'!K31)</f>
        <v>U66</v>
      </c>
      <c r="L7" s="67" t="str">
        <f>IF(ISBLANK('Sample Setup'!L31),"",'Sample Setup'!L31)</f>
        <v>U74</v>
      </c>
      <c r="M7" s="67" t="str">
        <f>IF(ISBLANK('Sample Setup'!M31),"",'Sample Setup'!M31)</f>
        <v>U82</v>
      </c>
      <c r="N7" s="67" t="str">
        <f>IF(ISBLANK('Sample Setup'!N31),"",'Sample Setup'!N31)</f>
        <v>U81</v>
      </c>
      <c r="O7" s="67" t="str">
        <f>IF(ISBLANK('Sample Setup'!O31),"",'Sample Setup'!O31)</f>
        <v>U73</v>
      </c>
      <c r="P7" s="67" t="str">
        <f>IF(ISBLANK('Sample Setup'!P31),"",'Sample Setup'!P31)</f>
        <v>U65</v>
      </c>
      <c r="Q7" s="67" t="str">
        <f>IF(ISBLANK('Sample Setup'!Q31),"",'Sample Setup'!Q31)</f>
        <v>U57</v>
      </c>
      <c r="R7" s="67" t="str">
        <f>IF(ISBLANK('Sample Setup'!R31),"",'Sample Setup'!R31)</f>
        <v>U49</v>
      </c>
      <c r="S7" s="67" t="str">
        <f>IF(ISBLANK('Sample Setup'!S31),"",'Sample Setup'!S31)</f>
        <v>U41</v>
      </c>
      <c r="T7" s="67" t="str">
        <f>IF(ISBLANK('Sample Setup'!T31),"",'Sample Setup'!T31)</f>
        <v>U33</v>
      </c>
      <c r="U7" s="67" t="str">
        <f>IF(ISBLANK('Sample Setup'!U31),"",'Sample Setup'!U31)</f>
        <v>U25</v>
      </c>
      <c r="V7" s="67" t="str">
        <f>IF(ISBLANK('Sample Setup'!V31),"",'Sample Setup'!V31)</f>
        <v>U17</v>
      </c>
      <c r="W7" s="67" t="str">
        <f>IF(ISBLANK('Sample Setup'!W31),"",'Sample Setup'!W31)</f>
        <v>U9</v>
      </c>
      <c r="X7" s="67" t="str">
        <f>IF(ISBLANK('Sample Setup'!X31),"",'Sample Setup'!X31)</f>
        <v>U2</v>
      </c>
      <c r="Y7" s="67" t="str">
        <f>IF(ISBLANK('Sample Setup'!Y31),"",'Sample Setup'!Y31)</f>
        <v>S4</v>
      </c>
      <c r="Z7" s="67" t="str">
        <f>IF(ISBLANK('Sample Setup'!Z31),"",'Sample Setup'!Z31)</f>
        <v>S5</v>
      </c>
      <c r="AA7" s="67" t="str">
        <f>IF(ISBLANK('Sample Setup'!AA31),"",'Sample Setup'!AA31)</f>
        <v>U3</v>
      </c>
      <c r="AB7" s="67" t="str">
        <f>IF(ISBLANK('Sample Setup'!AB31),"",'Sample Setup'!AB31)</f>
        <v>U92</v>
      </c>
      <c r="AC7" s="67" t="str">
        <f>IF(ISBLANK('Sample Setup'!AC31),"",'Sample Setup'!AC31)</f>
        <v>U100</v>
      </c>
      <c r="AD7" s="67" t="str">
        <f>IF(ISBLANK('Sample Setup'!AD31),"",'Sample Setup'!AD31)</f>
        <v>U108</v>
      </c>
      <c r="AE7" s="67" t="str">
        <f>IF(ISBLANK('Sample Setup'!AE31),"",'Sample Setup'!AE31)</f>
        <v>U116</v>
      </c>
      <c r="AF7" s="67" t="str">
        <f>IF(ISBLANK('Sample Setup'!AF31),"",'Sample Setup'!AF31)</f>
        <v>U124</v>
      </c>
      <c r="AG7" s="67" t="str">
        <f>IF(ISBLANK('Sample Setup'!AG31),"",'Sample Setup'!AG31)</f>
        <v>U132</v>
      </c>
      <c r="AH7" s="67" t="str">
        <f>IF(ISBLANK('Sample Setup'!AH31),"",'Sample Setup'!AH31)</f>
        <v>U140</v>
      </c>
      <c r="AI7" s="67" t="str">
        <f>IF(ISBLANK('Sample Setup'!AI31),"",'Sample Setup'!AI31)</f>
        <v>U148</v>
      </c>
      <c r="AJ7" s="67" t="str">
        <f>IF(ISBLANK('Sample Setup'!AJ31),"",'Sample Setup'!AJ31)</f>
        <v>U156</v>
      </c>
      <c r="AK7" s="67" t="str">
        <f>IF(ISBLANK('Sample Setup'!AK31),"",'Sample Setup'!AK31)</f>
        <v>U164</v>
      </c>
      <c r="AL7" s="67" t="str">
        <f>IF(ISBLANK('Sample Setup'!AL31),"",'Sample Setup'!AL31)</f>
        <v>U163</v>
      </c>
      <c r="AM7" s="67" t="str">
        <f>IF(ISBLANK('Sample Setup'!AM31),"",'Sample Setup'!AM31)</f>
        <v>U155</v>
      </c>
      <c r="AN7" s="67" t="str">
        <f>IF(ISBLANK('Sample Setup'!AN31),"",'Sample Setup'!AN31)</f>
        <v>U147</v>
      </c>
      <c r="AO7" s="67" t="str">
        <f>IF(ISBLANK('Sample Setup'!AO31),"",'Sample Setup'!AO31)</f>
        <v>U139</v>
      </c>
      <c r="AP7" s="67" t="str">
        <f>IF(ISBLANK('Sample Setup'!AP31),"",'Sample Setup'!AP31)</f>
        <v>U131</v>
      </c>
      <c r="AQ7" s="67" t="str">
        <f>IF(ISBLANK('Sample Setup'!AQ31),"",'Sample Setup'!AQ31)</f>
        <v>U123</v>
      </c>
      <c r="AR7" s="67" t="str">
        <f>IF(ISBLANK('Sample Setup'!AR31),"",'Sample Setup'!AR31)</f>
        <v>U115</v>
      </c>
      <c r="AS7" s="67" t="str">
        <f>IF(ISBLANK('Sample Setup'!AS31),"",'Sample Setup'!AS31)</f>
        <v>U107</v>
      </c>
      <c r="AT7" s="67" t="str">
        <f>IF(ISBLANK('Sample Setup'!AT31),"",'Sample Setup'!AT31)</f>
        <v>U99</v>
      </c>
      <c r="AU7" s="67" t="str">
        <f>IF(ISBLANK('Sample Setup'!AU31),"",'Sample Setup'!AU31)</f>
        <v>U91</v>
      </c>
      <c r="AV7" s="67" t="str">
        <f>IF(ISBLANK('Sample Setup'!AV31),"",'Sample Setup'!AV31)</f>
        <v>U2</v>
      </c>
      <c r="AW7" s="67" t="str">
        <f>IF(ISBLANK('Sample Setup'!AW31),"",'Sample Setup'!AW31)</f>
        <v>S4</v>
      </c>
    </row>
    <row r="8" spans="1:49" s="12" customFormat="1" ht="20.100000000000001" customHeight="1" x14ac:dyDescent="0.25">
      <c r="A8" s="102" t="s">
        <v>26</v>
      </c>
      <c r="B8" s="67" t="str">
        <f>IF(ISBLANK('Sample Setup'!B32),"",'Sample Setup'!B32)</f>
        <v>S6</v>
      </c>
      <c r="C8" s="67" t="str">
        <f>IF(ISBLANK('Sample Setup'!C32),"",'Sample Setup'!C32)</f>
        <v>U3</v>
      </c>
      <c r="D8" s="67" t="str">
        <f>IF(ISBLANK('Sample Setup'!D32),"",'Sample Setup'!D32)</f>
        <v>U11</v>
      </c>
      <c r="E8" s="67" t="str">
        <f>IF(ISBLANK('Sample Setup'!E32),"",'Sample Setup'!E32)</f>
        <v>U19</v>
      </c>
      <c r="F8" s="67" t="str">
        <f>IF(ISBLANK('Sample Setup'!F32),"",'Sample Setup'!F32)</f>
        <v>U27</v>
      </c>
      <c r="G8" s="67" t="str">
        <f>IF(ISBLANK('Sample Setup'!G32),"",'Sample Setup'!G32)</f>
        <v>U35</v>
      </c>
      <c r="H8" s="67" t="str">
        <f>IF(ISBLANK('Sample Setup'!H32),"",'Sample Setup'!H32)</f>
        <v>U43</v>
      </c>
      <c r="I8" s="67" t="str">
        <f>IF(ISBLANK('Sample Setup'!I32),"",'Sample Setup'!I32)</f>
        <v>U51</v>
      </c>
      <c r="J8" s="67" t="str">
        <f>IF(ISBLANK('Sample Setup'!J32),"",'Sample Setup'!J32)</f>
        <v>U59</v>
      </c>
      <c r="K8" s="67" t="str">
        <f>IF(ISBLANK('Sample Setup'!K32),"",'Sample Setup'!K32)</f>
        <v>U67</v>
      </c>
      <c r="L8" s="67" t="str">
        <f>IF(ISBLANK('Sample Setup'!L32),"",'Sample Setup'!L32)</f>
        <v>U75</v>
      </c>
      <c r="M8" s="67" t="str">
        <f>IF(ISBLANK('Sample Setup'!M32),"",'Sample Setup'!M32)</f>
        <v>U83</v>
      </c>
      <c r="N8" s="67" t="str">
        <f>IF(ISBLANK('Sample Setup'!N32),"",'Sample Setup'!N32)</f>
        <v>U80</v>
      </c>
      <c r="O8" s="67" t="str">
        <f>IF(ISBLANK('Sample Setup'!O32),"",'Sample Setup'!O32)</f>
        <v>U72</v>
      </c>
      <c r="P8" s="67" t="str">
        <f>IF(ISBLANK('Sample Setup'!P32),"",'Sample Setup'!P32)</f>
        <v>U64</v>
      </c>
      <c r="Q8" s="67" t="str">
        <f>IF(ISBLANK('Sample Setup'!Q32),"",'Sample Setup'!Q32)</f>
        <v>U56</v>
      </c>
      <c r="R8" s="67" t="str">
        <f>IF(ISBLANK('Sample Setup'!R32),"",'Sample Setup'!R32)</f>
        <v>U48</v>
      </c>
      <c r="S8" s="67" t="str">
        <f>IF(ISBLANK('Sample Setup'!S32),"",'Sample Setup'!S32)</f>
        <v>U40</v>
      </c>
      <c r="T8" s="67" t="str">
        <f>IF(ISBLANK('Sample Setup'!T32),"",'Sample Setup'!T32)</f>
        <v>U32</v>
      </c>
      <c r="U8" s="67" t="str">
        <f>IF(ISBLANK('Sample Setup'!U32),"",'Sample Setup'!U32)</f>
        <v>U24</v>
      </c>
      <c r="V8" s="67" t="str">
        <f>IF(ISBLANK('Sample Setup'!V32),"",'Sample Setup'!V32)</f>
        <v>U16</v>
      </c>
      <c r="W8" s="67" t="str">
        <f>IF(ISBLANK('Sample Setup'!W32),"",'Sample Setup'!W32)</f>
        <v>U8</v>
      </c>
      <c r="X8" s="67" t="str">
        <f>IF(ISBLANK('Sample Setup'!X32),"",'Sample Setup'!X32)</f>
        <v>U2</v>
      </c>
      <c r="Y8" s="67" t="str">
        <f>IF(ISBLANK('Sample Setup'!Y32),"",'Sample Setup'!Y32)</f>
        <v>S3</v>
      </c>
      <c r="Z8" s="67" t="str">
        <f>IF(ISBLANK('Sample Setup'!Z32),"",'Sample Setup'!Z32)</f>
        <v>S6</v>
      </c>
      <c r="AA8" s="67" t="str">
        <f>IF(ISBLANK('Sample Setup'!AA32),"",'Sample Setup'!AA32)</f>
        <v>U3</v>
      </c>
      <c r="AB8" s="67" t="str">
        <f>IF(ISBLANK('Sample Setup'!AB32),"",'Sample Setup'!AB32)</f>
        <v>U93</v>
      </c>
      <c r="AC8" s="67" t="str">
        <f>IF(ISBLANK('Sample Setup'!AC32),"",'Sample Setup'!AC32)</f>
        <v>U101</v>
      </c>
      <c r="AD8" s="67" t="str">
        <f>IF(ISBLANK('Sample Setup'!AD32),"",'Sample Setup'!AD32)</f>
        <v>U109</v>
      </c>
      <c r="AE8" s="67" t="str">
        <f>IF(ISBLANK('Sample Setup'!AE32),"",'Sample Setup'!AE32)</f>
        <v>U117</v>
      </c>
      <c r="AF8" s="67" t="str">
        <f>IF(ISBLANK('Sample Setup'!AF32),"",'Sample Setup'!AF32)</f>
        <v>U125</v>
      </c>
      <c r="AG8" s="67" t="str">
        <f>IF(ISBLANK('Sample Setup'!AG32),"",'Sample Setup'!AG32)</f>
        <v>U133</v>
      </c>
      <c r="AH8" s="67" t="str">
        <f>IF(ISBLANK('Sample Setup'!AH32),"",'Sample Setup'!AH32)</f>
        <v>U141</v>
      </c>
      <c r="AI8" s="67" t="str">
        <f>IF(ISBLANK('Sample Setup'!AI32),"",'Sample Setup'!AI32)</f>
        <v>U149</v>
      </c>
      <c r="AJ8" s="67" t="str">
        <f>IF(ISBLANK('Sample Setup'!AJ32),"",'Sample Setup'!AJ32)</f>
        <v>U157</v>
      </c>
      <c r="AK8" s="67" t="str">
        <f>IF(ISBLANK('Sample Setup'!AK32),"",'Sample Setup'!AK32)</f>
        <v>U165</v>
      </c>
      <c r="AL8" s="67" t="str">
        <f>IF(ISBLANK('Sample Setup'!AL32),"",'Sample Setup'!AL32)</f>
        <v>U162</v>
      </c>
      <c r="AM8" s="67" t="str">
        <f>IF(ISBLANK('Sample Setup'!AM32),"",'Sample Setup'!AM32)</f>
        <v>U154</v>
      </c>
      <c r="AN8" s="67" t="str">
        <f>IF(ISBLANK('Sample Setup'!AN32),"",'Sample Setup'!AN32)</f>
        <v>U146</v>
      </c>
      <c r="AO8" s="67" t="str">
        <f>IF(ISBLANK('Sample Setup'!AO32),"",'Sample Setup'!AO32)</f>
        <v>U138</v>
      </c>
      <c r="AP8" s="67" t="str">
        <f>IF(ISBLANK('Sample Setup'!AP32),"",'Sample Setup'!AP32)</f>
        <v>U130</v>
      </c>
      <c r="AQ8" s="67" t="str">
        <f>IF(ISBLANK('Sample Setup'!AQ32),"",'Sample Setup'!AQ32)</f>
        <v>U122</v>
      </c>
      <c r="AR8" s="67" t="str">
        <f>IF(ISBLANK('Sample Setup'!AR32),"",'Sample Setup'!AR32)</f>
        <v>U114</v>
      </c>
      <c r="AS8" s="67" t="str">
        <f>IF(ISBLANK('Sample Setup'!AS32),"",'Sample Setup'!AS32)</f>
        <v>U106</v>
      </c>
      <c r="AT8" s="67" t="str">
        <f>IF(ISBLANK('Sample Setup'!AT32),"",'Sample Setup'!AT32)</f>
        <v>U98</v>
      </c>
      <c r="AU8" s="67" t="str">
        <f>IF(ISBLANK('Sample Setup'!AU32),"",'Sample Setup'!AU32)</f>
        <v>U90</v>
      </c>
      <c r="AV8" s="67" t="str">
        <f>IF(ISBLANK('Sample Setup'!AV32),"",'Sample Setup'!AV32)</f>
        <v>U2</v>
      </c>
      <c r="AW8" s="67" t="str">
        <f>IF(ISBLANK('Sample Setup'!AW32),"",'Sample Setup'!AW32)</f>
        <v>S3</v>
      </c>
    </row>
    <row r="9" spans="1:49" s="12" customFormat="1" ht="20.100000000000001" customHeight="1" x14ac:dyDescent="0.25">
      <c r="A9" s="102" t="s">
        <v>27</v>
      </c>
      <c r="B9" s="67" t="str">
        <f>IF(ISBLANK('Sample Setup'!B33),"",'Sample Setup'!B33)</f>
        <v>S7</v>
      </c>
      <c r="C9" s="421" t="s">
        <v>89</v>
      </c>
      <c r="D9" s="67" t="str">
        <f>IF(ISBLANK('Sample Setup'!D33),"",'Sample Setup'!D33)</f>
        <v>U12</v>
      </c>
      <c r="E9" s="67" t="str">
        <f>IF(ISBLANK('Sample Setup'!E33),"",'Sample Setup'!E33)</f>
        <v>U20</v>
      </c>
      <c r="F9" s="67" t="str">
        <f>IF(ISBLANK('Sample Setup'!F33),"",'Sample Setup'!F33)</f>
        <v>U28</v>
      </c>
      <c r="G9" s="67" t="str">
        <f>IF(ISBLANK('Sample Setup'!G33),"",'Sample Setup'!G33)</f>
        <v>U36</v>
      </c>
      <c r="H9" s="67" t="str">
        <f>IF(ISBLANK('Sample Setup'!H33),"",'Sample Setup'!H33)</f>
        <v>U44</v>
      </c>
      <c r="I9" s="67" t="str">
        <f>IF(ISBLANK('Sample Setup'!I33),"",'Sample Setup'!I33)</f>
        <v>U52</v>
      </c>
      <c r="J9" s="67" t="str">
        <f>IF(ISBLANK('Sample Setup'!J33),"",'Sample Setup'!J33)</f>
        <v>U60</v>
      </c>
      <c r="K9" s="67" t="str">
        <f>IF(ISBLANK('Sample Setup'!K33),"",'Sample Setup'!K33)</f>
        <v>U68</v>
      </c>
      <c r="L9" s="67" t="str">
        <f>IF(ISBLANK('Sample Setup'!L33),"",'Sample Setup'!L33)</f>
        <v>U76</v>
      </c>
      <c r="M9" s="67" t="str">
        <f>IF(ISBLANK('Sample Setup'!M33),"",'Sample Setup'!M33)</f>
        <v>U84</v>
      </c>
      <c r="N9" s="67" t="str">
        <f>IF(ISBLANK('Sample Setup'!N33),"",'Sample Setup'!N33)</f>
        <v>U79</v>
      </c>
      <c r="O9" s="67" t="str">
        <f>IF(ISBLANK('Sample Setup'!O33),"",'Sample Setup'!O33)</f>
        <v>U71</v>
      </c>
      <c r="P9" s="67" t="str">
        <f>IF(ISBLANK('Sample Setup'!P33),"",'Sample Setup'!P33)</f>
        <v>U63</v>
      </c>
      <c r="Q9" s="67" t="str">
        <f>IF(ISBLANK('Sample Setup'!Q33),"",'Sample Setup'!Q33)</f>
        <v>U55</v>
      </c>
      <c r="R9" s="67" t="str">
        <f>IF(ISBLANK('Sample Setup'!R33),"",'Sample Setup'!R33)</f>
        <v>U47</v>
      </c>
      <c r="S9" s="67" t="str">
        <f>IF(ISBLANK('Sample Setup'!S33),"",'Sample Setup'!S33)</f>
        <v>U39</v>
      </c>
      <c r="T9" s="67" t="str">
        <f>IF(ISBLANK('Sample Setup'!T33),"",'Sample Setup'!T33)</f>
        <v>U31</v>
      </c>
      <c r="U9" s="67" t="str">
        <f>IF(ISBLANK('Sample Setup'!U33),"",'Sample Setup'!U33)</f>
        <v>U23</v>
      </c>
      <c r="V9" s="67" t="str">
        <f>IF(ISBLANK('Sample Setup'!V33),"",'Sample Setup'!V33)</f>
        <v>U15</v>
      </c>
      <c r="W9" s="67" t="str">
        <f>IF(ISBLANK('Sample Setup'!W33),"",'Sample Setup'!W33)</f>
        <v>U7</v>
      </c>
      <c r="X9" s="67" t="str">
        <f>IF(ISBLANK('Sample Setup'!X33),"",'Sample Setup'!X33)</f>
        <v>U1</v>
      </c>
      <c r="Y9" s="67" t="str">
        <f>IF(ISBLANK('Sample Setup'!Y33),"",'Sample Setup'!Y33)</f>
        <v>S2</v>
      </c>
      <c r="Z9" s="67" t="str">
        <f>IF(ISBLANK('Sample Setup'!Z33),"",'Sample Setup'!Z33)</f>
        <v>S7</v>
      </c>
      <c r="AA9" s="67" t="str">
        <f>IF(ISBLANK('Sample Setup'!AA33),"",'Sample Setup'!AA33)</f>
        <v>U86</v>
      </c>
      <c r="AB9" s="67" t="str">
        <f>IF(ISBLANK('Sample Setup'!AB33),"",'Sample Setup'!AB33)</f>
        <v>U94</v>
      </c>
      <c r="AC9" s="67" t="str">
        <f>IF(ISBLANK('Sample Setup'!AC33),"",'Sample Setup'!AC33)</f>
        <v>U102</v>
      </c>
      <c r="AD9" s="67" t="str">
        <f>IF(ISBLANK('Sample Setup'!AD33),"",'Sample Setup'!AD33)</f>
        <v>U110</v>
      </c>
      <c r="AE9" s="67" t="str">
        <f>IF(ISBLANK('Sample Setup'!AE33),"",'Sample Setup'!AE33)</f>
        <v>U118</v>
      </c>
      <c r="AF9" s="67" t="str">
        <f>IF(ISBLANK('Sample Setup'!AF33),"",'Sample Setup'!AF33)</f>
        <v>U126</v>
      </c>
      <c r="AG9" s="67" t="str">
        <f>IF(ISBLANK('Sample Setup'!AG33),"",'Sample Setup'!AG33)</f>
        <v>U134</v>
      </c>
      <c r="AH9" s="67" t="str">
        <f>IF(ISBLANK('Sample Setup'!AH33),"",'Sample Setup'!AH33)</f>
        <v>U142</v>
      </c>
      <c r="AI9" s="67" t="str">
        <f>IF(ISBLANK('Sample Setup'!AI33),"",'Sample Setup'!AI33)</f>
        <v>U150</v>
      </c>
      <c r="AJ9" s="67" t="str">
        <f>IF(ISBLANK('Sample Setup'!AJ33),"",'Sample Setup'!AJ33)</f>
        <v>U158</v>
      </c>
      <c r="AK9" s="67" t="str">
        <f>IF(ISBLANK('Sample Setup'!AK33),"",'Sample Setup'!AK33)</f>
        <v>U166</v>
      </c>
      <c r="AL9" s="67" t="str">
        <f>IF(ISBLANK('Sample Setup'!AL33),"",'Sample Setup'!AL33)</f>
        <v>U161</v>
      </c>
      <c r="AM9" s="67" t="str">
        <f>IF(ISBLANK('Sample Setup'!AM33),"",'Sample Setup'!AM33)</f>
        <v>U153</v>
      </c>
      <c r="AN9" s="67" t="str">
        <f>IF(ISBLANK('Sample Setup'!AN33),"",'Sample Setup'!AN33)</f>
        <v>U145</v>
      </c>
      <c r="AO9" s="67" t="str">
        <f>IF(ISBLANK('Sample Setup'!AO33),"",'Sample Setup'!AO33)</f>
        <v>U137</v>
      </c>
      <c r="AP9" s="67" t="str">
        <f>IF(ISBLANK('Sample Setup'!AP33),"",'Sample Setup'!AP33)</f>
        <v>U129</v>
      </c>
      <c r="AQ9" s="67" t="str">
        <f>IF(ISBLANK('Sample Setup'!AQ33),"",'Sample Setup'!AQ33)</f>
        <v>U121</v>
      </c>
      <c r="AR9" s="67" t="str">
        <f>IF(ISBLANK('Sample Setup'!AR33),"",'Sample Setup'!AR33)</f>
        <v>U113</v>
      </c>
      <c r="AS9" s="67" t="str">
        <f>IF(ISBLANK('Sample Setup'!AS33),"",'Sample Setup'!AS33)</f>
        <v>U105</v>
      </c>
      <c r="AT9" s="67" t="str">
        <f>IF(ISBLANK('Sample Setup'!AT33),"",'Sample Setup'!AT33)</f>
        <v>U97</v>
      </c>
      <c r="AU9" s="67" t="str">
        <f>IF(ISBLANK('Sample Setup'!AU33),"",'Sample Setup'!AU33)</f>
        <v>U89</v>
      </c>
      <c r="AV9" s="67" t="str">
        <f>IF(ISBLANK('Sample Setup'!AV33),"",'Sample Setup'!AV33)</f>
        <v>U1</v>
      </c>
      <c r="AW9" s="67" t="str">
        <f>IF(ISBLANK('Sample Setup'!AW33),"",'Sample Setup'!AW33)</f>
        <v>S2</v>
      </c>
    </row>
    <row r="10" spans="1:49" s="12" customFormat="1" ht="20.100000000000001" customHeight="1" x14ac:dyDescent="0.25">
      <c r="A10" s="102" t="s">
        <v>28</v>
      </c>
      <c r="B10" s="67" t="str">
        <f>IF(ISBLANK('Sample Setup'!B34),"",'Sample Setup'!B34)</f>
        <v>NEG</v>
      </c>
      <c r="C10" s="421" t="s">
        <v>87</v>
      </c>
      <c r="D10" s="67" t="str">
        <f>IF(ISBLANK('Sample Setup'!D34),"",'Sample Setup'!D34)</f>
        <v>U13</v>
      </c>
      <c r="E10" s="67" t="str">
        <f>IF(ISBLANK('Sample Setup'!E34),"",'Sample Setup'!E34)</f>
        <v>U21</v>
      </c>
      <c r="F10" s="67" t="str">
        <f>IF(ISBLANK('Sample Setup'!F34),"",'Sample Setup'!F34)</f>
        <v>U29</v>
      </c>
      <c r="G10" s="67" t="str">
        <f>IF(ISBLANK('Sample Setup'!G34),"",'Sample Setup'!G34)</f>
        <v>U37</v>
      </c>
      <c r="H10" s="67" t="str">
        <f>IF(ISBLANK('Sample Setup'!H34),"",'Sample Setup'!H34)</f>
        <v>U45</v>
      </c>
      <c r="I10" s="67" t="str">
        <f>IF(ISBLANK('Sample Setup'!I34),"",'Sample Setup'!I34)</f>
        <v>U53</v>
      </c>
      <c r="J10" s="67" t="str">
        <f>IF(ISBLANK('Sample Setup'!J34),"",'Sample Setup'!J34)</f>
        <v>U61</v>
      </c>
      <c r="K10" s="67" t="str">
        <f>IF(ISBLANK('Sample Setup'!K34),"",'Sample Setup'!K34)</f>
        <v>U69</v>
      </c>
      <c r="L10" s="67" t="str">
        <f>IF(ISBLANK('Sample Setup'!L34),"",'Sample Setup'!L34)</f>
        <v>U77</v>
      </c>
      <c r="M10" s="67" t="str">
        <f>IF(ISBLANK('Sample Setup'!M34),"",'Sample Setup'!M34)</f>
        <v>U85</v>
      </c>
      <c r="N10" s="67" t="str">
        <f>IF(ISBLANK('Sample Setup'!N34),"",'Sample Setup'!N34)</f>
        <v>U78</v>
      </c>
      <c r="O10" s="67" t="str">
        <f>IF(ISBLANK('Sample Setup'!O34),"",'Sample Setup'!O34)</f>
        <v>U70</v>
      </c>
      <c r="P10" s="67" t="str">
        <f>IF(ISBLANK('Sample Setup'!P34),"",'Sample Setup'!P34)</f>
        <v>U62</v>
      </c>
      <c r="Q10" s="67" t="str">
        <f>IF(ISBLANK('Sample Setup'!Q34),"",'Sample Setup'!Q34)</f>
        <v>U54</v>
      </c>
      <c r="R10" s="67" t="str">
        <f>IF(ISBLANK('Sample Setup'!R34),"",'Sample Setup'!R34)</f>
        <v>U46</v>
      </c>
      <c r="S10" s="67" t="str">
        <f>IF(ISBLANK('Sample Setup'!S34),"",'Sample Setup'!S34)</f>
        <v>U38</v>
      </c>
      <c r="T10" s="67" t="str">
        <f>IF(ISBLANK('Sample Setup'!T34),"",'Sample Setup'!T34)</f>
        <v>U30</v>
      </c>
      <c r="U10" s="67" t="str">
        <f>IF(ISBLANK('Sample Setup'!U34),"",'Sample Setup'!U34)</f>
        <v>U22</v>
      </c>
      <c r="V10" s="67" t="str">
        <f>IF(ISBLANK('Sample Setup'!V34),"",'Sample Setup'!V34)</f>
        <v>U14</v>
      </c>
      <c r="W10" s="67" t="str">
        <f>IF(ISBLANK('Sample Setup'!W34),"",'Sample Setup'!W34)</f>
        <v>U6</v>
      </c>
      <c r="X10" s="67" t="str">
        <f>IF(ISBLANK('Sample Setup'!X34),"",'Sample Setup'!X34)</f>
        <v>U1</v>
      </c>
      <c r="Y10" s="67" t="str">
        <f>IF(ISBLANK('Sample Setup'!Y34),"",'Sample Setup'!Y34)</f>
        <v>S1</v>
      </c>
      <c r="Z10" s="67" t="str">
        <f>IF(ISBLANK('Sample Setup'!Z34),"",'Sample Setup'!Z34)</f>
        <v>NEG</v>
      </c>
      <c r="AA10" s="67" t="str">
        <f>IF(ISBLANK('Sample Setup'!AA34),"",'Sample Setup'!AA34)</f>
        <v>U87</v>
      </c>
      <c r="AB10" s="67" t="str">
        <f>IF(ISBLANK('Sample Setup'!AB34),"",'Sample Setup'!AB34)</f>
        <v>U95</v>
      </c>
      <c r="AC10" s="67" t="str">
        <f>IF(ISBLANK('Sample Setup'!AC34),"",'Sample Setup'!AC34)</f>
        <v>U103</v>
      </c>
      <c r="AD10" s="67" t="str">
        <f>IF(ISBLANK('Sample Setup'!AD34),"",'Sample Setup'!AD34)</f>
        <v>U111</v>
      </c>
      <c r="AE10" s="67" t="str">
        <f>IF(ISBLANK('Sample Setup'!AE34),"",'Sample Setup'!AE34)</f>
        <v>U119</v>
      </c>
      <c r="AF10" s="67" t="str">
        <f>IF(ISBLANK('Sample Setup'!AF34),"",'Sample Setup'!AF34)</f>
        <v>U127</v>
      </c>
      <c r="AG10" s="67" t="str">
        <f>IF(ISBLANK('Sample Setup'!AG34),"",'Sample Setup'!AG34)</f>
        <v>U135</v>
      </c>
      <c r="AH10" s="67" t="str">
        <f>IF(ISBLANK('Sample Setup'!AH34),"",'Sample Setup'!AH34)</f>
        <v>U143</v>
      </c>
      <c r="AI10" s="67" t="str">
        <f>IF(ISBLANK('Sample Setup'!AI34),"",'Sample Setup'!AI34)</f>
        <v>U151</v>
      </c>
      <c r="AJ10" s="67" t="str">
        <f>IF(ISBLANK('Sample Setup'!AJ34),"",'Sample Setup'!AJ34)</f>
        <v>U159</v>
      </c>
      <c r="AK10" s="67" t="str">
        <f>IF(ISBLANK('Sample Setup'!AK34),"",'Sample Setup'!AK34)</f>
        <v>U167</v>
      </c>
      <c r="AL10" s="67" t="str">
        <f>IF(ISBLANK('Sample Setup'!AL34),"",'Sample Setup'!AL34)</f>
        <v>U160</v>
      </c>
      <c r="AM10" s="67" t="str">
        <f>IF(ISBLANK('Sample Setup'!AM34),"",'Sample Setup'!AM34)</f>
        <v>U152</v>
      </c>
      <c r="AN10" s="67" t="str">
        <f>IF(ISBLANK('Sample Setup'!AN34),"",'Sample Setup'!AN34)</f>
        <v>U144</v>
      </c>
      <c r="AO10" s="67" t="str">
        <f>IF(ISBLANK('Sample Setup'!AO34),"",'Sample Setup'!AO34)</f>
        <v>U136</v>
      </c>
      <c r="AP10" s="67" t="str">
        <f>IF(ISBLANK('Sample Setup'!AP34),"",'Sample Setup'!AP34)</f>
        <v>U128</v>
      </c>
      <c r="AQ10" s="67" t="str">
        <f>IF(ISBLANK('Sample Setup'!AQ34),"",'Sample Setup'!AQ34)</f>
        <v>U120</v>
      </c>
      <c r="AR10" s="67" t="str">
        <f>IF(ISBLANK('Sample Setup'!AR34),"",'Sample Setup'!AR34)</f>
        <v>U112</v>
      </c>
      <c r="AS10" s="67" t="str">
        <f>IF(ISBLANK('Sample Setup'!AS34),"",'Sample Setup'!AS34)</f>
        <v>U104</v>
      </c>
      <c r="AT10" s="67" t="str">
        <f>IF(ISBLANK('Sample Setup'!AT34),"",'Sample Setup'!AT34)</f>
        <v>U96</v>
      </c>
      <c r="AU10" s="67" t="str">
        <f>IF(ISBLANK('Sample Setup'!AU34),"",'Sample Setup'!AU34)</f>
        <v>U88</v>
      </c>
      <c r="AV10" s="67" t="str">
        <f>IF(ISBLANK('Sample Setup'!AV34),"",'Sample Setup'!AV34)</f>
        <v>U1</v>
      </c>
      <c r="AW10" s="67" t="str">
        <f>IF(ISBLANK('Sample Setup'!AW34),"",'Sample Setup'!AW34)</f>
        <v>S1</v>
      </c>
    </row>
    <row r="11" spans="1:49" s="12" customFormat="1" ht="20.100000000000001" customHeight="1" x14ac:dyDescent="0.25">
      <c r="A11" s="31"/>
      <c r="B11" s="32"/>
      <c r="C11" s="422"/>
      <c r="D11" s="32"/>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row>
    <row r="12" spans="1:49" s="12" customFormat="1" ht="20.100000000000001" customHeight="1" x14ac:dyDescent="0.25">
      <c r="A12" s="779"/>
      <c r="B12" s="780"/>
      <c r="C12" s="780"/>
      <c r="D12" s="780"/>
      <c r="E12" s="780"/>
      <c r="F12" s="780"/>
      <c r="G12" s="780"/>
      <c r="H12" s="780"/>
      <c r="I12" s="780"/>
      <c r="J12" s="780"/>
      <c r="K12" s="780"/>
      <c r="L12" s="780"/>
      <c r="M12" s="780"/>
      <c r="N12" s="780"/>
      <c r="O12" s="780"/>
      <c r="P12" s="780"/>
      <c r="Q12" s="780"/>
      <c r="R12" s="780"/>
      <c r="S12" s="780"/>
      <c r="T12" s="780"/>
      <c r="U12" s="780"/>
      <c r="V12" s="780"/>
      <c r="W12" s="780"/>
      <c r="X12" s="780"/>
      <c r="Y12" s="780"/>
      <c r="Z12" s="780"/>
      <c r="AA12" s="780"/>
      <c r="AB12" s="780"/>
      <c r="AC12" s="780"/>
      <c r="AD12" s="780"/>
      <c r="AE12" s="780"/>
      <c r="AF12" s="780"/>
      <c r="AG12" s="780"/>
      <c r="AH12" s="780"/>
      <c r="AI12" s="780"/>
      <c r="AJ12" s="780"/>
      <c r="AK12" s="780"/>
      <c r="AL12" s="780"/>
      <c r="AM12" s="780"/>
      <c r="AN12" s="780"/>
      <c r="AO12" s="780"/>
      <c r="AP12" s="780"/>
      <c r="AQ12" s="780"/>
      <c r="AR12" s="780"/>
      <c r="AS12" s="780"/>
      <c r="AT12" s="780"/>
      <c r="AU12" s="780"/>
      <c r="AV12" s="780"/>
      <c r="AW12" s="781"/>
    </row>
    <row r="13" spans="1:49" s="12" customFormat="1" ht="20.100000000000001" customHeight="1" x14ac:dyDescent="0.25">
      <c r="A13" s="374"/>
      <c r="B13" s="773" t="s">
        <v>154</v>
      </c>
      <c r="C13" s="773"/>
      <c r="D13" s="773"/>
      <c r="E13" s="773"/>
      <c r="F13" s="773"/>
      <c r="G13" s="773"/>
      <c r="H13" s="773"/>
      <c r="I13" s="773"/>
      <c r="J13" s="773"/>
      <c r="K13" s="773"/>
      <c r="L13" s="773"/>
      <c r="M13" s="773"/>
      <c r="N13" s="773" t="s">
        <v>155</v>
      </c>
      <c r="O13" s="773"/>
      <c r="P13" s="773"/>
      <c r="Q13" s="773"/>
      <c r="R13" s="773"/>
      <c r="S13" s="773"/>
      <c r="T13" s="773"/>
      <c r="U13" s="773"/>
      <c r="V13" s="773"/>
      <c r="W13" s="773"/>
      <c r="X13" s="773"/>
      <c r="Y13" s="773"/>
      <c r="Z13" s="773" t="s">
        <v>157</v>
      </c>
      <c r="AA13" s="773"/>
      <c r="AB13" s="773"/>
      <c r="AC13" s="773"/>
      <c r="AD13" s="773"/>
      <c r="AE13" s="773"/>
      <c r="AF13" s="773"/>
      <c r="AG13" s="773"/>
      <c r="AH13" s="773"/>
      <c r="AI13" s="773"/>
      <c r="AJ13" s="773"/>
      <c r="AK13" s="773"/>
      <c r="AL13" s="773" t="s">
        <v>1009</v>
      </c>
      <c r="AM13" s="773"/>
      <c r="AN13" s="773"/>
      <c r="AO13" s="773"/>
      <c r="AP13" s="773"/>
      <c r="AQ13" s="773"/>
      <c r="AR13" s="773"/>
      <c r="AS13" s="773"/>
      <c r="AT13" s="773"/>
      <c r="AU13" s="773"/>
      <c r="AV13" s="773"/>
      <c r="AW13" s="773"/>
    </row>
    <row r="14" spans="1:49" s="12" customFormat="1" ht="20.100000000000001" customHeight="1" x14ac:dyDescent="0.25">
      <c r="A14" s="424" t="s">
        <v>983</v>
      </c>
      <c r="B14" s="419" t="s">
        <v>0</v>
      </c>
      <c r="C14" s="420" t="s">
        <v>1</v>
      </c>
      <c r="D14" s="372" t="s">
        <v>2</v>
      </c>
      <c r="E14" s="372" t="s">
        <v>3</v>
      </c>
      <c r="F14" s="372" t="s">
        <v>4</v>
      </c>
      <c r="G14" s="372" t="s">
        <v>5</v>
      </c>
      <c r="H14" s="372" t="s">
        <v>6</v>
      </c>
      <c r="I14" s="372" t="s">
        <v>7</v>
      </c>
      <c r="J14" s="372" t="s">
        <v>8</v>
      </c>
      <c r="K14" s="372" t="s">
        <v>9</v>
      </c>
      <c r="L14" s="372" t="s">
        <v>10</v>
      </c>
      <c r="M14" s="372" t="s">
        <v>11</v>
      </c>
      <c r="N14" s="372" t="s">
        <v>45</v>
      </c>
      <c r="O14" s="372" t="s">
        <v>46</v>
      </c>
      <c r="P14" s="372" t="s">
        <v>47</v>
      </c>
      <c r="Q14" s="372" t="s">
        <v>66</v>
      </c>
      <c r="R14" s="372" t="s">
        <v>67</v>
      </c>
      <c r="S14" s="372" t="s">
        <v>68</v>
      </c>
      <c r="T14" s="372" t="s">
        <v>69</v>
      </c>
      <c r="U14" s="372" t="s">
        <v>70</v>
      </c>
      <c r="V14" s="372" t="s">
        <v>117</v>
      </c>
      <c r="W14" s="372" t="s">
        <v>118</v>
      </c>
      <c r="X14" s="372" t="s">
        <v>119</v>
      </c>
      <c r="Y14" s="372" t="s">
        <v>120</v>
      </c>
      <c r="Z14" s="372" t="s">
        <v>158</v>
      </c>
      <c r="AA14" s="372" t="s">
        <v>159</v>
      </c>
      <c r="AB14" s="372" t="s">
        <v>160</v>
      </c>
      <c r="AC14" s="372" t="s">
        <v>161</v>
      </c>
      <c r="AD14" s="372" t="s">
        <v>162</v>
      </c>
      <c r="AE14" s="372" t="s">
        <v>163</v>
      </c>
      <c r="AF14" s="372" t="s">
        <v>164</v>
      </c>
      <c r="AG14" s="372" t="s">
        <v>165</v>
      </c>
      <c r="AH14" s="372" t="s">
        <v>166</v>
      </c>
      <c r="AI14" s="372" t="s">
        <v>167</v>
      </c>
      <c r="AJ14" s="372" t="s">
        <v>168</v>
      </c>
      <c r="AK14" s="372" t="s">
        <v>169</v>
      </c>
      <c r="AL14" s="372" t="s">
        <v>997</v>
      </c>
      <c r="AM14" s="372" t="s">
        <v>998</v>
      </c>
      <c r="AN14" s="372" t="s">
        <v>999</v>
      </c>
      <c r="AO14" s="372" t="s">
        <v>1000</v>
      </c>
      <c r="AP14" s="372" t="s">
        <v>1001</v>
      </c>
      <c r="AQ14" s="372" t="s">
        <v>1002</v>
      </c>
      <c r="AR14" s="372" t="s">
        <v>1003</v>
      </c>
      <c r="AS14" s="372" t="s">
        <v>1004</v>
      </c>
      <c r="AT14" s="372" t="s">
        <v>1005</v>
      </c>
      <c r="AU14" s="372" t="s">
        <v>1006</v>
      </c>
      <c r="AV14" s="372" t="s">
        <v>1007</v>
      </c>
      <c r="AW14" s="372" t="s">
        <v>1008</v>
      </c>
    </row>
    <row r="15" spans="1:49" s="12" customFormat="1" ht="20.100000000000001" customHeight="1" x14ac:dyDescent="0.25">
      <c r="A15" s="102" t="s">
        <v>21</v>
      </c>
      <c r="B15" s="66">
        <f>IF(ISBLANK(Calculations!B3),"",Calculations!B3)</f>
        <v>2.6560000000000001</v>
      </c>
      <c r="C15" s="423">
        <f>IF(ISBLANK(Calculations!C3),"",Calculations!C3)</f>
        <v>0.39</v>
      </c>
      <c r="D15" s="66">
        <f>IF(ISBLANK(Calculations!D3),"",Calculations!D3)</f>
        <v>0.22800000000000004</v>
      </c>
      <c r="E15" s="66">
        <f>IF(ISBLANK(Calculations!E3),"",Calculations!E3)</f>
        <v>0.57499999999999996</v>
      </c>
      <c r="F15" s="66">
        <f>IF(ISBLANK(Calculations!F3),"",Calculations!F3)</f>
        <v>0.46600000000000003</v>
      </c>
      <c r="G15" s="66">
        <f>IF(ISBLANK(Calculations!G3),"",Calculations!G3)</f>
        <v>0.46100000000000002</v>
      </c>
      <c r="H15" s="66">
        <f>IF(ISBLANK(Calculations!H3),"",Calculations!H3)</f>
        <v>0.49900000000000005</v>
      </c>
      <c r="I15" s="66">
        <f>IF(ISBLANK(Calculations!I3),"",Calculations!I3)</f>
        <v>0.248</v>
      </c>
      <c r="J15" s="66">
        <f>IF(ISBLANK(Calculations!J3),"",Calculations!J3)</f>
        <v>0.24</v>
      </c>
      <c r="K15" s="66">
        <f>IF(ISBLANK(Calculations!K3),"",Calculations!K3)</f>
        <v>0.27700000000000002</v>
      </c>
      <c r="L15" s="66">
        <f>IF(ISBLANK(Calculations!L3),"",Calculations!L3)</f>
        <v>0.29700000000000004</v>
      </c>
      <c r="M15" s="66">
        <f>IF(ISBLANK(Calculations!M3),"",Calculations!M3)</f>
        <v>0.64499999999999991</v>
      </c>
      <c r="N15" s="66">
        <f>IF(ISBLANK(Calculations!N3),"",Calculations!N3)</f>
        <v>0.58699999999999997</v>
      </c>
      <c r="O15" s="66">
        <f>IF(ISBLANK(Calculations!O3),"",Calculations!O3)</f>
        <v>0.55999999999999994</v>
      </c>
      <c r="P15" s="66">
        <f>IF(ISBLANK(Calculations!P3),"",Calculations!P3)</f>
        <v>0.25800000000000001</v>
      </c>
      <c r="Q15" s="66">
        <f>IF(ISBLANK(Calculations!Q3),"",Calculations!Q3)</f>
        <v>0.25800000000000001</v>
      </c>
      <c r="R15" s="66">
        <f>IF(ISBLANK(Calculations!R3),"",Calculations!R3)</f>
        <v>0.22200000000000003</v>
      </c>
      <c r="S15" s="66">
        <f>IF(ISBLANK(Calculations!S3),"",Calculations!S3)</f>
        <v>0.22000000000000003</v>
      </c>
      <c r="T15" s="66">
        <f>IF(ISBLANK(Calculations!T3),"",Calculations!T3)</f>
        <v>0.45100000000000001</v>
      </c>
      <c r="U15" s="66">
        <f>IF(ISBLANK(Calculations!U3),"",Calculations!U3)</f>
        <v>0.433</v>
      </c>
      <c r="V15" s="66">
        <f>IF(ISBLANK(Calculations!V3),"",Calculations!V3)</f>
        <v>0.53099999999999992</v>
      </c>
      <c r="W15" s="66">
        <f>IF(ISBLANK(Calculations!W3),"",Calculations!W3)</f>
        <v>0.55000000000000004</v>
      </c>
      <c r="X15" s="66">
        <f>IF(ISBLANK(Calculations!X3),"",Calculations!X3)</f>
        <v>0.51400000000000001</v>
      </c>
      <c r="Y15" s="66">
        <f>IF(ISBLANK(Calculations!Y3),"",Calculations!Y3)</f>
        <v>1.2000000000000004E-2</v>
      </c>
      <c r="Z15" s="66">
        <f>IF(ISBLANK(Calculations!Z3),"",Calculations!Z3)</f>
        <v>2.613</v>
      </c>
      <c r="AA15" s="66">
        <f>IF(ISBLANK(Calculations!AA3),"",Calculations!AA3)</f>
        <v>0.40100000000000002</v>
      </c>
      <c r="AB15" s="66">
        <f>IF(ISBLANK(Calculations!AB3),"",Calculations!AB3)</f>
        <v>0.60899999999999999</v>
      </c>
      <c r="AC15" s="66">
        <f>IF(ISBLANK(Calculations!AC3),"",Calculations!AC3)</f>
        <v>0.45</v>
      </c>
      <c r="AD15" s="66">
        <f>IF(ISBLANK(Calculations!AD3),"",Calculations!AD3)</f>
        <v>0.54199999999999993</v>
      </c>
      <c r="AE15" s="66">
        <f>IF(ISBLANK(Calculations!AE3),"",Calculations!AE3)</f>
        <v>0.57499999999999996</v>
      </c>
      <c r="AF15" s="66">
        <f>IF(ISBLANK(Calculations!AF3),"",Calculations!AF3)</f>
        <v>9.0000000000000011E-3</v>
      </c>
      <c r="AG15" s="66">
        <f>IF(ISBLANK(Calculations!AG3),"",Calculations!AG3)</f>
        <v>1.0000000000000002E-2</v>
      </c>
      <c r="AH15" s="66">
        <f>IF(ISBLANK(Calculations!AH3),"",Calculations!AH3)</f>
        <v>9.999999999999995E-3</v>
      </c>
      <c r="AI15" s="66">
        <f>IF(ISBLANK(Calculations!AI3),"",Calculations!AI3)</f>
        <v>8.0000000000000002E-3</v>
      </c>
      <c r="AJ15" s="66">
        <f>IF(ISBLANK(Calculations!AJ3),"",Calculations!AJ3)</f>
        <v>8.0000000000000002E-3</v>
      </c>
      <c r="AK15" s="66">
        <f>IF(ISBLANK(Calculations!AK3),"",Calculations!AK3)</f>
        <v>6.9999999999999993E-3</v>
      </c>
      <c r="AL15" s="66">
        <f>IF(ISBLANK(Calculations!AL3),"",Calculations!AL3)</f>
        <v>8.0000000000000002E-3</v>
      </c>
      <c r="AM15" s="66">
        <f>IF(ISBLANK(Calculations!AM3),"",Calculations!AM3)</f>
        <v>9.0000000000000011E-3</v>
      </c>
      <c r="AN15" s="66">
        <f>IF(ISBLANK(Calculations!AN3),"",Calculations!AN3)</f>
        <v>1.0000000000000002E-2</v>
      </c>
      <c r="AO15" s="66">
        <f>IF(ISBLANK(Calculations!AO3),"",Calculations!AO3)</f>
        <v>8.0000000000000002E-3</v>
      </c>
      <c r="AP15" s="66">
        <f>IF(ISBLANK(Calculations!AP3),"",Calculations!AP3)</f>
        <v>8.0000000000000002E-3</v>
      </c>
      <c r="AQ15" s="66">
        <f>IF(ISBLANK(Calculations!AQ3),"",Calculations!AQ3)</f>
        <v>8.0000000000000002E-3</v>
      </c>
      <c r="AR15" s="66">
        <f>IF(ISBLANK(Calculations!AR3),"",Calculations!AR3)</f>
        <v>8.9999999999999941E-3</v>
      </c>
      <c r="AS15" s="66">
        <f>IF(ISBLANK(Calculations!AS3),"",Calculations!AS3)</f>
        <v>0.626</v>
      </c>
      <c r="AT15" s="66">
        <f>IF(ISBLANK(Calculations!AT3),"",Calculations!AT3)</f>
        <v>0.23400000000000004</v>
      </c>
      <c r="AU15" s="66">
        <f>IF(ISBLANK(Calculations!AU3),"",Calculations!AU3)</f>
        <v>0.54099999999999993</v>
      </c>
      <c r="AV15" s="66">
        <f>IF(ISBLANK(Calculations!AV3),"",Calculations!AV3)</f>
        <v>0.42299999999999999</v>
      </c>
      <c r="AW15" s="66">
        <f>IF(ISBLANK(Calculations!AW3),"",Calculations!AW3)</f>
        <v>1.2000000000000004E-2</v>
      </c>
    </row>
    <row r="16" spans="1:49" s="12" customFormat="1" ht="19.5" customHeight="1" x14ac:dyDescent="0.25">
      <c r="A16" s="102" t="s">
        <v>22</v>
      </c>
      <c r="B16" s="66">
        <f>IF(ISBLANK(Calculations!B4),"",Calculations!B4)</f>
        <v>1.873</v>
      </c>
      <c r="C16" s="423">
        <f>IF(ISBLANK(Calculations!C4),"",Calculations!C4)</f>
        <v>0.34900000000000003</v>
      </c>
      <c r="D16" s="66">
        <f>IF(ISBLANK(Calculations!D4),"",Calculations!D4)</f>
        <v>0.54999999999999993</v>
      </c>
      <c r="E16" s="66">
        <f>IF(ISBLANK(Calculations!E4),"",Calculations!E4)</f>
        <v>0.53899999999999992</v>
      </c>
      <c r="F16" s="66">
        <f>IF(ISBLANK(Calculations!F4),"",Calculations!F4)</f>
        <v>0.39800000000000002</v>
      </c>
      <c r="G16" s="66">
        <f>IF(ISBLANK(Calculations!G4),"",Calculations!G4)</f>
        <v>0.438</v>
      </c>
      <c r="H16" s="66">
        <f>IF(ISBLANK(Calculations!H4),"",Calculations!H4)</f>
        <v>0.48200000000000004</v>
      </c>
      <c r="I16" s="66">
        <f>IF(ISBLANK(Calculations!I4),"",Calculations!I4)</f>
        <v>0.22400000000000003</v>
      </c>
      <c r="J16" s="66">
        <f>IF(ISBLANK(Calculations!J4),"",Calculations!J4)</f>
        <v>0.22700000000000004</v>
      </c>
      <c r="K16" s="66">
        <f>IF(ISBLANK(Calculations!K4),"",Calculations!K4)</f>
        <v>0.254</v>
      </c>
      <c r="L16" s="66">
        <f>IF(ISBLANK(Calculations!L4),"",Calculations!L4)</f>
        <v>0.28300000000000003</v>
      </c>
      <c r="M16" s="66">
        <f>IF(ISBLANK(Calculations!M4),"",Calculations!M4)</f>
        <v>0.60299999999999998</v>
      </c>
      <c r="N16" s="66">
        <f>IF(ISBLANK(Calculations!N4),"",Calculations!N4)</f>
        <v>0.60199999999999998</v>
      </c>
      <c r="O16" s="66">
        <f>IF(ISBLANK(Calculations!O4),"",Calculations!O4)</f>
        <v>0.53799999999999992</v>
      </c>
      <c r="P16" s="66">
        <f>IF(ISBLANK(Calculations!P4),"",Calculations!P4)</f>
        <v>0.245</v>
      </c>
      <c r="Q16" s="66">
        <f>IF(ISBLANK(Calculations!Q4),"",Calculations!Q4)</f>
        <v>0.20500000000000002</v>
      </c>
      <c r="R16" s="66">
        <f>IF(ISBLANK(Calculations!R4),"",Calculations!R4)</f>
        <v>0.22000000000000003</v>
      </c>
      <c r="S16" s="66">
        <f>IF(ISBLANK(Calculations!S4),"",Calculations!S4)</f>
        <v>0.21100000000000002</v>
      </c>
      <c r="T16" s="66">
        <f>IF(ISBLANK(Calculations!T4),"",Calculations!T4)</f>
        <v>0.438</v>
      </c>
      <c r="U16" s="66">
        <f>IF(ISBLANK(Calculations!U4),"",Calculations!U4)</f>
        <v>0.441</v>
      </c>
      <c r="V16" s="66">
        <f>IF(ISBLANK(Calculations!V4),"",Calculations!V4)</f>
        <v>0.54099999999999993</v>
      </c>
      <c r="W16" s="66">
        <f>IF(ISBLANK(Calculations!W4),"",Calculations!W4)</f>
        <v>0.52499999999999991</v>
      </c>
      <c r="X16" s="66">
        <f>IF(ISBLANK(Calculations!X4),"",Calculations!X4)</f>
        <v>0.53499999999999992</v>
      </c>
      <c r="Y16" s="66">
        <f>IF(ISBLANK(Calculations!Y4),"",Calculations!Y4)</f>
        <v>1.5000000000000006E-2</v>
      </c>
      <c r="Z16" s="66">
        <f>IF(ISBLANK(Calculations!Z4),"",Calculations!Z4)</f>
        <v>1.8780000000000001</v>
      </c>
      <c r="AA16" s="66">
        <f>IF(ISBLANK(Calculations!AA4),"",Calculations!AA4)</f>
        <v>0.373</v>
      </c>
      <c r="AB16" s="66">
        <f>IF(ISBLANK(Calculations!AB4),"",Calculations!AB4)</f>
        <v>0.59299999999999997</v>
      </c>
      <c r="AC16" s="66">
        <f>IF(ISBLANK(Calculations!AC4),"",Calculations!AC4)</f>
        <v>0.49700000000000005</v>
      </c>
      <c r="AD16" s="66">
        <f>IF(ISBLANK(Calculations!AD4),"",Calculations!AD4)</f>
        <v>0.22800000000000004</v>
      </c>
      <c r="AE16" s="66">
        <f>IF(ISBLANK(Calculations!AE4),"",Calculations!AE4)</f>
        <v>0.5</v>
      </c>
      <c r="AF16" s="66">
        <f>IF(ISBLANK(Calculations!AF4),"",Calculations!AF4)</f>
        <v>1.0000000000000002E-2</v>
      </c>
      <c r="AG16" s="66">
        <f>IF(ISBLANK(Calculations!AG4),"",Calculations!AG4)</f>
        <v>9.0000000000000011E-3</v>
      </c>
      <c r="AH16" s="66">
        <f>IF(ISBLANK(Calculations!AH4),"",Calculations!AH4)</f>
        <v>8.0000000000000002E-3</v>
      </c>
      <c r="AI16" s="66">
        <f>IF(ISBLANK(Calculations!AI4),"",Calculations!AI4)</f>
        <v>8.0000000000000002E-3</v>
      </c>
      <c r="AJ16" s="66">
        <f>IF(ISBLANK(Calculations!AJ4),"",Calculations!AJ4)</f>
        <v>9.0000000000000011E-3</v>
      </c>
      <c r="AK16" s="66">
        <f>IF(ISBLANK(Calculations!AK4),"",Calculations!AK4)</f>
        <v>6.9999999999999993E-3</v>
      </c>
      <c r="AL16" s="66">
        <f>IF(ISBLANK(Calculations!AL4),"",Calculations!AL4)</f>
        <v>1.0000000000000002E-2</v>
      </c>
      <c r="AM16" s="66">
        <f>IF(ISBLANK(Calculations!AM4),"",Calculations!AM4)</f>
        <v>1.1000000000000003E-2</v>
      </c>
      <c r="AN16" s="66">
        <f>IF(ISBLANK(Calculations!AN4),"",Calculations!AN4)</f>
        <v>7.0000000000000062E-3</v>
      </c>
      <c r="AO16" s="66">
        <f>IF(ISBLANK(Calculations!AO4),"",Calculations!AO4)</f>
        <v>1.2000000000000004E-2</v>
      </c>
      <c r="AP16" s="66">
        <f>IF(ISBLANK(Calculations!AP4),"",Calculations!AP4)</f>
        <v>1.7000000000000008E-2</v>
      </c>
      <c r="AQ16" s="66">
        <f>IF(ISBLANK(Calculations!AQ4),"",Calculations!AQ4)</f>
        <v>2.700000000000001E-2</v>
      </c>
      <c r="AR16" s="66">
        <f>IF(ISBLANK(Calculations!AR4),"",Calculations!AR4)</f>
        <v>8.0000000000000002E-3</v>
      </c>
      <c r="AS16" s="66">
        <f>IF(ISBLANK(Calculations!AS4),"",Calculations!AS4)</f>
        <v>0.59799999999999998</v>
      </c>
      <c r="AT16" s="66">
        <f>IF(ISBLANK(Calculations!AT4),"",Calculations!AT4)</f>
        <v>0.24299999999999999</v>
      </c>
      <c r="AU16" s="66">
        <f>IF(ISBLANK(Calculations!AU4),"",Calculations!AU4)</f>
        <v>0.49300000000000005</v>
      </c>
      <c r="AV16" s="66">
        <f>IF(ISBLANK(Calculations!AV4),"",Calculations!AV4)</f>
        <v>0.64599999999999991</v>
      </c>
      <c r="AW16" s="66">
        <f>IF(ISBLANK(Calculations!AW4),"",Calculations!AW4)</f>
        <v>1.6E-2</v>
      </c>
    </row>
    <row r="17" spans="1:49" s="12" customFormat="1" ht="20.100000000000001" customHeight="1" x14ac:dyDescent="0.25">
      <c r="A17" s="102" t="s">
        <v>23</v>
      </c>
      <c r="B17" s="66">
        <f>IF(ISBLANK(Calculations!B5),"",Calculations!B5)</f>
        <v>0.72599999999999998</v>
      </c>
      <c r="C17" s="423">
        <f>IF(ISBLANK(Calculations!C5),"",Calculations!C5)</f>
        <v>1.8</v>
      </c>
      <c r="D17" s="66">
        <f>IF(ISBLANK(Calculations!D5),"",Calculations!D5)</f>
        <v>0.50600000000000001</v>
      </c>
      <c r="E17" s="66">
        <f>IF(ISBLANK(Calculations!E5),"",Calculations!E5)</f>
        <v>0.56499999999999995</v>
      </c>
      <c r="F17" s="66">
        <f>IF(ISBLANK(Calculations!F5),"",Calculations!F5)</f>
        <v>0.38400000000000001</v>
      </c>
      <c r="G17" s="66">
        <f>IF(ISBLANK(Calculations!G5),"",Calculations!G5)</f>
        <v>0.41899999999999998</v>
      </c>
      <c r="H17" s="66">
        <f>IF(ISBLANK(Calculations!H5),"",Calculations!H5)</f>
        <v>0.23099999999999998</v>
      </c>
      <c r="I17" s="66">
        <f>IF(ISBLANK(Calculations!I5),"",Calculations!I5)</f>
        <v>0.21899999999999997</v>
      </c>
      <c r="J17" s="66">
        <f>IF(ISBLANK(Calculations!J5),"",Calculations!J5)</f>
        <v>0.22600000000000003</v>
      </c>
      <c r="K17" s="66">
        <f>IF(ISBLANK(Calculations!K5),"",Calculations!K5)</f>
        <v>0.27200000000000002</v>
      </c>
      <c r="L17" s="66">
        <f>IF(ISBLANK(Calculations!L5),"",Calculations!L5)</f>
        <v>0.27</v>
      </c>
      <c r="M17" s="66">
        <f>IF(ISBLANK(Calculations!M5),"",Calculations!M5)</f>
        <v>0.59699999999999998</v>
      </c>
      <c r="N17" s="66">
        <f>IF(ISBLANK(Calculations!N5),"",Calculations!N5)</f>
        <v>0.57299999999999995</v>
      </c>
      <c r="O17" s="66">
        <f>IF(ISBLANK(Calculations!O5),"",Calculations!O5)</f>
        <v>0.26100000000000001</v>
      </c>
      <c r="P17" s="66">
        <f>IF(ISBLANK(Calculations!P5),"",Calculations!P5)</f>
        <v>0.26</v>
      </c>
      <c r="Q17" s="66">
        <f>IF(ISBLANK(Calculations!Q5),"",Calculations!Q5)</f>
        <v>0.26900000000000002</v>
      </c>
      <c r="R17" s="66">
        <f>IF(ISBLANK(Calculations!R5),"",Calculations!R5)</f>
        <v>0.20300000000000001</v>
      </c>
      <c r="S17" s="66">
        <f>IF(ISBLANK(Calculations!S5),"",Calculations!S5)</f>
        <v>0.20400000000000001</v>
      </c>
      <c r="T17" s="66">
        <f>IF(ISBLANK(Calculations!T5),"",Calculations!T5)</f>
        <v>0.44700000000000001</v>
      </c>
      <c r="U17" s="66">
        <f>IF(ISBLANK(Calculations!U5),"",Calculations!U5)</f>
        <v>0.41100000000000003</v>
      </c>
      <c r="V17" s="66">
        <f>IF(ISBLANK(Calculations!V5),"",Calculations!V5)</f>
        <v>0.52699999999999991</v>
      </c>
      <c r="W17" s="66">
        <f>IF(ISBLANK(Calculations!W5),"",Calculations!W5)</f>
        <v>0.53099999999999992</v>
      </c>
      <c r="X17" s="66">
        <f>IF(ISBLANK(Calculations!X5),"",Calculations!X5)</f>
        <v>9.6000000000000016E-2</v>
      </c>
      <c r="Y17" s="66">
        <f>IF(ISBLANK(Calculations!Y5),"",Calculations!Y5)</f>
        <v>3.7000000000000005E-2</v>
      </c>
      <c r="Z17" s="66">
        <f>IF(ISBLANK(Calculations!Z5),"",Calculations!Z5)</f>
        <v>0.76100000000000001</v>
      </c>
      <c r="AA17" s="66">
        <f>IF(ISBLANK(Calculations!AA5),"",Calculations!AA5)</f>
        <v>1.8080000000000001</v>
      </c>
      <c r="AB17" s="66">
        <f>IF(ISBLANK(Calculations!AB5),"",Calculations!AB5)</f>
        <v>0.63400000000000001</v>
      </c>
      <c r="AC17" s="66">
        <f>IF(ISBLANK(Calculations!AC5),"",Calculations!AC5)</f>
        <v>0.46200000000000002</v>
      </c>
      <c r="AD17" s="66">
        <f>IF(ISBLANK(Calculations!AD5),"",Calculations!AD5)</f>
        <v>0.248</v>
      </c>
      <c r="AE17" s="66">
        <f>IF(ISBLANK(Calculations!AE5),"",Calculations!AE5)</f>
        <v>0.187</v>
      </c>
      <c r="AF17" s="66">
        <f>IF(ISBLANK(Calculations!AF5),"",Calculations!AF5)</f>
        <v>1.4999999999999999E-2</v>
      </c>
      <c r="AG17" s="66">
        <f>IF(ISBLANK(Calculations!AG5),"",Calculations!AG5)</f>
        <v>1.1000000000000003E-2</v>
      </c>
      <c r="AH17" s="66">
        <f>IF(ISBLANK(Calculations!AH5),"",Calculations!AH5)</f>
        <v>1.6000000000000007E-2</v>
      </c>
      <c r="AI17" s="66">
        <f>IF(ISBLANK(Calculations!AI5),"",Calculations!AI5)</f>
        <v>9.0000000000000011E-3</v>
      </c>
      <c r="AJ17" s="66">
        <f>IF(ISBLANK(Calculations!AJ5),"",Calculations!AJ5)</f>
        <v>8.9999999999999941E-3</v>
      </c>
      <c r="AK17" s="66">
        <f>IF(ISBLANK(Calculations!AK5),"",Calculations!AK5)</f>
        <v>7.0000000000000062E-3</v>
      </c>
      <c r="AL17" s="66">
        <f>IF(ISBLANK(Calculations!AL5),"",Calculations!AL5)</f>
        <v>1.1000000000000003E-2</v>
      </c>
      <c r="AM17" s="66">
        <f>IF(ISBLANK(Calculations!AM5),"",Calculations!AM5)</f>
        <v>8.0000000000000002E-3</v>
      </c>
      <c r="AN17" s="66">
        <f>IF(ISBLANK(Calculations!AN5),"",Calculations!AN5)</f>
        <v>6.9999999999999993E-3</v>
      </c>
      <c r="AO17" s="66">
        <f>IF(ISBLANK(Calculations!AO5),"",Calculations!AO5)</f>
        <v>8.0000000000000002E-3</v>
      </c>
      <c r="AP17" s="66">
        <f>IF(ISBLANK(Calculations!AP5),"",Calculations!AP5)</f>
        <v>1.1000000000000003E-2</v>
      </c>
      <c r="AQ17" s="66">
        <f>IF(ISBLANK(Calculations!AQ5),"",Calculations!AQ5)</f>
        <v>9.0000000000000011E-3</v>
      </c>
      <c r="AR17" s="66">
        <f>IF(ISBLANK(Calculations!AR5),"",Calculations!AR5)</f>
        <v>8.0000000000000002E-3</v>
      </c>
      <c r="AS17" s="66">
        <f>IF(ISBLANK(Calculations!AS5),"",Calculations!AS5)</f>
        <v>0.252</v>
      </c>
      <c r="AT17" s="66">
        <f>IF(ISBLANK(Calculations!AT5),"",Calculations!AT5)</f>
        <v>0.44500000000000001</v>
      </c>
      <c r="AU17" s="66">
        <f>IF(ISBLANK(Calculations!AU5),"",Calculations!AU5)</f>
        <v>0.60299999999999998</v>
      </c>
      <c r="AV17" s="66">
        <f>IF(ISBLANK(Calculations!AV5),"",Calculations!AV5)</f>
        <v>8.900000000000001E-2</v>
      </c>
      <c r="AW17" s="66">
        <f>IF(ISBLANK(Calculations!AW5),"",Calculations!AW5)</f>
        <v>3.2000000000000001E-2</v>
      </c>
    </row>
    <row r="18" spans="1:49" s="12" customFormat="1" ht="20.100000000000001" customHeight="1" x14ac:dyDescent="0.25">
      <c r="A18" s="102" t="s">
        <v>24</v>
      </c>
      <c r="B18" s="66">
        <f>IF(ISBLANK(Calculations!B6),"",Calculations!B6)</f>
        <v>0.25800000000000001</v>
      </c>
      <c r="C18" s="423">
        <f>IF(ISBLANK(Calculations!C6),"",Calculations!C6)</f>
        <v>1.704</v>
      </c>
      <c r="D18" s="66">
        <f>IF(ISBLANK(Calculations!D6),"",Calculations!D6)</f>
        <v>0.49700000000000005</v>
      </c>
      <c r="E18" s="66">
        <f>IF(ISBLANK(Calculations!E6),"",Calculations!E6)</f>
        <v>0.54599999999999993</v>
      </c>
      <c r="F18" s="66">
        <f>IF(ISBLANK(Calculations!F6),"",Calculations!F6)</f>
        <v>0.44400000000000001</v>
      </c>
      <c r="G18" s="66">
        <f>IF(ISBLANK(Calculations!G6),"",Calculations!G6)</f>
        <v>0.45600000000000002</v>
      </c>
      <c r="H18" s="66">
        <f>IF(ISBLANK(Calculations!H6),"",Calculations!H6)</f>
        <v>0.22500000000000003</v>
      </c>
      <c r="I18" s="66">
        <f>IF(ISBLANK(Calculations!I6),"",Calculations!I6)</f>
        <v>0.21300000000000002</v>
      </c>
      <c r="J18" s="66">
        <f>IF(ISBLANK(Calculations!J6),"",Calculations!J6)</f>
        <v>0.23100000000000004</v>
      </c>
      <c r="K18" s="66">
        <f>IF(ISBLANK(Calculations!K6),"",Calculations!K6)</f>
        <v>0.251</v>
      </c>
      <c r="L18" s="66">
        <f>IF(ISBLANK(Calculations!L6),"",Calculations!L6)</f>
        <v>0.27800000000000002</v>
      </c>
      <c r="M18" s="66">
        <f>IF(ISBLANK(Calculations!M6),"",Calculations!M6)</f>
        <v>0.55899999999999994</v>
      </c>
      <c r="N18" s="66">
        <f>IF(ISBLANK(Calculations!N6),"",Calculations!N6)</f>
        <v>0.57600000000000007</v>
      </c>
      <c r="O18" s="66">
        <f>IF(ISBLANK(Calculations!O6),"",Calculations!O6)</f>
        <v>0.26500000000000001</v>
      </c>
      <c r="P18" s="66">
        <f>IF(ISBLANK(Calculations!P6),"",Calculations!P6)</f>
        <v>0.26900000000000002</v>
      </c>
      <c r="Q18" s="66">
        <f>IF(ISBLANK(Calculations!Q6),"",Calculations!Q6)</f>
        <v>0.26200000000000001</v>
      </c>
      <c r="R18" s="66">
        <f>IF(ISBLANK(Calculations!R6),"",Calculations!R6)</f>
        <v>0.22500000000000003</v>
      </c>
      <c r="S18" s="66">
        <f>IF(ISBLANK(Calculations!S6),"",Calculations!S6)</f>
        <v>0.21600000000000003</v>
      </c>
      <c r="T18" s="66">
        <f>IF(ISBLANK(Calculations!T6),"",Calculations!T6)</f>
        <v>0.46</v>
      </c>
      <c r="U18" s="66">
        <f>IF(ISBLANK(Calculations!U6),"",Calculations!U6)</f>
        <v>0.45400000000000001</v>
      </c>
      <c r="V18" s="66">
        <f>IF(ISBLANK(Calculations!V6),"",Calculations!V6)</f>
        <v>0.54599999999999993</v>
      </c>
      <c r="W18" s="66">
        <f>IF(ISBLANK(Calculations!W6),"",Calculations!W6)</f>
        <v>0.51899999999999991</v>
      </c>
      <c r="X18" s="66">
        <f>IF(ISBLANK(Calculations!X6),"",Calculations!X6)</f>
        <v>9.3000000000000013E-2</v>
      </c>
      <c r="Y18" s="66">
        <f>IF(ISBLANK(Calculations!Y6),"",Calculations!Y6)</f>
        <v>9.1000000000000011E-2</v>
      </c>
      <c r="Z18" s="66">
        <f>IF(ISBLANK(Calculations!Z6),"",Calculations!Z6)</f>
        <v>0.27300000000000002</v>
      </c>
      <c r="AA18" s="66">
        <f>IF(ISBLANK(Calculations!AA6),"",Calculations!AA6)</f>
        <v>1.762</v>
      </c>
      <c r="AB18" s="66">
        <f>IF(ISBLANK(Calculations!AB6),"",Calculations!AB6)</f>
        <v>0.59399999999999997</v>
      </c>
      <c r="AC18" s="66">
        <f>IF(ISBLANK(Calculations!AC6),"",Calculations!AC6)</f>
        <v>0.46</v>
      </c>
      <c r="AD18" s="66">
        <f>IF(ISBLANK(Calculations!AD6),"",Calculations!AD6)</f>
        <v>0.28999999999999998</v>
      </c>
      <c r="AE18" s="66">
        <f>IF(ISBLANK(Calculations!AE6),"",Calculations!AE6)</f>
        <v>1.3999999999999999E-2</v>
      </c>
      <c r="AF18" s="66">
        <f>IF(ISBLANK(Calculations!AF6),"",Calculations!AF6)</f>
        <v>8.0000000000000002E-3</v>
      </c>
      <c r="AG18" s="66">
        <f>IF(ISBLANK(Calculations!AG6),"",Calculations!AG6)</f>
        <v>9.0000000000000011E-3</v>
      </c>
      <c r="AH18" s="66">
        <f>IF(ISBLANK(Calculations!AH6),"",Calculations!AH6)</f>
        <v>6.9999999999999993E-3</v>
      </c>
      <c r="AI18" s="66">
        <f>IF(ISBLANK(Calculations!AI6),"",Calculations!AI6)</f>
        <v>6.9999999999999993E-3</v>
      </c>
      <c r="AJ18" s="66">
        <f>IF(ISBLANK(Calculations!AJ6),"",Calculations!AJ6)</f>
        <v>8.0000000000000002E-3</v>
      </c>
      <c r="AK18" s="66">
        <f>IF(ISBLANK(Calculations!AK6),"",Calculations!AK6)</f>
        <v>2.9999999999999957E-3</v>
      </c>
      <c r="AL18" s="66">
        <f>IF(ISBLANK(Calculations!AL6),"",Calculations!AL6)</f>
        <v>1.0000000000000002E-2</v>
      </c>
      <c r="AM18" s="66">
        <f>IF(ISBLANK(Calculations!AM6),"",Calculations!AM6)</f>
        <v>5.9999999999999984E-3</v>
      </c>
      <c r="AN18" s="66">
        <f>IF(ISBLANK(Calculations!AN6),"",Calculations!AN6)</f>
        <v>8.0000000000000002E-3</v>
      </c>
      <c r="AO18" s="66">
        <f>IF(ISBLANK(Calculations!AO6),"",Calculations!AO6)</f>
        <v>5.9999999999999984E-3</v>
      </c>
      <c r="AP18" s="66">
        <f>IF(ISBLANK(Calculations!AP6),"",Calculations!AP6)</f>
        <v>9.000000000000008E-3</v>
      </c>
      <c r="AQ18" s="66">
        <f>IF(ISBLANK(Calculations!AQ6),"",Calculations!AQ6)</f>
        <v>8.0000000000000002E-3</v>
      </c>
      <c r="AR18" s="66">
        <f>IF(ISBLANK(Calculations!AR6),"",Calculations!AR6)</f>
        <v>8.0000000000000002E-3</v>
      </c>
      <c r="AS18" s="66">
        <f>IF(ISBLANK(Calculations!AS6),"",Calculations!AS6)</f>
        <v>0.20300000000000001</v>
      </c>
      <c r="AT18" s="66">
        <f>IF(ISBLANK(Calculations!AT6),"",Calculations!AT6)</f>
        <v>0.22200000000000003</v>
      </c>
      <c r="AU18" s="66">
        <f>IF(ISBLANK(Calculations!AU6),"",Calculations!AU6)</f>
        <v>0.59099999999999997</v>
      </c>
      <c r="AV18" s="66">
        <f>IF(ISBLANK(Calculations!AV6),"",Calculations!AV6)</f>
        <v>8.8999999999999996E-2</v>
      </c>
      <c r="AW18" s="66">
        <f>IF(ISBLANK(Calculations!AW6),"",Calculations!AW6)</f>
        <v>0.09</v>
      </c>
    </row>
    <row r="19" spans="1:49" s="12" customFormat="1" ht="20.100000000000001" customHeight="1" x14ac:dyDescent="0.25">
      <c r="A19" s="102" t="s">
        <v>25</v>
      </c>
      <c r="B19" s="66">
        <f>IF(ISBLANK(Calculations!B7),"",Calculations!B7)</f>
        <v>0.11599999999999996</v>
      </c>
      <c r="C19" s="423">
        <f>IF(ISBLANK(Calculations!C7),"",Calculations!C7)</f>
        <v>9.1999999999999998E-2</v>
      </c>
      <c r="D19" s="66">
        <f>IF(ISBLANK(Calculations!D7),"",Calculations!D7)</f>
        <v>0.504</v>
      </c>
      <c r="E19" s="66">
        <f>IF(ISBLANK(Calculations!E7),"",Calculations!E7)</f>
        <v>0.53699999999999992</v>
      </c>
      <c r="F19" s="66">
        <f>IF(ISBLANK(Calculations!F7),"",Calculations!F7)</f>
        <v>0.47500000000000003</v>
      </c>
      <c r="G19" s="66">
        <f>IF(ISBLANK(Calculations!G7),"",Calculations!G7)</f>
        <v>0.47400000000000003</v>
      </c>
      <c r="H19" s="66">
        <f>IF(ISBLANK(Calculations!H7),"",Calculations!H7)</f>
        <v>0.22300000000000003</v>
      </c>
      <c r="I19" s="66">
        <f>IF(ISBLANK(Calculations!I7),"",Calculations!I7)</f>
        <v>0.22499999999999998</v>
      </c>
      <c r="J19" s="66">
        <f>IF(ISBLANK(Calculations!J7),"",Calculations!J7)</f>
        <v>0.26300000000000001</v>
      </c>
      <c r="K19" s="66">
        <f>IF(ISBLANK(Calculations!K7),"",Calculations!K7)</f>
        <v>0.26200000000000001</v>
      </c>
      <c r="L19" s="66">
        <f>IF(ISBLANK(Calculations!L7),"",Calculations!L7)</f>
        <v>0.372</v>
      </c>
      <c r="M19" s="66">
        <f>IF(ISBLANK(Calculations!M7),"",Calculations!M7)</f>
        <v>0.64999999999999991</v>
      </c>
      <c r="N19" s="66">
        <f>IF(ISBLANK(Calculations!N7),"",Calculations!N7)</f>
        <v>0.55699999999999994</v>
      </c>
      <c r="O19" s="66">
        <f>IF(ISBLANK(Calculations!O7),"",Calculations!O7)</f>
        <v>0.26200000000000001</v>
      </c>
      <c r="P19" s="66">
        <f>IF(ISBLANK(Calculations!P7),"",Calculations!P7)</f>
        <v>0.26100000000000001</v>
      </c>
      <c r="Q19" s="66">
        <f>IF(ISBLANK(Calculations!Q7),"",Calculations!Q7)</f>
        <v>0.23299999999999998</v>
      </c>
      <c r="R19" s="66">
        <f>IF(ISBLANK(Calculations!R7),"",Calculations!R7)</f>
        <v>0.21900000000000003</v>
      </c>
      <c r="S19" s="66">
        <f>IF(ISBLANK(Calculations!S7),"",Calculations!S7)</f>
        <v>0.22799999999999998</v>
      </c>
      <c r="T19" s="66">
        <f>IF(ISBLANK(Calculations!T7),"",Calculations!T7)</f>
        <v>0.47000000000000003</v>
      </c>
      <c r="U19" s="66">
        <f>IF(ISBLANK(Calculations!U7),"",Calculations!U7)</f>
        <v>0.47500000000000003</v>
      </c>
      <c r="V19" s="66">
        <f>IF(ISBLANK(Calculations!V7),"",Calculations!V7)</f>
        <v>0.53999999999999992</v>
      </c>
      <c r="W19" s="66">
        <f>IF(ISBLANK(Calculations!W7),"",Calculations!W7)</f>
        <v>0.49700000000000005</v>
      </c>
      <c r="X19" s="66">
        <f>IF(ISBLANK(Calculations!X7),"",Calculations!X7)</f>
        <v>1.81</v>
      </c>
      <c r="Y19" s="66">
        <f>IF(ISBLANK(Calculations!Y7),"",Calculations!Y7)</f>
        <v>0.27600000000000002</v>
      </c>
      <c r="Z19" s="66">
        <f>IF(ISBLANK(Calculations!Z7),"",Calculations!Z7)</f>
        <v>9.6000000000000002E-2</v>
      </c>
      <c r="AA19" s="66">
        <f>IF(ISBLANK(Calculations!AA7),"",Calculations!AA7)</f>
        <v>9.2000000000000012E-2</v>
      </c>
      <c r="AB19" s="66">
        <f>IF(ISBLANK(Calculations!AB7),"",Calculations!AB7)</f>
        <v>0.61199999999999999</v>
      </c>
      <c r="AC19" s="66">
        <f>IF(ISBLANK(Calculations!AC7),"",Calculations!AC7)</f>
        <v>0.248</v>
      </c>
      <c r="AD19" s="66">
        <f>IF(ISBLANK(Calculations!AD7),"",Calculations!AD7)</f>
        <v>0.21900000000000003</v>
      </c>
      <c r="AE19" s="66">
        <f>IF(ISBLANK(Calculations!AE7),"",Calculations!AE7)</f>
        <v>1.7000000000000008E-2</v>
      </c>
      <c r="AF19" s="66">
        <f>IF(ISBLANK(Calculations!AF7),"",Calculations!AF7)</f>
        <v>1.1000000000000003E-2</v>
      </c>
      <c r="AG19" s="66">
        <f>IF(ISBLANK(Calculations!AG7),"",Calculations!AG7)</f>
        <v>1.3999999999999999E-2</v>
      </c>
      <c r="AH19" s="66">
        <f>IF(ISBLANK(Calculations!AH7),"",Calculations!AH7)</f>
        <v>8.0000000000000002E-3</v>
      </c>
      <c r="AI19" s="66">
        <f>IF(ISBLANK(Calculations!AI7),"",Calculations!AI7)</f>
        <v>2.1999999999999992E-2</v>
      </c>
      <c r="AJ19" s="66">
        <f>IF(ISBLANK(Calculations!AJ7),"",Calculations!AJ7)</f>
        <v>1.0000000000000002E-2</v>
      </c>
      <c r="AK19" s="66">
        <f>IF(ISBLANK(Calculations!AK7),"",Calculations!AK7)</f>
        <v>1.4000000000000005E-2</v>
      </c>
      <c r="AL19" s="66">
        <f>IF(ISBLANK(Calculations!AL7),"",Calculations!AL7)</f>
        <v>1.1999999999999997E-2</v>
      </c>
      <c r="AM19" s="66">
        <f>IF(ISBLANK(Calculations!AM7),"",Calculations!AM7)</f>
        <v>5.9999999999999984E-3</v>
      </c>
      <c r="AN19" s="66">
        <f>IF(ISBLANK(Calculations!AN7),"",Calculations!AN7)</f>
        <v>6.0000000000000053E-3</v>
      </c>
      <c r="AO19" s="66">
        <f>IF(ISBLANK(Calculations!AO7),"",Calculations!AO7)</f>
        <v>6.9999999999999993E-3</v>
      </c>
      <c r="AP19" s="66">
        <f>IF(ISBLANK(Calculations!AP7),"",Calculations!AP7)</f>
        <v>1.0999999999999996E-2</v>
      </c>
      <c r="AQ19" s="66">
        <f>IF(ISBLANK(Calculations!AQ7),"",Calculations!AQ7)</f>
        <v>8.0000000000000071E-3</v>
      </c>
      <c r="AR19" s="66">
        <f>IF(ISBLANK(Calculations!AR7),"",Calculations!AR7)</f>
        <v>8.0000000000000002E-3</v>
      </c>
      <c r="AS19" s="66">
        <f>IF(ISBLANK(Calculations!AS7),"",Calculations!AS7)</f>
        <v>0.28100000000000003</v>
      </c>
      <c r="AT19" s="66">
        <f>IF(ISBLANK(Calculations!AT7),"",Calculations!AT7)</f>
        <v>0.44500000000000001</v>
      </c>
      <c r="AU19" s="66">
        <f>IF(ISBLANK(Calculations!AU7),"",Calculations!AU7)</f>
        <v>0.60199999999999998</v>
      </c>
      <c r="AV19" s="66">
        <f>IF(ISBLANK(Calculations!AV7),"",Calculations!AV7)</f>
        <v>1.78</v>
      </c>
      <c r="AW19" s="66">
        <f>IF(ISBLANK(Calculations!AW7),"",Calculations!AW7)</f>
        <v>0.27500000000000002</v>
      </c>
    </row>
    <row r="20" spans="1:49" s="12" customFormat="1" ht="20.100000000000001" customHeight="1" x14ac:dyDescent="0.25">
      <c r="A20" s="102" t="s">
        <v>26</v>
      </c>
      <c r="B20" s="66">
        <f>IF(ISBLANK(Calculations!B8),"",Calculations!B8)</f>
        <v>3.6999999999999998E-2</v>
      </c>
      <c r="C20" s="423">
        <f>IF(ISBLANK(Calculations!C8),"",Calculations!C8)</f>
        <v>9.2999999999999985E-2</v>
      </c>
      <c r="D20" s="66">
        <f>IF(ISBLANK(Calculations!D8),"",Calculations!D8)</f>
        <v>0.5169999999999999</v>
      </c>
      <c r="E20" s="66">
        <f>IF(ISBLANK(Calculations!E8),"",Calculations!E8)</f>
        <v>0.52399999999999991</v>
      </c>
      <c r="F20" s="66">
        <f>IF(ISBLANK(Calculations!F8),"",Calculations!F8)</f>
        <v>0.40500000000000003</v>
      </c>
      <c r="G20" s="66">
        <f>IF(ISBLANK(Calculations!G8),"",Calculations!G8)</f>
        <v>0.44900000000000001</v>
      </c>
      <c r="H20" s="66">
        <f>IF(ISBLANK(Calculations!H8),"",Calculations!H8)</f>
        <v>0.21399999999999997</v>
      </c>
      <c r="I20" s="66">
        <f>IF(ISBLANK(Calculations!I8),"",Calculations!I8)</f>
        <v>0.19600000000000001</v>
      </c>
      <c r="J20" s="66">
        <f>IF(ISBLANK(Calculations!J8),"",Calculations!J8)</f>
        <v>0.26800000000000002</v>
      </c>
      <c r="K20" s="66">
        <f>IF(ISBLANK(Calculations!K8),"",Calculations!K8)</f>
        <v>0.248</v>
      </c>
      <c r="L20" s="66">
        <f>IF(ISBLANK(Calculations!L8),"",Calculations!L8)</f>
        <v>0.27100000000000002</v>
      </c>
      <c r="M20" s="66">
        <f>IF(ISBLANK(Calculations!M8),"",Calculations!M8)</f>
        <v>0.50800000000000001</v>
      </c>
      <c r="N20" s="66">
        <f>IF(ISBLANK(Calculations!N8),"",Calculations!N8)</f>
        <v>0.59600000000000009</v>
      </c>
      <c r="O20" s="66">
        <f>IF(ISBLANK(Calculations!O8),"",Calculations!O8)</f>
        <v>0.26500000000000001</v>
      </c>
      <c r="P20" s="66">
        <f>IF(ISBLANK(Calculations!P8),"",Calculations!P8)</f>
        <v>0.28200000000000003</v>
      </c>
      <c r="Q20" s="66">
        <f>IF(ISBLANK(Calculations!Q8),"",Calculations!Q8)</f>
        <v>0.22499999999999998</v>
      </c>
      <c r="R20" s="66">
        <f>IF(ISBLANK(Calculations!R8),"",Calculations!R8)</f>
        <v>0.23499999999999999</v>
      </c>
      <c r="S20" s="66">
        <f>IF(ISBLANK(Calculations!S8),"",Calculations!S8)</f>
        <v>0.21900000000000003</v>
      </c>
      <c r="T20" s="66">
        <f>IF(ISBLANK(Calculations!T8),"",Calculations!T8)</f>
        <v>0.40800000000000003</v>
      </c>
      <c r="U20" s="66">
        <f>IF(ISBLANK(Calculations!U8),"",Calculations!U8)</f>
        <v>0.40500000000000003</v>
      </c>
      <c r="V20" s="66">
        <f>IF(ISBLANK(Calculations!V8),"",Calculations!V8)</f>
        <v>0.56199999999999994</v>
      </c>
      <c r="W20" s="66">
        <f>IF(ISBLANK(Calculations!W8),"",Calculations!W8)</f>
        <v>0.49800000000000005</v>
      </c>
      <c r="X20" s="66">
        <f>IF(ISBLANK(Calculations!X8),"",Calculations!X8)</f>
        <v>1.8130000000000002</v>
      </c>
      <c r="Y20" s="66">
        <f>IF(ISBLANK(Calculations!Y8),"",Calculations!Y8)</f>
        <v>0.752</v>
      </c>
      <c r="Z20" s="66">
        <f>IF(ISBLANK(Calculations!Z8),"",Calculations!Z8)</f>
        <v>3.5000000000000003E-2</v>
      </c>
      <c r="AA20" s="66">
        <f>IF(ISBLANK(Calculations!AA8),"",Calculations!AA8)</f>
        <v>9.4999999999999987E-2</v>
      </c>
      <c r="AB20" s="66">
        <f>IF(ISBLANK(Calculations!AB8),"",Calculations!AB8)</f>
        <v>0.61099999999999999</v>
      </c>
      <c r="AC20" s="66">
        <f>IF(ISBLANK(Calculations!AC8),"",Calculations!AC8)</f>
        <v>0.48700000000000004</v>
      </c>
      <c r="AD20" s="66">
        <f>IF(ISBLANK(Calculations!AD8),"",Calculations!AD8)</f>
        <v>0.27100000000000002</v>
      </c>
      <c r="AE20" s="66">
        <f>IF(ISBLANK(Calculations!AE8),"",Calculations!AE8)</f>
        <v>1.7999999999999995E-2</v>
      </c>
      <c r="AF20" s="66">
        <f>IF(ISBLANK(Calculations!AF8),"",Calculations!AF8)</f>
        <v>1.3999999999999999E-2</v>
      </c>
      <c r="AG20" s="66">
        <f>IF(ISBLANK(Calculations!AG8),"",Calculations!AG8)</f>
        <v>1.1000000000000003E-2</v>
      </c>
      <c r="AH20" s="66">
        <f>IF(ISBLANK(Calculations!AH8),"",Calculations!AH8)</f>
        <v>9.0000000000000011E-3</v>
      </c>
      <c r="AI20" s="66">
        <f>IF(ISBLANK(Calculations!AI8),"",Calculations!AI8)</f>
        <v>8.0000000000000002E-3</v>
      </c>
      <c r="AJ20" s="66">
        <f>IF(ISBLANK(Calculations!AJ8),"",Calculations!AJ8)</f>
        <v>8.0000000000000002E-3</v>
      </c>
      <c r="AK20" s="66">
        <f>IF(ISBLANK(Calculations!AK8),"",Calculations!AK8)</f>
        <v>5.9999999999999984E-3</v>
      </c>
      <c r="AL20" s="66">
        <f>IF(ISBLANK(Calculations!AL8),"",Calculations!AL8)</f>
        <v>9.0000000000000011E-3</v>
      </c>
      <c r="AM20" s="66">
        <f>IF(ISBLANK(Calculations!AM8),"",Calculations!AM8)</f>
        <v>4.9999999999999975E-3</v>
      </c>
      <c r="AN20" s="66">
        <f>IF(ISBLANK(Calculations!AN8),"",Calculations!AN8)</f>
        <v>5.9999999999999984E-3</v>
      </c>
      <c r="AO20" s="66">
        <f>IF(ISBLANK(Calculations!AO8),"",Calculations!AO8)</f>
        <v>6.0000000000000053E-3</v>
      </c>
      <c r="AP20" s="66">
        <f>IF(ISBLANK(Calculations!AP8),"",Calculations!AP8)</f>
        <v>8.0000000000000002E-3</v>
      </c>
      <c r="AQ20" s="66">
        <f>IF(ISBLANK(Calculations!AQ8),"",Calculations!AQ8)</f>
        <v>6.0000000000000053E-3</v>
      </c>
      <c r="AR20" s="66">
        <f>IF(ISBLANK(Calculations!AR8),"",Calculations!AR8)</f>
        <v>0.16799999999999998</v>
      </c>
      <c r="AS20" s="66">
        <f>IF(ISBLANK(Calculations!AS8),"",Calculations!AS8)</f>
        <v>0.28200000000000003</v>
      </c>
      <c r="AT20" s="66">
        <f>IF(ISBLANK(Calculations!AT8),"",Calculations!AT8)</f>
        <v>0.44400000000000001</v>
      </c>
      <c r="AU20" s="66">
        <f>IF(ISBLANK(Calculations!AU8),"",Calculations!AU8)</f>
        <v>0.59899999999999998</v>
      </c>
      <c r="AV20" s="66">
        <f>IF(ISBLANK(Calculations!AV8),"",Calculations!AV8)</f>
        <v>1.7769999999999999</v>
      </c>
      <c r="AW20" s="66">
        <f>IF(ISBLANK(Calculations!AW8),"",Calculations!AW8)</f>
        <v>0.73299999999999998</v>
      </c>
    </row>
    <row r="21" spans="1:49" s="12" customFormat="1" ht="20.100000000000001" customHeight="1" x14ac:dyDescent="0.25">
      <c r="A21" s="102" t="s">
        <v>27</v>
      </c>
      <c r="B21" s="66">
        <f>IF(ISBLANK(Calculations!B9),"",Calculations!B9)</f>
        <v>1.9000000000000003E-2</v>
      </c>
      <c r="C21" s="423">
        <f>IF(ISBLANK(Calculations!C9),"",Calculations!C9)</f>
        <v>0.55399999999999994</v>
      </c>
      <c r="D21" s="66">
        <f>IF(ISBLANK(Calculations!D9),"",Calculations!D9)</f>
        <v>0.52199999999999991</v>
      </c>
      <c r="E21" s="66">
        <f>IF(ISBLANK(Calculations!E9),"",Calculations!E9)</f>
        <v>0.54399999999999993</v>
      </c>
      <c r="F21" s="66">
        <f>IF(ISBLANK(Calculations!F9),"",Calculations!F9)</f>
        <v>0.43</v>
      </c>
      <c r="G21" s="66">
        <f>IF(ISBLANK(Calculations!G9),"",Calculations!G9)</f>
        <v>0.47000000000000003</v>
      </c>
      <c r="H21" s="66">
        <f>IF(ISBLANK(Calculations!H9),"",Calculations!H9)</f>
        <v>0.22400000000000003</v>
      </c>
      <c r="I21" s="66">
        <f>IF(ISBLANK(Calculations!I9),"",Calculations!I9)</f>
        <v>0.22100000000000003</v>
      </c>
      <c r="J21" s="66">
        <f>IF(ISBLANK(Calculations!J9),"",Calculations!J9)</f>
        <v>0.21500000000000002</v>
      </c>
      <c r="K21" s="66">
        <f>IF(ISBLANK(Calculations!K9),"",Calculations!K9)</f>
        <v>0.22899999999999998</v>
      </c>
      <c r="L21" s="66">
        <f>IF(ISBLANK(Calculations!L9),"",Calculations!L9)</f>
        <v>0.53599999999999992</v>
      </c>
      <c r="M21" s="66">
        <f>IF(ISBLANK(Calculations!M9),"",Calculations!M9)</f>
        <v>0.58199999999999996</v>
      </c>
      <c r="N21" s="66">
        <f>IF(ISBLANK(Calculations!N9),"",Calculations!N9)</f>
        <v>0.64499999999999991</v>
      </c>
      <c r="O21" s="66">
        <f>IF(ISBLANK(Calculations!O9),"",Calculations!O9)</f>
        <v>0.27700000000000002</v>
      </c>
      <c r="P21" s="66">
        <f>IF(ISBLANK(Calculations!P9),"",Calculations!P9)</f>
        <v>0.26200000000000001</v>
      </c>
      <c r="Q21" s="66">
        <f>IF(ISBLANK(Calculations!Q9),"",Calculations!Q9)</f>
        <v>0.22500000000000003</v>
      </c>
      <c r="R21" s="66">
        <f>IF(ISBLANK(Calculations!R9),"",Calculations!R9)</f>
        <v>0.22200000000000003</v>
      </c>
      <c r="S21" s="66">
        <f>IF(ISBLANK(Calculations!S9),"",Calculations!S9)</f>
        <v>0.46500000000000002</v>
      </c>
      <c r="T21" s="66">
        <f>IF(ISBLANK(Calculations!T9),"",Calculations!T9)</f>
        <v>0.47400000000000003</v>
      </c>
      <c r="U21" s="66">
        <f>IF(ISBLANK(Calculations!U9),"",Calculations!U9)</f>
        <v>0.45400000000000001</v>
      </c>
      <c r="V21" s="66">
        <f>IF(ISBLANK(Calculations!V9),"",Calculations!V9)</f>
        <v>0.52899999999999991</v>
      </c>
      <c r="W21" s="66">
        <f>IF(ISBLANK(Calculations!W9),"",Calculations!W9)</f>
        <v>0.52899999999999991</v>
      </c>
      <c r="X21" s="66">
        <f>IF(ISBLANK(Calculations!X9),"",Calculations!X9)</f>
        <v>0.36899999999999999</v>
      </c>
      <c r="Y21" s="66">
        <f>IF(ISBLANK(Calculations!Y9),"",Calculations!Y9)</f>
        <v>1.8340000000000001</v>
      </c>
      <c r="Z21" s="66">
        <f>IF(ISBLANK(Calculations!Z9),"",Calculations!Z9)</f>
        <v>2.1000000000000005E-2</v>
      </c>
      <c r="AA21" s="66">
        <f>IF(ISBLANK(Calculations!AA9),"",Calculations!AA9)</f>
        <v>0.62</v>
      </c>
      <c r="AB21" s="66">
        <f>IF(ISBLANK(Calculations!AB9),"",Calculations!AB9)</f>
        <v>0.51700000000000002</v>
      </c>
      <c r="AC21" s="66">
        <f>IF(ISBLANK(Calculations!AC9),"",Calculations!AC9)</f>
        <v>0.23600000000000004</v>
      </c>
      <c r="AD21" s="66">
        <f>IF(ISBLANK(Calculations!AD9),"",Calculations!AD9)</f>
        <v>0.65199999999999991</v>
      </c>
      <c r="AE21" s="66">
        <f>IF(ISBLANK(Calculations!AE9),"",Calculations!AE9)</f>
        <v>1.6999999999999994E-2</v>
      </c>
      <c r="AF21" s="66">
        <f>IF(ISBLANK(Calculations!AF9),"",Calculations!AF9)</f>
        <v>1.5999999999999993E-2</v>
      </c>
      <c r="AG21" s="66">
        <f>IF(ISBLANK(Calculations!AG9),"",Calculations!AG9)</f>
        <v>1.0000000000000009E-2</v>
      </c>
      <c r="AH21" s="66">
        <f>IF(ISBLANK(Calculations!AH9),"",Calculations!AH9)</f>
        <v>1.0000000000000002E-2</v>
      </c>
      <c r="AI21" s="66">
        <f>IF(ISBLANK(Calculations!AI9),"",Calculations!AI9)</f>
        <v>1.1999999999999997E-2</v>
      </c>
      <c r="AJ21" s="66">
        <f>IF(ISBLANK(Calculations!AJ9),"",Calculations!AJ9)</f>
        <v>1.0000000000000002E-2</v>
      </c>
      <c r="AK21" s="66">
        <f>IF(ISBLANK(Calculations!AK9),"",Calculations!AK9)</f>
        <v>9.0000000000000011E-3</v>
      </c>
      <c r="AL21" s="66">
        <f>IF(ISBLANK(Calculations!AL9),"",Calculations!AL9)</f>
        <v>1.3999999999999999E-2</v>
      </c>
      <c r="AM21" s="66">
        <f>IF(ISBLANK(Calculations!AM9),"",Calculations!AM9)</f>
        <v>6.9999999999999993E-3</v>
      </c>
      <c r="AN21" s="66">
        <f>IF(ISBLANK(Calculations!AN9),"",Calculations!AN9)</f>
        <v>6.9999999999999993E-3</v>
      </c>
      <c r="AO21" s="66">
        <f>IF(ISBLANK(Calculations!AO9),"",Calculations!AO9)</f>
        <v>5.9999999999999984E-3</v>
      </c>
      <c r="AP21" s="66">
        <f>IF(ISBLANK(Calculations!AP9),"",Calculations!AP9)</f>
        <v>8.0000000000000002E-3</v>
      </c>
      <c r="AQ21" s="66">
        <f>IF(ISBLANK(Calculations!AQ9),"",Calculations!AQ9)</f>
        <v>8.0000000000000002E-3</v>
      </c>
      <c r="AR21" s="66">
        <f>IF(ISBLANK(Calculations!AR9),"",Calculations!AR9)</f>
        <v>0.48600000000000004</v>
      </c>
      <c r="AS21" s="66">
        <f>IF(ISBLANK(Calculations!AS9),"",Calculations!AS9)</f>
        <v>0.21900000000000003</v>
      </c>
      <c r="AT21" s="66">
        <f>IF(ISBLANK(Calculations!AT9),"",Calculations!AT9)</f>
        <v>0.49100000000000005</v>
      </c>
      <c r="AU21" s="66">
        <f>IF(ISBLANK(Calculations!AU9),"",Calculations!AU9)</f>
        <v>0.61899999999999999</v>
      </c>
      <c r="AV21" s="66">
        <f>IF(ISBLANK(Calculations!AV9),"",Calculations!AV9)</f>
        <v>0.371</v>
      </c>
      <c r="AW21" s="66">
        <f>IF(ISBLANK(Calculations!AW9),"",Calculations!AW9)</f>
        <v>1.804</v>
      </c>
    </row>
    <row r="22" spans="1:49" ht="20.100000000000001" customHeight="1" x14ac:dyDescent="0.25">
      <c r="A22" s="102" t="s">
        <v>28</v>
      </c>
      <c r="B22" s="66">
        <f>IF(ISBLANK(Calculations!B10),"",Calculations!B10)</f>
        <v>1.2000000000000004E-2</v>
      </c>
      <c r="C22" s="423">
        <f>IF(ISBLANK(Calculations!C10),"",Calculations!C10)</f>
        <v>0.502</v>
      </c>
      <c r="D22" s="66">
        <f>IF(ISBLANK(Calculations!D10),"",Calculations!D10)</f>
        <v>0.52699999999999991</v>
      </c>
      <c r="E22" s="66">
        <f>IF(ISBLANK(Calculations!E10),"",Calculations!E10)</f>
        <v>0.52899999999999991</v>
      </c>
      <c r="F22" s="66">
        <f>IF(ISBLANK(Calculations!F10),"",Calculations!F10)</f>
        <v>0.41500000000000004</v>
      </c>
      <c r="G22" s="66">
        <f>IF(ISBLANK(Calculations!G10),"",Calculations!G10)</f>
        <v>0.44400000000000001</v>
      </c>
      <c r="H22" s="66">
        <f>IF(ISBLANK(Calculations!H10),"",Calculations!H10)</f>
        <v>0.21500000000000002</v>
      </c>
      <c r="I22" s="66">
        <f>IF(ISBLANK(Calculations!I10),"",Calculations!I10)</f>
        <v>0.21400000000000002</v>
      </c>
      <c r="J22" s="66">
        <f>IF(ISBLANK(Calculations!J10),"",Calculations!J10)</f>
        <v>0.26200000000000001</v>
      </c>
      <c r="K22" s="66">
        <f>IF(ISBLANK(Calculations!K10),"",Calculations!K10)</f>
        <v>0.249</v>
      </c>
      <c r="L22" s="66">
        <f>IF(ISBLANK(Calculations!L10),"",Calculations!L10)</f>
        <v>0.57499999999999996</v>
      </c>
      <c r="M22" s="66">
        <f>IF(ISBLANK(Calculations!M10),"",Calculations!M10)</f>
        <v>0.54999999999999993</v>
      </c>
      <c r="N22" s="66">
        <f>IF(ISBLANK(Calculations!N10),"",Calculations!N10)</f>
        <v>0.69300000000000006</v>
      </c>
      <c r="O22" s="66">
        <f>IF(ISBLANK(Calculations!O10),"",Calculations!O10)</f>
        <v>0.29499999999999998</v>
      </c>
      <c r="P22" s="66">
        <f>IF(ISBLANK(Calculations!P10),"",Calculations!P10)</f>
        <v>0.3</v>
      </c>
      <c r="Q22" s="66">
        <f>IF(ISBLANK(Calculations!Q10),"",Calculations!Q10)</f>
        <v>0.23799999999999999</v>
      </c>
      <c r="R22" s="66">
        <f>IF(ISBLANK(Calculations!R10),"",Calculations!R10)</f>
        <v>0.23299999999999998</v>
      </c>
      <c r="S22" s="66">
        <f>IF(ISBLANK(Calculations!S10),"",Calculations!S10)</f>
        <v>0.45200000000000001</v>
      </c>
      <c r="T22" s="66">
        <f>IF(ISBLANK(Calculations!T10),"",Calculations!T10)</f>
        <v>0.50099999999999989</v>
      </c>
      <c r="U22" s="66">
        <f>IF(ISBLANK(Calculations!U10),"",Calculations!U10)</f>
        <v>0.434</v>
      </c>
      <c r="V22" s="66">
        <f>IF(ISBLANK(Calculations!V10),"",Calculations!V10)</f>
        <v>0.55400000000000005</v>
      </c>
      <c r="W22" s="66">
        <f>IF(ISBLANK(Calculations!W10),"",Calculations!W10)</f>
        <v>0.24000000000000005</v>
      </c>
      <c r="X22" s="66">
        <f>IF(ISBLANK(Calculations!X10),"",Calculations!X10)</f>
        <v>0.38900000000000001</v>
      </c>
      <c r="Y22" s="66">
        <f>IF(ISBLANK(Calculations!Y10),"",Calculations!Y10)</f>
        <v>2.68</v>
      </c>
      <c r="Z22" s="66">
        <f>IF(ISBLANK(Calculations!Z10),"",Calculations!Z10)</f>
        <v>1.3999999999999999E-2</v>
      </c>
      <c r="AA22" s="66">
        <f>IF(ISBLANK(Calculations!AA10),"",Calculations!AA10)</f>
        <v>0.41599999999999998</v>
      </c>
      <c r="AB22" s="66">
        <f>IF(ISBLANK(Calculations!AB10),"",Calculations!AB10)</f>
        <v>0.51600000000000001</v>
      </c>
      <c r="AC22" s="66">
        <f>IF(ISBLANK(Calculations!AC10),"",Calculations!AC10)</f>
        <v>0.22700000000000004</v>
      </c>
      <c r="AD22" s="66">
        <f>IF(ISBLANK(Calculations!AD10),"",Calculations!AD10)</f>
        <v>0.67300000000000004</v>
      </c>
      <c r="AE22" s="66">
        <f>IF(ISBLANK(Calculations!AE10),"",Calculations!AE10)</f>
        <v>6.9999999999999993E-3</v>
      </c>
      <c r="AF22" s="66">
        <f>IF(ISBLANK(Calculations!AF10),"",Calculations!AF10)</f>
        <v>9.0000000000000011E-3</v>
      </c>
      <c r="AG22" s="66">
        <f>IF(ISBLANK(Calculations!AG10),"",Calculations!AG10)</f>
        <v>1.1999999999999997E-2</v>
      </c>
      <c r="AH22" s="66">
        <f>IF(ISBLANK(Calculations!AH10),"",Calculations!AH10)</f>
        <v>9.999999999999995E-3</v>
      </c>
      <c r="AI22" s="66">
        <f>IF(ISBLANK(Calculations!AI10),"",Calculations!AI10)</f>
        <v>1.0000000000000002E-2</v>
      </c>
      <c r="AJ22" s="66">
        <f>IF(ISBLANK(Calculations!AJ10),"",Calculations!AJ10)</f>
        <v>1.5000000000000006E-2</v>
      </c>
      <c r="AK22" s="66">
        <f>IF(ISBLANK(Calculations!AK10),"",Calculations!AK10)</f>
        <v>1.1999999999999997E-2</v>
      </c>
      <c r="AL22" s="66">
        <f>IF(ISBLANK(Calculations!AL10),"",Calculations!AL10)</f>
        <v>1.0000000000000002E-2</v>
      </c>
      <c r="AM22" s="66">
        <f>IF(ISBLANK(Calculations!AM10),"",Calculations!AM10)</f>
        <v>6.9999999999999993E-3</v>
      </c>
      <c r="AN22" s="66">
        <f>IF(ISBLANK(Calculations!AN10),"",Calculations!AN10)</f>
        <v>1.0000000000000002E-2</v>
      </c>
      <c r="AO22" s="66">
        <f>IF(ISBLANK(Calculations!AO10),"",Calculations!AO10)</f>
        <v>8.0000000000000002E-3</v>
      </c>
      <c r="AP22" s="66">
        <f>IF(ISBLANK(Calculations!AP10),"",Calculations!AP10)</f>
        <v>8.0000000000000002E-3</v>
      </c>
      <c r="AQ22" s="66">
        <f>IF(ISBLANK(Calculations!AQ10),"",Calculations!AQ10)</f>
        <v>7.0000000000000062E-3</v>
      </c>
      <c r="AR22" s="66">
        <f>IF(ISBLANK(Calculations!AR10),"",Calculations!AR10)</f>
        <v>0.55999999999999994</v>
      </c>
      <c r="AS22" s="66">
        <f>IF(ISBLANK(Calculations!AS10),"",Calculations!AS10)</f>
        <v>0.51500000000000001</v>
      </c>
      <c r="AT22" s="66">
        <f>IF(ISBLANK(Calculations!AT10),"",Calculations!AT10)</f>
        <v>0.41700000000000004</v>
      </c>
      <c r="AU22" s="66">
        <f>IF(ISBLANK(Calculations!AU10),"",Calculations!AU10)</f>
        <v>0.57899999999999996</v>
      </c>
      <c r="AV22" s="66">
        <f>IF(ISBLANK(Calculations!AV10),"",Calculations!AV10)</f>
        <v>0.38900000000000001</v>
      </c>
      <c r="AW22" s="66">
        <f>IF(ISBLANK(Calculations!AW10),"",Calculations!AW10)</f>
        <v>2.6720000000000002</v>
      </c>
    </row>
    <row r="23" spans="1:49" s="5" customFormat="1" ht="20.100000000000001" customHeight="1" x14ac:dyDescent="0.25">
      <c r="A23" s="31"/>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49" ht="20.100000000000001" customHeight="1" x14ac:dyDescent="0.25">
      <c r="A24" s="773"/>
      <c r="B24" s="773"/>
      <c r="C24" s="773"/>
      <c r="D24" s="773"/>
      <c r="E24" s="773"/>
      <c r="F24" s="773"/>
      <c r="G24" s="773"/>
      <c r="H24" s="773"/>
      <c r="I24" s="773"/>
      <c r="J24" s="773"/>
      <c r="K24" s="773"/>
      <c r="L24" s="773"/>
      <c r="M24" s="773"/>
      <c r="N24" s="773"/>
      <c r="O24" s="773"/>
      <c r="P24" s="773"/>
      <c r="Q24" s="773"/>
      <c r="R24" s="773"/>
      <c r="S24" s="773"/>
      <c r="T24" s="773"/>
      <c r="U24" s="773"/>
      <c r="V24" s="773"/>
      <c r="W24" s="773"/>
      <c r="X24" s="773"/>
      <c r="Y24" s="773"/>
      <c r="Z24" s="773"/>
      <c r="AA24" s="773"/>
      <c r="AB24" s="773"/>
      <c r="AC24" s="773"/>
      <c r="AD24" s="773"/>
      <c r="AE24" s="773"/>
      <c r="AF24" s="773"/>
      <c r="AG24" s="773"/>
      <c r="AH24" s="773"/>
      <c r="AI24" s="773"/>
      <c r="AJ24" s="773"/>
      <c r="AK24" s="773"/>
    </row>
    <row r="25" spans="1:49" ht="20.100000000000001" customHeight="1" x14ac:dyDescent="0.25">
      <c r="A25" s="374"/>
      <c r="B25" s="773" t="s">
        <v>154</v>
      </c>
      <c r="C25" s="773"/>
      <c r="D25" s="773"/>
      <c r="E25" s="773"/>
      <c r="F25" s="773"/>
      <c r="G25" s="773"/>
      <c r="H25" s="773"/>
      <c r="I25" s="773"/>
      <c r="J25" s="773"/>
      <c r="K25" s="773"/>
      <c r="L25" s="773"/>
      <c r="M25" s="773"/>
      <c r="N25" s="773" t="s">
        <v>155</v>
      </c>
      <c r="O25" s="773"/>
      <c r="P25" s="773"/>
      <c r="Q25" s="773"/>
      <c r="R25" s="773"/>
      <c r="S25" s="773"/>
      <c r="T25" s="773"/>
      <c r="U25" s="773"/>
      <c r="V25" s="773"/>
      <c r="W25" s="773"/>
      <c r="X25" s="773"/>
      <c r="Y25" s="773"/>
      <c r="Z25" s="773" t="s">
        <v>157</v>
      </c>
      <c r="AA25" s="773"/>
      <c r="AB25" s="773"/>
      <c r="AC25" s="773"/>
      <c r="AD25" s="773"/>
      <c r="AE25" s="773"/>
      <c r="AF25" s="773"/>
      <c r="AG25" s="773"/>
      <c r="AH25" s="773"/>
      <c r="AI25" s="773"/>
      <c r="AJ25" s="773"/>
      <c r="AK25" s="773"/>
      <c r="AL25" s="773" t="s">
        <v>1009</v>
      </c>
      <c r="AM25" s="773"/>
      <c r="AN25" s="773"/>
      <c r="AO25" s="773"/>
      <c r="AP25" s="773"/>
      <c r="AQ25" s="773"/>
      <c r="AR25" s="773"/>
      <c r="AS25" s="773"/>
      <c r="AT25" s="773"/>
      <c r="AU25" s="773"/>
      <c r="AV25" s="773"/>
      <c r="AW25" s="773"/>
    </row>
    <row r="26" spans="1:49" s="41" customFormat="1" ht="20.100000000000001" customHeight="1" x14ac:dyDescent="0.25">
      <c r="A26" s="40" t="s">
        <v>1010</v>
      </c>
      <c r="B26" s="40"/>
      <c r="C26" s="40"/>
      <c r="D26" s="40"/>
      <c r="E26" s="40"/>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row>
    <row r="27" spans="1:49" s="41" customFormat="1" ht="20.100000000000001" customHeight="1" x14ac:dyDescent="0.25">
      <c r="A27" s="19" t="s">
        <v>407</v>
      </c>
      <c r="B27" s="19">
        <v>1</v>
      </c>
      <c r="C27" s="19">
        <v>1</v>
      </c>
      <c r="D27" s="19">
        <v>1</v>
      </c>
      <c r="E27" s="19">
        <v>1</v>
      </c>
      <c r="F27" s="19">
        <v>1</v>
      </c>
      <c r="G27" s="19">
        <v>1</v>
      </c>
      <c r="H27" s="19">
        <v>1</v>
      </c>
      <c r="I27" s="19">
        <v>1</v>
      </c>
      <c r="J27" s="19">
        <v>1</v>
      </c>
      <c r="K27" s="19">
        <v>1</v>
      </c>
      <c r="L27" s="19">
        <v>1</v>
      </c>
      <c r="M27" s="19">
        <v>1</v>
      </c>
      <c r="N27" s="19">
        <v>1</v>
      </c>
      <c r="O27" s="19">
        <v>1</v>
      </c>
      <c r="P27" s="19">
        <v>1</v>
      </c>
      <c r="Q27" s="19">
        <v>1</v>
      </c>
      <c r="R27" s="19">
        <v>1</v>
      </c>
      <c r="S27" s="19">
        <v>1</v>
      </c>
      <c r="T27" s="19">
        <v>1</v>
      </c>
      <c r="U27" s="19">
        <v>1</v>
      </c>
      <c r="V27" s="19">
        <v>1</v>
      </c>
      <c r="W27" s="19">
        <v>1</v>
      </c>
      <c r="X27" s="19">
        <v>1</v>
      </c>
      <c r="Y27" s="19">
        <v>1</v>
      </c>
      <c r="Z27" s="19">
        <v>1</v>
      </c>
      <c r="AA27" s="19">
        <v>1</v>
      </c>
      <c r="AB27" s="19">
        <v>1</v>
      </c>
      <c r="AC27" s="19">
        <v>1</v>
      </c>
      <c r="AD27" s="19">
        <v>1</v>
      </c>
      <c r="AE27" s="19">
        <v>1</v>
      </c>
      <c r="AF27" s="19">
        <v>1</v>
      </c>
      <c r="AG27" s="19">
        <v>1</v>
      </c>
      <c r="AH27" s="19">
        <v>1</v>
      </c>
      <c r="AI27" s="19">
        <v>1</v>
      </c>
      <c r="AJ27" s="19">
        <v>1</v>
      </c>
      <c r="AK27" s="19">
        <v>1</v>
      </c>
      <c r="AL27" s="19">
        <v>1</v>
      </c>
      <c r="AM27" s="19">
        <v>1</v>
      </c>
      <c r="AN27" s="19">
        <v>1</v>
      </c>
      <c r="AO27" s="19">
        <v>1</v>
      </c>
      <c r="AP27" s="19">
        <v>1</v>
      </c>
      <c r="AQ27" s="19">
        <v>1</v>
      </c>
      <c r="AR27" s="19">
        <v>1</v>
      </c>
      <c r="AS27" s="19">
        <v>1</v>
      </c>
      <c r="AT27" s="19">
        <v>1</v>
      </c>
      <c r="AU27" s="19">
        <v>1</v>
      </c>
      <c r="AV27" s="19">
        <v>1</v>
      </c>
      <c r="AW27" s="19">
        <v>1</v>
      </c>
    </row>
    <row r="28" spans="1:49" ht="20.100000000000001" customHeight="1" x14ac:dyDescent="0.25">
      <c r="A28" s="372" t="s">
        <v>21</v>
      </c>
      <c r="B28" s="66">
        <f>Calculations!B129</f>
        <v>964.71885857114819</v>
      </c>
      <c r="C28" s="66">
        <f>Calculations!C129</f>
        <v>55.395353586132316</v>
      </c>
      <c r="D28" s="66">
        <f>Calculations!D129</f>
        <v>31.921253513763681</v>
      </c>
      <c r="E28" s="66">
        <f>Calculations!E129</f>
        <v>82.683419241760177</v>
      </c>
      <c r="F28" s="66">
        <f>Calculations!F129</f>
        <v>66.517732781915669</v>
      </c>
      <c r="G28" s="66">
        <f>Calculations!G129</f>
        <v>65.78274277740185</v>
      </c>
      <c r="H28" s="66">
        <f>Calculations!H129</f>
        <v>71.381889883480142</v>
      </c>
      <c r="I28" s="66">
        <f>Calculations!I129</f>
        <v>34.810905992708015</v>
      </c>
      <c r="J28" s="66">
        <f>Calculations!J129</f>
        <v>33.654994341217964</v>
      </c>
      <c r="K28" s="66">
        <f>Calculations!K129</f>
        <v>39.002574555113561</v>
      </c>
      <c r="L28" s="66">
        <f>Calculations!L129</f>
        <v>41.895662704286352</v>
      </c>
      <c r="M28" s="66">
        <f>Calculations!M129</f>
        <v>93.238364265339612</v>
      </c>
      <c r="N28" s="66">
        <f>Calculations!N129</f>
        <v>84.482134545558438</v>
      </c>
      <c r="O28" s="66">
        <f>Calculations!O129</f>
        <v>80.440809372543583</v>
      </c>
      <c r="P28" s="66">
        <f>Calculations!P129</f>
        <v>36.255986995569643</v>
      </c>
      <c r="Q28" s="66">
        <f>Calculations!Q129</f>
        <v>36.255986995569643</v>
      </c>
      <c r="R28" s="66">
        <f>Calculations!R129</f>
        <v>31.054388001374441</v>
      </c>
      <c r="S28" s="66">
        <f>Calculations!S129</f>
        <v>30.765427429613318</v>
      </c>
      <c r="T28" s="66">
        <f>Calculations!T129</f>
        <v>64.314253894342116</v>
      </c>
      <c r="U28" s="66">
        <f>Calculations!U129</f>
        <v>61.675774139685515</v>
      </c>
      <c r="V28" s="66">
        <f>Calculations!V129</f>
        <v>76.122410545870508</v>
      </c>
      <c r="W28" s="66">
        <f>Calculations!W129</f>
        <v>78.949188599957139</v>
      </c>
      <c r="X28" s="66">
        <f>Calculations!X129</f>
        <v>73.600941977502472</v>
      </c>
      <c r="Y28" s="66">
        <f>Calculations!Y129</f>
        <v>0.33464541743734305</v>
      </c>
      <c r="Z28" s="66">
        <f>Calculations!Z129</f>
        <v>872.01757856902702</v>
      </c>
      <c r="AA28" s="66">
        <f>Calculations!AA129</f>
        <v>56.999163415427368</v>
      </c>
      <c r="AB28" s="66">
        <f>Calculations!AB129</f>
        <v>87.790933111483895</v>
      </c>
      <c r="AC28" s="66">
        <f>Calculations!AC129</f>
        <v>64.167512136214611</v>
      </c>
      <c r="AD28" s="66">
        <f>Calculations!AD129</f>
        <v>77.757820214173961</v>
      </c>
      <c r="AE28" s="66">
        <f>Calculations!AE129</f>
        <v>82.683419241760177</v>
      </c>
      <c r="AF28" s="66" t="e">
        <f>Calculations!AF129</f>
        <v>#VALUE!</v>
      </c>
      <c r="AG28" s="66">
        <f>Calculations!AG129</f>
        <v>1.6552427638263877E-2</v>
      </c>
      <c r="AH28" s="66">
        <f>Calculations!AH129</f>
        <v>1.6552427638262725E-2</v>
      </c>
      <c r="AI28" s="66" t="e">
        <f>Calculations!AI129</f>
        <v>#VALUE!</v>
      </c>
      <c r="AJ28" s="66" t="e">
        <f>Calculations!AJ129</f>
        <v>#VALUE!</v>
      </c>
      <c r="AK28" s="66" t="e">
        <f>Calculations!AK129</f>
        <v>#VALUE!</v>
      </c>
      <c r="AL28" s="66" t="e">
        <f>Calculations!AL129</f>
        <v>#VALUE!</v>
      </c>
      <c r="AM28" s="66" t="e">
        <f>Calculations!AM129</f>
        <v>#VALUE!</v>
      </c>
      <c r="AN28" s="66">
        <f>Calculations!AN129</f>
        <v>1.6552427638263877E-2</v>
      </c>
      <c r="AO28" s="66" t="e">
        <f>Calculations!AO129</f>
        <v>#VALUE!</v>
      </c>
      <c r="AP28" s="66" t="e">
        <f>Calculations!AP129</f>
        <v>#VALUE!</v>
      </c>
      <c r="AQ28" s="66" t="e">
        <f>Calculations!AQ129</f>
        <v>#VALUE!</v>
      </c>
      <c r="AR28" s="66" t="e">
        <f>Calculations!AR129</f>
        <v>#VALUE!</v>
      </c>
      <c r="AS28" s="66">
        <f>Calculations!AS129</f>
        <v>90.358056307030452</v>
      </c>
      <c r="AT28" s="66">
        <f>Calculations!AT129</f>
        <v>32.788114156016725</v>
      </c>
      <c r="AU28" s="66">
        <f>Calculations!AU129</f>
        <v>77.609017513443305</v>
      </c>
      <c r="AV28" s="66">
        <f>Calculations!AV129</f>
        <v>60.212484076989604</v>
      </c>
      <c r="AW28" s="66">
        <f>Calculations!AW129</f>
        <v>0.33464541743734305</v>
      </c>
    </row>
    <row r="29" spans="1:49" ht="20.100000000000001" customHeight="1" x14ac:dyDescent="0.25">
      <c r="A29" s="372" t="s">
        <v>22</v>
      </c>
      <c r="B29" s="66">
        <f>Calculations!B130</f>
        <v>345.49032178858175</v>
      </c>
      <c r="C29" s="66">
        <f>Calculations!C130</f>
        <v>49.432197131166589</v>
      </c>
      <c r="D29" s="66">
        <f>Calculations!D130</f>
        <v>78.949188599957125</v>
      </c>
      <c r="E29" s="66">
        <f>Calculations!E130</f>
        <v>77.311490175235676</v>
      </c>
      <c r="F29" s="66">
        <f>Calculations!F130</f>
        <v>56.561580031216806</v>
      </c>
      <c r="G29" s="66">
        <f>Calculations!G130</f>
        <v>62.40808501550741</v>
      </c>
      <c r="H29" s="66">
        <f>Calculations!H130</f>
        <v>68.873172033464172</v>
      </c>
      <c r="I29" s="66">
        <f>Calculations!I130</f>
        <v>31.343345248280443</v>
      </c>
      <c r="J29" s="66">
        <f>Calculations!J130</f>
        <v>31.776776935741228</v>
      </c>
      <c r="K29" s="66">
        <f>Calculations!K130</f>
        <v>35.677923220981846</v>
      </c>
      <c r="L29" s="66">
        <f>Calculations!L130</f>
        <v>39.870258465615805</v>
      </c>
      <c r="M29" s="66">
        <f>Calculations!M130</f>
        <v>86.887067285695068</v>
      </c>
      <c r="N29" s="66">
        <f>Calculations!N130</f>
        <v>86.736531253539923</v>
      </c>
      <c r="O29" s="66">
        <f>Calculations!O130</f>
        <v>77.162765386054303</v>
      </c>
      <c r="P29" s="66">
        <f>Calculations!P130</f>
        <v>34.377426593632016</v>
      </c>
      <c r="Q29" s="66">
        <f>Calculations!Q130</f>
        <v>28.59801981350012</v>
      </c>
      <c r="R29" s="66">
        <f>Calculations!R130</f>
        <v>30.765427429613318</v>
      </c>
      <c r="S29" s="66">
        <f>Calculations!S130</f>
        <v>29.465038057718775</v>
      </c>
      <c r="T29" s="66">
        <f>Calculations!T130</f>
        <v>62.40808501550741</v>
      </c>
      <c r="U29" s="66">
        <f>Calculations!U130</f>
        <v>62.847690100232896</v>
      </c>
      <c r="V29" s="66">
        <f>Calculations!V130</f>
        <v>77.609017513443305</v>
      </c>
      <c r="W29" s="66">
        <f>Calculations!W130</f>
        <v>75.231665068185848</v>
      </c>
      <c r="X29" s="66">
        <f>Calculations!X130</f>
        <v>76.716745628395117</v>
      </c>
      <c r="Y29" s="66">
        <f>Calculations!Y130</f>
        <v>0.79943837504430948</v>
      </c>
      <c r="Z29" s="66">
        <f>Calculations!Z130</f>
        <v>347.0893201575002</v>
      </c>
      <c r="AA29" s="66">
        <f>Calculations!AA130</f>
        <v>52.920166929635492</v>
      </c>
      <c r="AB29" s="66">
        <f>Calculations!AB130</f>
        <v>85.383080361526325</v>
      </c>
      <c r="AC29" s="66">
        <f>Calculations!AC130</f>
        <v>71.086410667312975</v>
      </c>
      <c r="AD29" s="66">
        <f>Calculations!AD130</f>
        <v>31.921253513763681</v>
      </c>
      <c r="AE29" s="66">
        <f>Calculations!AE130</f>
        <v>71.529663763648998</v>
      </c>
      <c r="AF29" s="66">
        <f>Calculations!AF130</f>
        <v>1.6552427638263877E-2</v>
      </c>
      <c r="AG29" s="66" t="e">
        <f>Calculations!AG130</f>
        <v>#VALUE!</v>
      </c>
      <c r="AH29" s="66" t="e">
        <f>Calculations!AH130</f>
        <v>#VALUE!</v>
      </c>
      <c r="AI29" s="66" t="e">
        <f>Calculations!AI130</f>
        <v>#VALUE!</v>
      </c>
      <c r="AJ29" s="66" t="e">
        <f>Calculations!AJ130</f>
        <v>#VALUE!</v>
      </c>
      <c r="AK29" s="66" t="e">
        <f>Calculations!AK130</f>
        <v>#VALUE!</v>
      </c>
      <c r="AL29" s="66">
        <f>Calculations!AL130</f>
        <v>1.6552427638263877E-2</v>
      </c>
      <c r="AM29" s="66">
        <f>Calculations!AM130</f>
        <v>0.1773198067525851</v>
      </c>
      <c r="AN29" s="66" t="e">
        <f>Calculations!AN130</f>
        <v>#VALUE!</v>
      </c>
      <c r="AO29" s="66">
        <f>Calculations!AO130</f>
        <v>0.33464541743734305</v>
      </c>
      <c r="AP29" s="66">
        <f>Calculations!AP130</f>
        <v>1.1060166416540134</v>
      </c>
      <c r="AQ29" s="66">
        <f>Calculations!AQ130</f>
        <v>2.6196405224279293</v>
      </c>
      <c r="AR29" s="66" t="e">
        <f>Calculations!AR130</f>
        <v>#VALUE!</v>
      </c>
      <c r="AS29" s="66">
        <f>Calculations!AS130</f>
        <v>86.134693619155414</v>
      </c>
      <c r="AT29" s="66">
        <f>Calculations!AT130</f>
        <v>34.088449215190153</v>
      </c>
      <c r="AU29" s="66">
        <f>Calculations!AU130</f>
        <v>70.495724301880941</v>
      </c>
      <c r="AV29" s="66">
        <f>Calculations!AV130</f>
        <v>93.39029580586174</v>
      </c>
      <c r="AW29" s="66">
        <f>Calculations!AW130</f>
        <v>0.95297014171901717</v>
      </c>
    </row>
    <row r="30" spans="1:49" ht="20.100000000000001" customHeight="1" x14ac:dyDescent="0.25">
      <c r="A30" s="372" t="s">
        <v>23</v>
      </c>
      <c r="B30" s="66">
        <f>Calculations!B131</f>
        <v>105.66254343028558</v>
      </c>
      <c r="C30" s="66">
        <f>Calculations!C131</f>
        <v>323.15727564060643</v>
      </c>
      <c r="D30" s="66">
        <f>Calculations!D131</f>
        <v>72.41679160154554</v>
      </c>
      <c r="E30" s="66">
        <f>Calculations!E131</f>
        <v>81.187645949640739</v>
      </c>
      <c r="F30" s="66">
        <f>Calculations!F131</f>
        <v>54.521297609255392</v>
      </c>
      <c r="G30" s="66">
        <f>Calculations!G131</f>
        <v>59.627651662758019</v>
      </c>
      <c r="H30" s="66">
        <f>Calculations!H131</f>
        <v>32.354682902209575</v>
      </c>
      <c r="I30" s="66">
        <f>Calculations!I131</f>
        <v>30.620945600970369</v>
      </c>
      <c r="J30" s="66">
        <f>Calculations!J131</f>
        <v>31.632300109166327</v>
      </c>
      <c r="K30" s="66">
        <f>Calculations!K131</f>
        <v>38.279641883769209</v>
      </c>
      <c r="L30" s="66">
        <f>Calculations!L131</f>
        <v>37.990500845265196</v>
      </c>
      <c r="M30" s="66">
        <f>Calculations!M131</f>
        <v>85.984310445467443</v>
      </c>
      <c r="N30" s="66">
        <f>Calculations!N131</f>
        <v>82.384037913854812</v>
      </c>
      <c r="O30" s="66">
        <f>Calculations!O131</f>
        <v>36.689566938198595</v>
      </c>
      <c r="P30" s="66">
        <f>Calculations!P131</f>
        <v>36.545037029753765</v>
      </c>
      <c r="Q30" s="66">
        <f>Calculations!Q131</f>
        <v>37.845936802158512</v>
      </c>
      <c r="R30" s="66">
        <f>Calculations!R131</f>
        <v>28.308991671707691</v>
      </c>
      <c r="S30" s="66">
        <f>Calculations!S131</f>
        <v>28.453507271563087</v>
      </c>
      <c r="T30" s="66">
        <f>Calculations!T131</f>
        <v>63.727401610355784</v>
      </c>
      <c r="U30" s="66">
        <f>Calculations!U131</f>
        <v>58.458788886742383</v>
      </c>
      <c r="V30" s="66">
        <f>Calculations!V131</f>
        <v>75.528480081633546</v>
      </c>
      <c r="W30" s="66">
        <f>Calculations!W131</f>
        <v>76.122410545870508</v>
      </c>
      <c r="X30" s="66">
        <f>Calculations!X131</f>
        <v>12.794037042698385</v>
      </c>
      <c r="Y30" s="66">
        <f>Calculations!Y131</f>
        <v>4.1153122799283022</v>
      </c>
      <c r="Z30" s="66">
        <f>Calculations!Z131</f>
        <v>111.11124477957884</v>
      </c>
      <c r="AA30" s="66">
        <f>Calculations!AA131</f>
        <v>325.51738785604988</v>
      </c>
      <c r="AB30" s="66">
        <f>Calculations!AB131</f>
        <v>91.569351456654076</v>
      </c>
      <c r="AC30" s="66">
        <f>Calculations!AC131</f>
        <v>65.929700460567361</v>
      </c>
      <c r="AD30" s="66">
        <f>Calculations!AD131</f>
        <v>34.810905992708015</v>
      </c>
      <c r="AE30" s="66">
        <f>Calculations!AE131</f>
        <v>25.99621724612312</v>
      </c>
      <c r="AF30" s="66">
        <f>Calculations!AF131</f>
        <v>0.79943837504430848</v>
      </c>
      <c r="AG30" s="66">
        <f>Calculations!AG131</f>
        <v>0.1773198067525851</v>
      </c>
      <c r="AH30" s="66">
        <f>Calculations!AH131</f>
        <v>0.95297014171901839</v>
      </c>
      <c r="AI30" s="66" t="e">
        <f>Calculations!AI131</f>
        <v>#VALUE!</v>
      </c>
      <c r="AJ30" s="66" t="e">
        <f>Calculations!AJ131</f>
        <v>#VALUE!</v>
      </c>
      <c r="AK30" s="66" t="e">
        <f>Calculations!AK131</f>
        <v>#VALUE!</v>
      </c>
      <c r="AL30" s="66">
        <f>Calculations!AL131</f>
        <v>0.1773198067525851</v>
      </c>
      <c r="AM30" s="66" t="e">
        <f>Calculations!AM131</f>
        <v>#VALUE!</v>
      </c>
      <c r="AN30" s="66" t="e">
        <f>Calculations!AN131</f>
        <v>#VALUE!</v>
      </c>
      <c r="AO30" s="66" t="e">
        <f>Calculations!AO131</f>
        <v>#VALUE!</v>
      </c>
      <c r="AP30" s="66">
        <f>Calculations!AP131</f>
        <v>0.1773198067525851</v>
      </c>
      <c r="AQ30" s="66" t="e">
        <f>Calculations!AQ131</f>
        <v>#VALUE!</v>
      </c>
      <c r="AR30" s="66" t="e">
        <f>Calculations!AR131</f>
        <v>#VALUE!</v>
      </c>
      <c r="AS30" s="66">
        <f>Calculations!AS131</f>
        <v>35.38890784643506</v>
      </c>
      <c r="AT30" s="66">
        <f>Calculations!AT131</f>
        <v>63.434089458599452</v>
      </c>
      <c r="AU30" s="66">
        <f>Calculations!AU131</f>
        <v>86.887067285695068</v>
      </c>
      <c r="AV30" s="66">
        <f>Calculations!AV131</f>
        <v>11.772089866971736</v>
      </c>
      <c r="AW30" s="66">
        <f>Calculations!AW131</f>
        <v>3.3690998749626382</v>
      </c>
    </row>
    <row r="31" spans="1:49" ht="20.100000000000001" customHeight="1" x14ac:dyDescent="0.25">
      <c r="A31" s="372" t="s">
        <v>24</v>
      </c>
      <c r="B31" s="66">
        <f>Calculations!B132</f>
        <v>36.255986995569643</v>
      </c>
      <c r="C31" s="66">
        <f>Calculations!C132</f>
        <v>296.3067396937023</v>
      </c>
      <c r="D31" s="66">
        <f>Calculations!D132</f>
        <v>71.086410667312975</v>
      </c>
      <c r="E31" s="66">
        <f>Calculations!E132</f>
        <v>78.353292998802999</v>
      </c>
      <c r="F31" s="66">
        <f>Calculations!F132</f>
        <v>63.287461614754861</v>
      </c>
      <c r="G31" s="66">
        <f>Calculations!G132</f>
        <v>65.048252965808459</v>
      </c>
      <c r="H31" s="66">
        <f>Calculations!H132</f>
        <v>31.487822918657422</v>
      </c>
      <c r="I31" s="66">
        <f>Calculations!I132</f>
        <v>29.754025467508455</v>
      </c>
      <c r="J31" s="66">
        <f>Calculations!J132</f>
        <v>32.354682902209589</v>
      </c>
      <c r="K31" s="66">
        <f>Calculations!K132</f>
        <v>35.24440392696517</v>
      </c>
      <c r="L31" s="66">
        <f>Calculations!L132</f>
        <v>39.147175586141501</v>
      </c>
      <c r="M31" s="66">
        <f>Calculations!M132</f>
        <v>80.291524839052371</v>
      </c>
      <c r="N31" s="66">
        <f>Calculations!N132</f>
        <v>82.83315282812012</v>
      </c>
      <c r="O31" s="66">
        <f>Calculations!O132</f>
        <v>37.26772152284321</v>
      </c>
      <c r="P31" s="66">
        <f>Calculations!P132</f>
        <v>37.845936802158512</v>
      </c>
      <c r="Q31" s="66">
        <f>Calculations!Q132</f>
        <v>36.834100241706246</v>
      </c>
      <c r="R31" s="66">
        <f>Calculations!R132</f>
        <v>31.487822918657422</v>
      </c>
      <c r="S31" s="66">
        <f>Calculations!S132</f>
        <v>30.187492509030278</v>
      </c>
      <c r="T31" s="66">
        <f>Calculations!T132</f>
        <v>65.635805101984914</v>
      </c>
      <c r="U31" s="66">
        <f>Calculations!U132</f>
        <v>64.75459497813695</v>
      </c>
      <c r="V31" s="66">
        <f>Calculations!V132</f>
        <v>78.353292998802999</v>
      </c>
      <c r="W31" s="66">
        <f>Calculations!W132</f>
        <v>74.341813645178917</v>
      </c>
      <c r="X31" s="66">
        <f>Calculations!X132</f>
        <v>12.356233268708062</v>
      </c>
      <c r="Y31" s="66">
        <f>Calculations!Y132</f>
        <v>12.064221024322917</v>
      </c>
      <c r="Z31" s="66">
        <f>Calculations!Z132</f>
        <v>38.424219073475605</v>
      </c>
      <c r="AA31" s="66">
        <f>Calculations!AA132</f>
        <v>312.21558503847518</v>
      </c>
      <c r="AB31" s="66">
        <f>Calculations!AB132</f>
        <v>85.533342645982685</v>
      </c>
      <c r="AC31" s="66">
        <f>Calculations!AC132</f>
        <v>65.635805101984914</v>
      </c>
      <c r="AD31" s="66">
        <f>Calculations!AD132</f>
        <v>40.882809246450229</v>
      </c>
      <c r="AE31" s="66">
        <f>Calculations!AE132</f>
        <v>0.6453228117128299</v>
      </c>
      <c r="AF31" s="66" t="e">
        <f>Calculations!AF132</f>
        <v>#VALUE!</v>
      </c>
      <c r="AG31" s="66" t="e">
        <f>Calculations!AG132</f>
        <v>#VALUE!</v>
      </c>
      <c r="AH31" s="66" t="e">
        <f>Calculations!AH132</f>
        <v>#VALUE!</v>
      </c>
      <c r="AI31" s="66" t="e">
        <f>Calculations!AI132</f>
        <v>#VALUE!</v>
      </c>
      <c r="AJ31" s="66" t="e">
        <f>Calculations!AJ132</f>
        <v>#VALUE!</v>
      </c>
      <c r="AK31" s="66" t="e">
        <f>Calculations!AK132</f>
        <v>#VALUE!</v>
      </c>
      <c r="AL31" s="66">
        <f>Calculations!AL132</f>
        <v>1.6552427638263877E-2</v>
      </c>
      <c r="AM31" s="66" t="e">
        <f>Calculations!AM132</f>
        <v>#VALUE!</v>
      </c>
      <c r="AN31" s="66" t="e">
        <f>Calculations!AN132</f>
        <v>#VALUE!</v>
      </c>
      <c r="AO31" s="66" t="e">
        <f>Calculations!AO132</f>
        <v>#VALUE!</v>
      </c>
      <c r="AP31" s="66" t="e">
        <f>Calculations!AP132</f>
        <v>#VALUE!</v>
      </c>
      <c r="AQ31" s="66" t="e">
        <f>Calculations!AQ132</f>
        <v>#VALUE!</v>
      </c>
      <c r="AR31" s="66" t="e">
        <f>Calculations!AR132</f>
        <v>#VALUE!</v>
      </c>
      <c r="AS31" s="66">
        <f>Calculations!AS132</f>
        <v>28.308991671707691</v>
      </c>
      <c r="AT31" s="66">
        <f>Calculations!AT132</f>
        <v>31.054388001374441</v>
      </c>
      <c r="AU31" s="66">
        <f>Calculations!AU132</f>
        <v>85.082645800811221</v>
      </c>
      <c r="AV31" s="66">
        <f>Calculations!AV132</f>
        <v>11.772089866971733</v>
      </c>
      <c r="AW31" s="66">
        <f>Calculations!AW132</f>
        <v>11.918170556799927</v>
      </c>
    </row>
    <row r="32" spans="1:49" ht="20.100000000000001" customHeight="1" x14ac:dyDescent="0.25">
      <c r="A32" s="372" t="s">
        <v>25</v>
      </c>
      <c r="B32" s="66">
        <f>Calculations!B133</f>
        <v>15.70695005026819</v>
      </c>
      <c r="C32" s="66">
        <f>Calculations!C133</f>
        <v>12.210241766319003</v>
      </c>
      <c r="D32" s="66">
        <f>Calculations!D133</f>
        <v>72.120989523245854</v>
      </c>
      <c r="E32" s="66">
        <f>Calculations!E133</f>
        <v>77.014066415718688</v>
      </c>
      <c r="F32" s="66">
        <f>Calculations!F133</f>
        <v>67.842005412573798</v>
      </c>
      <c r="G32" s="66">
        <f>Calculations!G133</f>
        <v>67.694780756702215</v>
      </c>
      <c r="H32" s="66">
        <f>Calculations!H133</f>
        <v>31.19886698154065</v>
      </c>
      <c r="I32" s="66">
        <f>Calculations!I133</f>
        <v>31.487822918657415</v>
      </c>
      <c r="J32" s="66">
        <f>Calculations!J133</f>
        <v>36.978637040468783</v>
      </c>
      <c r="K32" s="66">
        <f>Calculations!K133</f>
        <v>36.834100241706246</v>
      </c>
      <c r="L32" s="66">
        <f>Calculations!L133</f>
        <v>52.774690507334959</v>
      </c>
      <c r="M32" s="66">
        <f>Calculations!M133</f>
        <v>93.998364732533162</v>
      </c>
      <c r="N32" s="66">
        <f>Calculations!N133</f>
        <v>79.993037943248936</v>
      </c>
      <c r="O32" s="66">
        <f>Calculations!O133</f>
        <v>36.834100241706246</v>
      </c>
      <c r="P32" s="66">
        <f>Calculations!P133</f>
        <v>36.689566938198595</v>
      </c>
      <c r="Q32" s="66">
        <f>Calculations!Q133</f>
        <v>32.643636676255007</v>
      </c>
      <c r="R32" s="66">
        <f>Calculations!R133</f>
        <v>30.620945600970376</v>
      </c>
      <c r="S32" s="66">
        <f>Calculations!S133</f>
        <v>31.921253513763677</v>
      </c>
      <c r="T32" s="66">
        <f>Calculations!T133</f>
        <v>67.106091270327866</v>
      </c>
      <c r="U32" s="66">
        <f>Calculations!U133</f>
        <v>67.842005412573798</v>
      </c>
      <c r="V32" s="66">
        <f>Calculations!V133</f>
        <v>77.460240859084664</v>
      </c>
      <c r="W32" s="66">
        <f>Calculations!W133</f>
        <v>71.086410667312975</v>
      </c>
      <c r="X32" s="66">
        <f>Calculations!X133</f>
        <v>326.11060827999569</v>
      </c>
      <c r="Y32" s="66">
        <f>Calculations!Y133</f>
        <v>38.857978484030909</v>
      </c>
      <c r="Z32" s="66">
        <f>Calculations!Z133</f>
        <v>12.794037042698383</v>
      </c>
      <c r="AA32" s="66">
        <f>Calculations!AA133</f>
        <v>12.210241766319005</v>
      </c>
      <c r="AB32" s="66">
        <f>Calculations!AB133</f>
        <v>88.243287155844286</v>
      </c>
      <c r="AC32" s="66">
        <f>Calculations!AC133</f>
        <v>34.810905992708015</v>
      </c>
      <c r="AD32" s="66">
        <f>Calculations!AD133</f>
        <v>30.620945600970376</v>
      </c>
      <c r="AE32" s="66">
        <f>Calculations!AE133</f>
        <v>1.1060166416540134</v>
      </c>
      <c r="AF32" s="66">
        <f>Calculations!AF133</f>
        <v>0.1773198067525851</v>
      </c>
      <c r="AG32" s="66">
        <f>Calculations!AG133</f>
        <v>0.6453228117128299</v>
      </c>
      <c r="AH32" s="66" t="e">
        <f>Calculations!AH133</f>
        <v>#VALUE!</v>
      </c>
      <c r="AI32" s="66">
        <f>Calculations!AI133</f>
        <v>1.8659192735965164</v>
      </c>
      <c r="AJ32" s="66">
        <f>Calculations!AJ133</f>
        <v>1.6552427638263877E-2</v>
      </c>
      <c r="AK32" s="66">
        <f>Calculations!AK133</f>
        <v>0.64532281171283101</v>
      </c>
      <c r="AL32" s="66">
        <f>Calculations!AL133</f>
        <v>0.334645417437342</v>
      </c>
      <c r="AM32" s="66" t="e">
        <f>Calculations!AM133</f>
        <v>#VALUE!</v>
      </c>
      <c r="AN32" s="66" t="e">
        <f>Calculations!AN133</f>
        <v>#VALUE!</v>
      </c>
      <c r="AO32" s="66" t="e">
        <f>Calculations!AO133</f>
        <v>#VALUE!</v>
      </c>
      <c r="AP32" s="66">
        <f>Calculations!AP133</f>
        <v>0.17731980675258402</v>
      </c>
      <c r="AQ32" s="66" t="e">
        <f>Calculations!AQ133</f>
        <v>#VALUE!</v>
      </c>
      <c r="AR32" s="66" t="e">
        <f>Calculations!AR133</f>
        <v>#VALUE!</v>
      </c>
      <c r="AS32" s="66">
        <f>Calculations!AS133</f>
        <v>39.581009390300764</v>
      </c>
      <c r="AT32" s="66">
        <f>Calculations!AT133</f>
        <v>63.434089458599452</v>
      </c>
      <c r="AU32" s="66">
        <f>Calculations!AU133</f>
        <v>86.736531253539923</v>
      </c>
      <c r="AV32" s="66">
        <f>Calculations!AV133</f>
        <v>317.34431639672528</v>
      </c>
      <c r="AW32" s="66">
        <f>Calculations!AW133</f>
        <v>38.713387277337141</v>
      </c>
    </row>
    <row r="33" spans="1:49" ht="20.100000000000001" customHeight="1" x14ac:dyDescent="0.25">
      <c r="A33" s="372" t="s">
        <v>26</v>
      </c>
      <c r="B33" s="66">
        <f>Calculations!B134</f>
        <v>4.1153122799283004</v>
      </c>
      <c r="C33" s="66">
        <f>Calculations!C134</f>
        <v>12.356233268708054</v>
      </c>
      <c r="D33" s="66">
        <f>Calculations!D134</f>
        <v>74.045392362002403</v>
      </c>
      <c r="E33" s="66">
        <f>Calculations!E134</f>
        <v>75.083294851475003</v>
      </c>
      <c r="F33" s="66">
        <f>Calculations!F134</f>
        <v>57.582824197595933</v>
      </c>
      <c r="G33" s="66">
        <f>Calculations!G134</f>
        <v>64.020789553378023</v>
      </c>
      <c r="H33" s="66">
        <f>Calculations!H134</f>
        <v>29.89851623452704</v>
      </c>
      <c r="I33" s="66">
        <f>Calculations!I134</f>
        <v>27.297285793713083</v>
      </c>
      <c r="J33" s="66">
        <f>Calculations!J134</f>
        <v>37.701376946437577</v>
      </c>
      <c r="K33" s="66">
        <f>Calculations!K134</f>
        <v>34.810905992708015</v>
      </c>
      <c r="L33" s="66">
        <f>Calculations!L134</f>
        <v>38.135069173367128</v>
      </c>
      <c r="M33" s="66">
        <f>Calculations!M134</f>
        <v>72.712687282896667</v>
      </c>
      <c r="N33" s="66">
        <f>Calculations!N134</f>
        <v>85.833957610426978</v>
      </c>
      <c r="O33" s="66">
        <f>Calculations!O134</f>
        <v>37.26772152284321</v>
      </c>
      <c r="P33" s="66">
        <f>Calculations!P134</f>
        <v>39.725631211150841</v>
      </c>
      <c r="Q33" s="66">
        <f>Calculations!Q134</f>
        <v>31.487822918657415</v>
      </c>
      <c r="R33" s="66">
        <f>Calculations!R134</f>
        <v>32.93259218007573</v>
      </c>
      <c r="S33" s="66">
        <f>Calculations!S134</f>
        <v>30.620945600970376</v>
      </c>
      <c r="T33" s="66">
        <f>Calculations!T134</f>
        <v>58.020734702032001</v>
      </c>
      <c r="U33" s="66">
        <f>Calculations!U134</f>
        <v>57.582824197595933</v>
      </c>
      <c r="V33" s="66">
        <f>Calculations!V134</f>
        <v>80.739460992317888</v>
      </c>
      <c r="W33" s="66">
        <f>Calculations!W134</f>
        <v>71.234138876485659</v>
      </c>
      <c r="X33" s="66">
        <f>Calculations!X134</f>
        <v>327.0028577975649</v>
      </c>
      <c r="Y33" s="66">
        <f>Calculations!Y134</f>
        <v>109.70517096546133</v>
      </c>
      <c r="Z33" s="66">
        <f>Calculations!Z134</f>
        <v>3.8171707846194711</v>
      </c>
      <c r="AA33" s="66">
        <f>Calculations!AA134</f>
        <v>12.648130446397499</v>
      </c>
      <c r="AB33" s="66">
        <f>Calculations!AB134</f>
        <v>88.09247107118324</v>
      </c>
      <c r="AC33" s="66">
        <f>Calculations!AC134</f>
        <v>69.610365879695053</v>
      </c>
      <c r="AD33" s="66">
        <f>Calculations!AD134</f>
        <v>38.135069173367128</v>
      </c>
      <c r="AE33" s="66">
        <f>Calculations!AE134</f>
        <v>1.2586480955833492</v>
      </c>
      <c r="AF33" s="66">
        <f>Calculations!AF134</f>
        <v>0.6453228117128299</v>
      </c>
      <c r="AG33" s="66">
        <f>Calculations!AG134</f>
        <v>0.1773198067525851</v>
      </c>
      <c r="AH33" s="66" t="e">
        <f>Calculations!AH134</f>
        <v>#VALUE!</v>
      </c>
      <c r="AI33" s="66" t="e">
        <f>Calculations!AI134</f>
        <v>#VALUE!</v>
      </c>
      <c r="AJ33" s="66" t="e">
        <f>Calculations!AJ134</f>
        <v>#VALUE!</v>
      </c>
      <c r="AK33" s="66" t="e">
        <f>Calculations!AK134</f>
        <v>#VALUE!</v>
      </c>
      <c r="AL33" s="66" t="e">
        <f>Calculations!AL134</f>
        <v>#VALUE!</v>
      </c>
      <c r="AM33" s="66" t="e">
        <f>Calculations!AM134</f>
        <v>#VALUE!</v>
      </c>
      <c r="AN33" s="66" t="e">
        <f>Calculations!AN134</f>
        <v>#VALUE!</v>
      </c>
      <c r="AO33" s="66" t="e">
        <f>Calculations!AO134</f>
        <v>#VALUE!</v>
      </c>
      <c r="AP33" s="66" t="e">
        <f>Calculations!AP134</f>
        <v>#VALUE!</v>
      </c>
      <c r="AQ33" s="66" t="e">
        <f>Calculations!AQ134</f>
        <v>#VALUE!</v>
      </c>
      <c r="AR33" s="66">
        <f>Calculations!AR134</f>
        <v>23.247947682779369</v>
      </c>
      <c r="AS33" s="66">
        <f>Calculations!AS134</f>
        <v>39.725631211150841</v>
      </c>
      <c r="AT33" s="66">
        <f>Calculations!AT134</f>
        <v>63.287461614754861</v>
      </c>
      <c r="AU33" s="66">
        <f>Calculations!AU134</f>
        <v>86.285107209117982</v>
      </c>
      <c r="AV33" s="66">
        <f>Calculations!AV134</f>
        <v>316.48287557008217</v>
      </c>
      <c r="AW33" s="66">
        <f>Calculations!AW134</f>
        <v>106.74816701444526</v>
      </c>
    </row>
    <row r="34" spans="1:49" ht="20.100000000000001" customHeight="1" x14ac:dyDescent="0.25">
      <c r="A34" s="372" t="s">
        <v>27</v>
      </c>
      <c r="B34" s="66">
        <f>Calculations!B135</f>
        <v>1.4109170950072489</v>
      </c>
      <c r="C34" s="66">
        <f>Calculations!C135</f>
        <v>79.545511883471917</v>
      </c>
      <c r="D34" s="66">
        <f>Calculations!D135</f>
        <v>74.786628620168315</v>
      </c>
      <c r="E34" s="66">
        <f>Calculations!E135</f>
        <v>78.055504058305715</v>
      </c>
      <c r="F34" s="66">
        <f>Calculations!F135</f>
        <v>61.236602821588633</v>
      </c>
      <c r="G34" s="66">
        <f>Calculations!G135</f>
        <v>67.106091270327866</v>
      </c>
      <c r="H34" s="66">
        <f>Calculations!H135</f>
        <v>31.343345248280443</v>
      </c>
      <c r="I34" s="66">
        <f>Calculations!I135</f>
        <v>30.909908190140907</v>
      </c>
      <c r="J34" s="66">
        <f>Calculations!J135</f>
        <v>30.043005207507235</v>
      </c>
      <c r="K34" s="66">
        <f>Calculations!K135</f>
        <v>32.065729958070627</v>
      </c>
      <c r="L34" s="66">
        <f>Calculations!L135</f>
        <v>76.865393188426623</v>
      </c>
      <c r="M34" s="66">
        <f>Calculations!M135</f>
        <v>83.732160101226256</v>
      </c>
      <c r="N34" s="66">
        <f>Calculations!N135</f>
        <v>93.238364265339612</v>
      </c>
      <c r="O34" s="66">
        <f>Calculations!O135</f>
        <v>39.002574555113561</v>
      </c>
      <c r="P34" s="66">
        <f>Calculations!P135</f>
        <v>36.834100241706246</v>
      </c>
      <c r="Q34" s="66">
        <f>Calculations!Q135</f>
        <v>31.487822918657422</v>
      </c>
      <c r="R34" s="66">
        <f>Calculations!R135</f>
        <v>31.054388001374441</v>
      </c>
      <c r="S34" s="66">
        <f>Calculations!S135</f>
        <v>66.370694312192683</v>
      </c>
      <c r="T34" s="66">
        <f>Calculations!T135</f>
        <v>67.694780756702215</v>
      </c>
      <c r="U34" s="66">
        <f>Calculations!U135</f>
        <v>64.75459497813695</v>
      </c>
      <c r="V34" s="66">
        <f>Calculations!V135</f>
        <v>75.825395039168697</v>
      </c>
      <c r="W34" s="66">
        <f>Calculations!W135</f>
        <v>75.825395039168697</v>
      </c>
      <c r="X34" s="66">
        <f>Calculations!X135</f>
        <v>52.338339765858095</v>
      </c>
      <c r="Y34" s="66">
        <f>Calculations!Y135</f>
        <v>333.33157820192019</v>
      </c>
      <c r="Z34" s="66">
        <f>Calculations!Z135</f>
        <v>1.7145229928147128</v>
      </c>
      <c r="AA34" s="66">
        <f>Calculations!AA135</f>
        <v>89.450956683992956</v>
      </c>
      <c r="AB34" s="66">
        <f>Calculations!AB135</f>
        <v>74.045392362002431</v>
      </c>
      <c r="AC34" s="66">
        <f>Calculations!AC135</f>
        <v>33.077070859667842</v>
      </c>
      <c r="AD34" s="66">
        <f>Calculations!AD135</f>
        <v>94.302605976120901</v>
      </c>
      <c r="AE34" s="66">
        <f>Calculations!AE135</f>
        <v>1.1060166416540114</v>
      </c>
      <c r="AF34" s="66">
        <f>Calculations!AF135</f>
        <v>0.95297014171901628</v>
      </c>
      <c r="AG34" s="66">
        <f>Calculations!AG135</f>
        <v>1.6552427638265026E-2</v>
      </c>
      <c r="AH34" s="66">
        <f>Calculations!AH135</f>
        <v>1.6552427638263877E-2</v>
      </c>
      <c r="AI34" s="66">
        <f>Calculations!AI135</f>
        <v>0.334645417437342</v>
      </c>
      <c r="AJ34" s="66">
        <f>Calculations!AJ135</f>
        <v>1.6552427638263877E-2</v>
      </c>
      <c r="AK34" s="66" t="e">
        <f>Calculations!AK135</f>
        <v>#VALUE!</v>
      </c>
      <c r="AL34" s="66">
        <f>Calculations!AL135</f>
        <v>0.6453228117128299</v>
      </c>
      <c r="AM34" s="66" t="e">
        <f>Calculations!AM135</f>
        <v>#VALUE!</v>
      </c>
      <c r="AN34" s="66" t="e">
        <f>Calculations!AN135</f>
        <v>#VALUE!</v>
      </c>
      <c r="AO34" s="66" t="e">
        <f>Calculations!AO135</f>
        <v>#VALUE!</v>
      </c>
      <c r="AP34" s="66" t="e">
        <f>Calculations!AP135</f>
        <v>#VALUE!</v>
      </c>
      <c r="AQ34" s="66" t="e">
        <f>Calculations!AQ135</f>
        <v>#VALUE!</v>
      </c>
      <c r="AR34" s="66">
        <f>Calculations!AR135</f>
        <v>69.462883473788509</v>
      </c>
      <c r="AS34" s="66">
        <f>Calculations!AS135</f>
        <v>30.620945600970376</v>
      </c>
      <c r="AT34" s="66">
        <f>Calculations!AT135</f>
        <v>70.200515947098225</v>
      </c>
      <c r="AU34" s="66">
        <f>Calculations!AU135</f>
        <v>89.299886345056535</v>
      </c>
      <c r="AV34" s="66">
        <f>Calculations!AV135</f>
        <v>52.629227225828068</v>
      </c>
      <c r="AW34" s="66">
        <f>Calculations!AW135</f>
        <v>324.33478987813834</v>
      </c>
    </row>
    <row r="35" spans="1:49" ht="20.100000000000001" customHeight="1" x14ac:dyDescent="0.25">
      <c r="A35" s="372" t="s">
        <v>28</v>
      </c>
      <c r="B35" s="66">
        <f>Calculations!B136</f>
        <v>0.33464541743734305</v>
      </c>
      <c r="C35" s="66">
        <f>Calculations!C136</f>
        <v>71.825280444937235</v>
      </c>
      <c r="D35" s="66">
        <f>Calculations!D136</f>
        <v>75.528480081633546</v>
      </c>
      <c r="E35" s="66">
        <f>Calculations!E136</f>
        <v>75.825395039168697</v>
      </c>
      <c r="F35" s="66">
        <f>Calculations!F136</f>
        <v>59.043088239444337</v>
      </c>
      <c r="G35" s="66">
        <f>Calculations!G136</f>
        <v>63.287461614754861</v>
      </c>
      <c r="H35" s="66">
        <f>Calculations!H136</f>
        <v>30.043005207507235</v>
      </c>
      <c r="I35" s="66">
        <f>Calculations!I136</f>
        <v>29.898516234527044</v>
      </c>
      <c r="J35" s="66">
        <f>Calculations!J136</f>
        <v>36.834100241706246</v>
      </c>
      <c r="K35" s="66">
        <f>Calculations!K136</f>
        <v>34.955403104512563</v>
      </c>
      <c r="L35" s="66">
        <f>Calculations!L136</f>
        <v>82.683419241760177</v>
      </c>
      <c r="M35" s="66">
        <f>Calculations!M136</f>
        <v>78.949188599957125</v>
      </c>
      <c r="N35" s="66">
        <f>Calculations!N136</f>
        <v>100.57104709668199</v>
      </c>
      <c r="O35" s="66">
        <f>Calculations!O136</f>
        <v>41.606243280932112</v>
      </c>
      <c r="P35" s="66">
        <f>Calculations!P136</f>
        <v>42.329843191327534</v>
      </c>
      <c r="Q35" s="66">
        <f>Calculations!Q136</f>
        <v>33.366030627971739</v>
      </c>
      <c r="R35" s="66">
        <f>Calculations!R136</f>
        <v>32.643636676255007</v>
      </c>
      <c r="S35" s="66">
        <f>Calculations!S136</f>
        <v>64.461014903538015</v>
      </c>
      <c r="T35" s="66">
        <f>Calculations!T136</f>
        <v>71.677460592348112</v>
      </c>
      <c r="U35" s="66">
        <f>Calculations!U136</f>
        <v>61.822200243661158</v>
      </c>
      <c r="V35" s="66">
        <f>Calculations!V136</f>
        <v>79.545511883471931</v>
      </c>
      <c r="W35" s="66">
        <f>Calculations!W136</f>
        <v>33.654994341217979</v>
      </c>
      <c r="X35" s="66">
        <f>Calculations!X136</f>
        <v>55.249641638658503</v>
      </c>
      <c r="Y35" s="66">
        <f>Calculations!Y136</f>
        <v>1028.5880668544912</v>
      </c>
      <c r="Z35" s="66">
        <f>Calculations!Z136</f>
        <v>0.6453228117128299</v>
      </c>
      <c r="AA35" s="66">
        <f>Calculations!AA136</f>
        <v>59.189204146257318</v>
      </c>
      <c r="AB35" s="66">
        <f>Calculations!AB136</f>
        <v>73.897218103947907</v>
      </c>
      <c r="AC35" s="66">
        <f>Calculations!AC136</f>
        <v>31.776776935741228</v>
      </c>
      <c r="AD35" s="66">
        <f>Calculations!AD136</f>
        <v>97.505636939416846</v>
      </c>
      <c r="AE35" s="66" t="e">
        <f>Calculations!AE136</f>
        <v>#VALUE!</v>
      </c>
      <c r="AF35" s="66" t="e">
        <f>Calculations!AF136</f>
        <v>#VALUE!</v>
      </c>
      <c r="AG35" s="66">
        <f>Calculations!AG136</f>
        <v>0.334645417437342</v>
      </c>
      <c r="AH35" s="66">
        <f>Calculations!AH136</f>
        <v>1.6552427638262725E-2</v>
      </c>
      <c r="AI35" s="66">
        <f>Calculations!AI136</f>
        <v>1.6552427638263877E-2</v>
      </c>
      <c r="AJ35" s="66">
        <f>Calculations!AJ136</f>
        <v>0.79943837504430948</v>
      </c>
      <c r="AK35" s="66">
        <f>Calculations!AK136</f>
        <v>0.334645417437342</v>
      </c>
      <c r="AL35" s="66">
        <f>Calculations!AL136</f>
        <v>1.6552427638263877E-2</v>
      </c>
      <c r="AM35" s="66" t="e">
        <f>Calculations!AM136</f>
        <v>#VALUE!</v>
      </c>
      <c r="AN35" s="66">
        <f>Calculations!AN136</f>
        <v>1.6552427638263877E-2</v>
      </c>
      <c r="AO35" s="66" t="e">
        <f>Calculations!AO136</f>
        <v>#VALUE!</v>
      </c>
      <c r="AP35" s="66" t="e">
        <f>Calculations!AP136</f>
        <v>#VALUE!</v>
      </c>
      <c r="AQ35" s="66" t="e">
        <f>Calculations!AQ136</f>
        <v>#VALUE!</v>
      </c>
      <c r="AR35" s="66">
        <f>Calculations!AR136</f>
        <v>80.440809372543583</v>
      </c>
      <c r="AS35" s="66">
        <f>Calculations!AS136</f>
        <v>73.749068000937896</v>
      </c>
      <c r="AT35" s="66">
        <f>Calculations!AT136</f>
        <v>59.335336634487525</v>
      </c>
      <c r="AU35" s="66">
        <f>Calculations!AU136</f>
        <v>83.28252619866592</v>
      </c>
      <c r="AV35" s="66">
        <f>Calculations!AV136</f>
        <v>55.249641638658503</v>
      </c>
      <c r="AW35" s="66">
        <f>Calculations!AW136</f>
        <v>1006.1064529054263</v>
      </c>
    </row>
    <row r="36" spans="1:49" ht="20.100000000000001" customHeight="1" x14ac:dyDescent="0.25">
      <c r="A36" s="31"/>
      <c r="B36" s="69"/>
      <c r="C36" s="69"/>
      <c r="D36" s="69"/>
      <c r="E36" s="69"/>
      <c r="F36" s="69"/>
      <c r="G36" s="69"/>
      <c r="H36" s="69"/>
      <c r="I36" s="69"/>
      <c r="J36" s="69"/>
      <c r="K36" s="69"/>
      <c r="L36" s="69"/>
      <c r="M36" s="69"/>
      <c r="N36" s="69"/>
      <c r="O36" s="69"/>
      <c r="P36" s="69"/>
      <c r="Q36" s="69"/>
      <c r="R36" s="69"/>
      <c r="S36" s="69"/>
      <c r="T36" s="69"/>
      <c r="U36" s="69"/>
      <c r="V36" s="69"/>
      <c r="W36" s="69"/>
      <c r="X36" s="69"/>
      <c r="Y36" s="69"/>
      <c r="Z36" s="69"/>
      <c r="AA36" s="69"/>
      <c r="AB36" s="69"/>
      <c r="AC36" s="69"/>
      <c r="AD36" s="69"/>
      <c r="AE36" s="69"/>
      <c r="AF36" s="69"/>
      <c r="AG36" s="69"/>
      <c r="AH36" s="69"/>
      <c r="AI36" s="69"/>
      <c r="AJ36" s="69"/>
      <c r="AK36" s="69"/>
    </row>
    <row r="37" spans="1:49" ht="20.100000000000001" customHeight="1" x14ac:dyDescent="0.25">
      <c r="A37" s="70" t="s">
        <v>1011</v>
      </c>
      <c r="B37" s="69"/>
      <c r="C37" s="69"/>
      <c r="D37" s="69"/>
      <c r="E37" s="69"/>
      <c r="F37" s="69"/>
      <c r="G37" s="69"/>
      <c r="H37" s="69"/>
      <c r="I37" s="69"/>
      <c r="J37" s="69"/>
      <c r="K37" s="69"/>
      <c r="L37" s="69"/>
      <c r="M37" s="69"/>
      <c r="N37" s="69"/>
      <c r="O37" s="69"/>
      <c r="P37" s="69"/>
      <c r="Q37" s="69"/>
      <c r="R37" s="69"/>
      <c r="S37" s="69"/>
      <c r="T37" s="69"/>
      <c r="U37" s="69"/>
      <c r="V37" s="69"/>
      <c r="W37" s="69"/>
      <c r="X37" s="69"/>
      <c r="Y37" s="69"/>
      <c r="Z37" s="69"/>
      <c r="AA37" s="69"/>
      <c r="AB37" s="69"/>
      <c r="AC37" s="69"/>
      <c r="AD37" s="69"/>
      <c r="AE37" s="69"/>
      <c r="AF37" s="69"/>
      <c r="AG37" s="69"/>
      <c r="AH37" s="69"/>
      <c r="AI37" s="69"/>
      <c r="AJ37" s="69"/>
      <c r="AK37" s="69"/>
    </row>
    <row r="39" spans="1:49" x14ac:dyDescent="0.25">
      <c r="A39" s="737" t="s">
        <v>72</v>
      </c>
      <c r="B39" s="737"/>
      <c r="C39" s="737"/>
      <c r="D39" s="737"/>
      <c r="E39" s="737"/>
      <c r="F39" s="737"/>
      <c r="G39" s="737"/>
      <c r="H39" s="737"/>
      <c r="I39" s="737"/>
      <c r="J39" s="737"/>
      <c r="K39" s="737"/>
      <c r="L39" s="737"/>
      <c r="M39" s="737"/>
      <c r="N39" s="737"/>
    </row>
    <row r="40" spans="1:49" ht="33" customHeight="1" x14ac:dyDescent="0.25">
      <c r="A40" s="19" t="s">
        <v>42</v>
      </c>
      <c r="B40" s="372" t="s">
        <v>407</v>
      </c>
      <c r="C40" s="774" t="str">
        <f>"Concentration ("&amp;VLOOKUP(BioScale_Internal!C40,BioScale_Internal!A40:B46,2)&amp;")"</f>
        <v>Concentration (ng/ml)</v>
      </c>
      <c r="D40" s="774"/>
      <c r="E40" s="774" t="s">
        <v>194</v>
      </c>
      <c r="F40" s="774"/>
      <c r="G40" s="372" t="s">
        <v>20</v>
      </c>
      <c r="H40" s="372" t="s">
        <v>39</v>
      </c>
      <c r="I40" s="774" t="s">
        <v>200</v>
      </c>
      <c r="J40" s="774"/>
      <c r="K40" s="184" t="s">
        <v>706</v>
      </c>
      <c r="L40" s="184" t="s">
        <v>707</v>
      </c>
      <c r="M40" s="756" t="s">
        <v>97</v>
      </c>
      <c r="N40" s="758"/>
      <c r="Q40" s="775" t="s">
        <v>565</v>
      </c>
      <c r="R40" s="775"/>
      <c r="S40" s="775"/>
      <c r="T40" s="775"/>
      <c r="U40" s="775"/>
      <c r="V40" s="775"/>
      <c r="W40" s="775"/>
      <c r="X40" s="775"/>
      <c r="Y40" s="775"/>
    </row>
    <row r="41" spans="1:49" ht="15.75" customHeight="1" x14ac:dyDescent="0.25">
      <c r="A41" s="35" t="s">
        <v>84</v>
      </c>
      <c r="B41" s="602">
        <v>1</v>
      </c>
      <c r="C41" s="770">
        <f>IF(ISTEXT(Calculations!AB140),Calculations!AB140,Calculations!AB140*'Sample Setup'!D39)</f>
        <v>53.776716416420612</v>
      </c>
      <c r="D41" s="770"/>
      <c r="E41" s="738" t="str">
        <f>IF(ISTEXT(Calculations!AB140),"",Calculations!AD140&amp;"/"&amp;Calculations!Y140)</f>
        <v>8/8</v>
      </c>
      <c r="F41" s="738"/>
      <c r="G41" s="603">
        <f>IF(OR(ISERROR(Calculations!AC140),ISTEXT(Calculations!AC140)),"",Calculations!AC140*'Sample Setup'!D39)</f>
        <v>2.4005163743261337</v>
      </c>
      <c r="H41" s="376">
        <f>IF(ISERROR(G41/C41),"",G41/C41)</f>
        <v>4.4638582165145747E-2</v>
      </c>
      <c r="I41" s="771">
        <f>IF(OR(ISBLANK('Sample Setup'!C39),ISTEXT(Report!C41)),"",Report!C41/'Sample Setup'!C39)</f>
        <v>0.89627860694034356</v>
      </c>
      <c r="J41" s="771"/>
      <c r="K41" s="185">
        <f>AVERAGEIFS($B$15:$AW$22,$B$3:$AW$10,$A41)</f>
        <v>0.37887500000000007</v>
      </c>
      <c r="L41" s="185">
        <f>IF(ISNUMBER(C41),C41)</f>
        <v>53.776716416420612</v>
      </c>
      <c r="M41" s="777" t="str">
        <f>'Sample Setup'!E39</f>
        <v>Process Control</v>
      </c>
      <c r="N41" s="777"/>
      <c r="Q41" s="371" t="s">
        <v>417</v>
      </c>
      <c r="R41" s="776" t="s">
        <v>566</v>
      </c>
      <c r="S41" s="776"/>
      <c r="T41" s="776"/>
      <c r="U41" s="776"/>
      <c r="V41" s="776"/>
      <c r="W41" s="776"/>
      <c r="X41" s="776"/>
      <c r="Y41" s="776"/>
      <c r="AA41" s="377"/>
    </row>
    <row r="42" spans="1:49" ht="15.75" customHeight="1" x14ac:dyDescent="0.25">
      <c r="A42" s="35" t="s">
        <v>85</v>
      </c>
      <c r="B42" s="602">
        <v>1</v>
      </c>
      <c r="C42" s="770">
        <f>IF(ISTEXT(Calculations!AB141),Calculations!AB141,Calculations!AB141*'Sample Setup'!D40)</f>
        <v>318.01720578415024</v>
      </c>
      <c r="D42" s="770"/>
      <c r="E42" s="738" t="str">
        <f>IF(ISTEXT(Calculations!AB141),"",Calculations!AD141&amp;"/"&amp;Calculations!Y141)</f>
        <v>8/8</v>
      </c>
      <c r="F42" s="738"/>
      <c r="G42" s="603">
        <f>IF(OR(ISERROR(Calculations!AC141),ISTEXT(Calculations!AC141)),"",Calculations!AC141*'Sample Setup'!D40)</f>
        <v>10.258990800975379</v>
      </c>
      <c r="H42" s="376">
        <f t="shared" ref="H42:H105" si="0">IF(ISERROR(G42/C42),"",G42/C42)</f>
        <v>3.2259231935829684E-2</v>
      </c>
      <c r="I42" s="771">
        <f>IF(OR(ISBLANK('Sample Setup'!C40),ISTEXT(Report!C42)),"",Report!C42/'Sample Setup'!C40)</f>
        <v>1.0600573526138342</v>
      </c>
      <c r="J42" s="771"/>
      <c r="K42" s="185">
        <f t="shared" ref="K42:K105" si="1">AVERAGEIFS($B$15:$AW$22,$B$3:$AW$10,$A42)</f>
        <v>1.7817499999999999</v>
      </c>
      <c r="L42" s="185">
        <f t="shared" ref="L42:L105" si="2">IF(ISNUMBER(C42),C42)</f>
        <v>318.01720578415024</v>
      </c>
      <c r="M42" s="777" t="str">
        <f>'Sample Setup'!E40</f>
        <v>Spike High</v>
      </c>
      <c r="N42" s="777"/>
      <c r="Q42" s="118" t="s">
        <v>64</v>
      </c>
      <c r="R42" s="776" t="s">
        <v>567</v>
      </c>
      <c r="S42" s="776"/>
      <c r="T42" s="776"/>
      <c r="U42" s="776"/>
      <c r="V42" s="776"/>
      <c r="W42" s="776"/>
      <c r="X42" s="776"/>
      <c r="Y42" s="776"/>
      <c r="AA42" s="377"/>
    </row>
    <row r="43" spans="1:49" ht="15.75" customHeight="1" x14ac:dyDescent="0.25">
      <c r="A43" s="35" t="s">
        <v>86</v>
      </c>
      <c r="B43" s="602">
        <v>1</v>
      </c>
      <c r="C43" s="770">
        <f>IF(ISTEXT(Calculations!AB142),Calculations!AB142,Calculations!AB142*'Sample Setup'!D41)</f>
        <v>12.264912161636683</v>
      </c>
      <c r="D43" s="770"/>
      <c r="E43" s="738" t="str">
        <f>IF(ISTEXT(Calculations!AB142),"",Calculations!AD142&amp;"/"&amp;Calculations!Y142)</f>
        <v>8/8</v>
      </c>
      <c r="F43" s="738"/>
      <c r="G43" s="603">
        <f>IF(OR(ISERROR(Calculations!AC142),ISTEXT(Calculations!AC142)),"",Calculations!AC142*'Sample Setup'!D41)</f>
        <v>0.36551994575498681</v>
      </c>
      <c r="H43" s="376">
        <f t="shared" si="0"/>
        <v>2.9802084265902334E-2</v>
      </c>
      <c r="I43" s="771">
        <f>IF(OR(ISBLANK('Sample Setup'!C41),ISTEXT(Report!C43)),"",Report!C43/'Sample Setup'!C41)</f>
        <v>1.0220760134697235</v>
      </c>
      <c r="J43" s="771"/>
      <c r="K43" s="185">
        <f t="shared" si="1"/>
        <v>9.2374999999999985E-2</v>
      </c>
      <c r="L43" s="185">
        <f t="shared" si="2"/>
        <v>12.264912161636683</v>
      </c>
      <c r="M43" s="777" t="str">
        <f>'Sample Setup'!E41</f>
        <v>Spike Low</v>
      </c>
      <c r="N43" s="777"/>
      <c r="Q43" s="119" t="s">
        <v>65</v>
      </c>
      <c r="R43" s="776" t="s">
        <v>567</v>
      </c>
      <c r="S43" s="776"/>
      <c r="T43" s="776"/>
      <c r="U43" s="776"/>
      <c r="V43" s="776"/>
      <c r="W43" s="776"/>
      <c r="X43" s="776"/>
      <c r="Y43" s="776"/>
      <c r="AA43" s="377"/>
    </row>
    <row r="44" spans="1:49" ht="15.75" customHeight="1" x14ac:dyDescent="0.25">
      <c r="A44" s="35" t="s">
        <v>89</v>
      </c>
      <c r="B44" s="602">
        <v>1</v>
      </c>
      <c r="C44" s="770">
        <f>IF(ISTEXT(Calculations!AB143),Calculations!AB143,Calculations!AB143*'Sample Setup'!D42)</f>
        <v>78.131128755933545</v>
      </c>
      <c r="D44" s="770"/>
      <c r="E44" s="738" t="str">
        <f>IF(ISTEXT(Calculations!AB143),"",Calculations!AD143&amp;"/"&amp;Calculations!Y143)</f>
        <v>2/2</v>
      </c>
      <c r="F44" s="738"/>
      <c r="G44" s="603">
        <f>IF(OR(ISERROR(Calculations!AC143),ISTEXT(Calculations!AC143)),"",Calculations!AC143*'Sample Setup'!D42)</f>
        <v>2.0002398013564604</v>
      </c>
      <c r="H44" s="376">
        <f t="shared" si="0"/>
        <v>2.5601061103376871E-2</v>
      </c>
      <c r="I44" s="771" t="str">
        <f>IF(OR(ISBLANK('Sample Setup'!C42),ISTEXT(Report!C44)),"",Report!C44/'Sample Setup'!C42)</f>
        <v/>
      </c>
      <c r="J44" s="771"/>
      <c r="K44" s="185">
        <f t="shared" si="1"/>
        <v>0.54449999999999998</v>
      </c>
      <c r="L44" s="185">
        <f t="shared" si="2"/>
        <v>78.131128755933545</v>
      </c>
      <c r="M44" s="778"/>
      <c r="N44" s="778"/>
      <c r="AA44" s="378"/>
    </row>
    <row r="45" spans="1:49" ht="15.75" customHeight="1" x14ac:dyDescent="0.25">
      <c r="A45" s="35" t="s">
        <v>87</v>
      </c>
      <c r="B45" s="602">
        <v>1</v>
      </c>
      <c r="C45" s="770">
        <f>IF(ISTEXT(Calculations!AB144),Calculations!AB144,Calculations!AB144*'Sample Setup'!D43)</f>
        <v>72.713111211219854</v>
      </c>
      <c r="D45" s="770"/>
      <c r="E45" s="738" t="str">
        <f>IF(ISTEXT(Calculations!AB144),"",Calculations!AD144&amp;"/"&amp;Calculations!Y144)</f>
        <v>2/2</v>
      </c>
      <c r="F45" s="738"/>
      <c r="G45" s="603">
        <f>IF(OR(ISERROR(Calculations!AC144),ISTEXT(Calculations!AC144)),"",Calculations!AC144*'Sample Setup'!D43)</f>
        <v>1.2555823107689772</v>
      </c>
      <c r="H45" s="376">
        <f t="shared" si="0"/>
        <v>1.7267619138475774E-2</v>
      </c>
      <c r="I45" s="771" t="str">
        <f>IF(OR(ISBLANK('Sample Setup'!C43),ISTEXT(Report!C45)),"",Report!C45/'Sample Setup'!C43)</f>
        <v/>
      </c>
      <c r="J45" s="771"/>
      <c r="K45" s="185">
        <f t="shared" si="1"/>
        <v>0.50800000000000001</v>
      </c>
      <c r="L45" s="185">
        <f t="shared" si="2"/>
        <v>72.713111211219854</v>
      </c>
      <c r="M45" s="778"/>
      <c r="N45" s="778"/>
      <c r="Q45" s="17" t="s">
        <v>110</v>
      </c>
      <c r="AA45" s="377"/>
    </row>
    <row r="46" spans="1:49" ht="15.75" customHeight="1" x14ac:dyDescent="0.25">
      <c r="A46" s="35" t="s">
        <v>88</v>
      </c>
      <c r="B46" s="602">
        <v>1</v>
      </c>
      <c r="C46" s="770">
        <f>IF(ISTEXT(Calculations!AB145),Calculations!AB145,Calculations!AB145*'Sample Setup'!D44)</f>
        <v>32.788123927490822</v>
      </c>
      <c r="D46" s="770"/>
      <c r="E46" s="738" t="str">
        <f>IF(ISTEXT(Calculations!AB145),"",Calculations!AD145&amp;"/"&amp;Calculations!Y145)</f>
        <v>2/2</v>
      </c>
      <c r="F46" s="738"/>
      <c r="G46" s="603">
        <f>IF(OR(ISERROR(Calculations!AC145),ISTEXT(Calculations!AC145)),"",Calculations!AC145*'Sample Setup'!D44)</f>
        <v>1.2259398959129002</v>
      </c>
      <c r="H46" s="376">
        <f t="shared" si="0"/>
        <v>3.7389754248337008E-2</v>
      </c>
      <c r="I46" s="771" t="str">
        <f>IF(OR(ISBLANK('Sample Setup'!C44),ISTEXT(Report!C46)),"",Report!C46/'Sample Setup'!C44)</f>
        <v/>
      </c>
      <c r="J46" s="771"/>
      <c r="K46" s="185">
        <f t="shared" si="1"/>
        <v>0.23400000000000004</v>
      </c>
      <c r="L46" s="185">
        <f t="shared" si="2"/>
        <v>32.788123927490822</v>
      </c>
      <c r="M46" s="778"/>
      <c r="N46" s="778"/>
      <c r="Q46" s="17" t="s">
        <v>563</v>
      </c>
      <c r="R46" s="17"/>
      <c r="T46" s="17"/>
      <c r="AA46" s="377"/>
    </row>
    <row r="47" spans="1:49" ht="15.75" customHeight="1" x14ac:dyDescent="0.25">
      <c r="A47" s="35" t="s">
        <v>90</v>
      </c>
      <c r="B47" s="602">
        <v>1</v>
      </c>
      <c r="C47" s="770">
        <f>IF(ISTEXT(Calculations!AB146),Calculations!AB146,Calculations!AB146*'Sample Setup'!D45)</f>
        <v>77.387291819562932</v>
      </c>
      <c r="D47" s="770"/>
      <c r="E47" s="738" t="str">
        <f>IF(ISTEXT(Calculations!AB146),"",Calculations!AD146&amp;"/"&amp;Calculations!Y146)</f>
        <v>2/2</v>
      </c>
      <c r="F47" s="738"/>
      <c r="G47" s="603">
        <f>IF(OR(ISERROR(Calculations!AC146),ISTEXT(Calculations!AC146)),"",Calculations!AC146*'Sample Setup'!D45)</f>
        <v>2.2088556098603691</v>
      </c>
      <c r="H47" s="376">
        <f t="shared" si="0"/>
        <v>2.8542872581851828E-2</v>
      </c>
      <c r="I47" s="771" t="str">
        <f>IF(OR(ISBLANK('Sample Setup'!C45),ISTEXT(Report!C47)),"",Report!C47/'Sample Setup'!C45)</f>
        <v/>
      </c>
      <c r="J47" s="771"/>
      <c r="K47" s="185">
        <f t="shared" si="1"/>
        <v>0.53949999999999987</v>
      </c>
      <c r="L47" s="185">
        <f t="shared" si="2"/>
        <v>77.387291819562932</v>
      </c>
      <c r="M47" s="778"/>
      <c r="N47" s="778"/>
      <c r="R47" s="17" t="s">
        <v>564</v>
      </c>
      <c r="T47" s="16"/>
      <c r="AA47" s="377"/>
    </row>
    <row r="48" spans="1:49" ht="15.75" customHeight="1" x14ac:dyDescent="0.25">
      <c r="A48" s="35" t="s">
        <v>91</v>
      </c>
      <c r="B48" s="602">
        <v>1</v>
      </c>
      <c r="C48" s="770">
        <f>IF(ISTEXT(Calculations!AB147),Calculations!AB147,Calculations!AB147*'Sample Setup'!D46)</f>
        <v>71.825465239015585</v>
      </c>
      <c r="D48" s="770"/>
      <c r="E48" s="738" t="str">
        <f>IF(ISTEXT(Calculations!AB147),"",Calculations!AD147&amp;"/"&amp;Calculations!Y147)</f>
        <v>2/2</v>
      </c>
      <c r="F48" s="738"/>
      <c r="G48" s="603">
        <f>IF(OR(ISERROR(Calculations!AC147),ISTEXT(Calculations!AC147)),"",Calculations!AC147*'Sample Setup'!D46)</f>
        <v>0.83626176167860178</v>
      </c>
      <c r="H48" s="376">
        <f t="shared" si="0"/>
        <v>1.1642970343397712E-2</v>
      </c>
      <c r="I48" s="771" t="str">
        <f>IF(OR(ISBLANK('Sample Setup'!C46),ISTEXT(Report!C48)),"",Report!C48/'Sample Setup'!C46)</f>
        <v/>
      </c>
      <c r="J48" s="771"/>
      <c r="K48" s="185">
        <f t="shared" si="1"/>
        <v>0.502</v>
      </c>
      <c r="L48" s="185">
        <f t="shared" si="2"/>
        <v>71.825465239015585</v>
      </c>
      <c r="M48" s="778"/>
      <c r="N48" s="778"/>
      <c r="O48" s="58"/>
      <c r="AA48" s="377"/>
    </row>
    <row r="49" spans="1:27" ht="15.75" customHeight="1" x14ac:dyDescent="0.25">
      <c r="A49" s="35" t="s">
        <v>92</v>
      </c>
      <c r="B49" s="602">
        <v>1</v>
      </c>
      <c r="C49" s="770">
        <f>IF(ISTEXT(Calculations!AB148),Calculations!AB148,Calculations!AB148*'Sample Setup'!D47)</f>
        <v>71.086410667312975</v>
      </c>
      <c r="D49" s="770"/>
      <c r="E49" s="738" t="str">
        <f>IF(ISTEXT(Calculations!AB148),"",Calculations!AD148&amp;"/"&amp;Calculations!Y148)</f>
        <v>2/2</v>
      </c>
      <c r="F49" s="738"/>
      <c r="G49" s="603">
        <f>IF(OR(ISERROR(Calculations!AC148),ISTEXT(Calculations!AC148)),"",Calculations!AC148*'Sample Setup'!D47)</f>
        <v>0</v>
      </c>
      <c r="H49" s="376">
        <f t="shared" si="0"/>
        <v>0</v>
      </c>
      <c r="I49" s="771" t="str">
        <f>IF(OR(ISBLANK('Sample Setup'!C47),ISTEXT(Report!C49)),"",Report!C49/'Sample Setup'!C47)</f>
        <v/>
      </c>
      <c r="J49" s="771"/>
      <c r="K49" s="185">
        <f t="shared" si="1"/>
        <v>0.49700000000000005</v>
      </c>
      <c r="L49" s="185">
        <f t="shared" si="2"/>
        <v>71.086410667312975</v>
      </c>
      <c r="M49" s="778"/>
      <c r="N49" s="778"/>
      <c r="O49" s="58"/>
      <c r="AA49" s="377"/>
    </row>
    <row r="50" spans="1:27" ht="15.75" customHeight="1" x14ac:dyDescent="0.25">
      <c r="A50" s="35" t="s">
        <v>93</v>
      </c>
      <c r="B50" s="602">
        <v>1</v>
      </c>
      <c r="C50" s="770">
        <f>IF(ISTEXT(Calculations!AB149),Calculations!AB149,Calculations!AB149*'Sample Setup'!D48)</f>
        <v>73.231401584212392</v>
      </c>
      <c r="D50" s="770"/>
      <c r="E50" s="738" t="str">
        <f>IF(ISTEXT(Calculations!AB149),"",Calculations!AD149&amp;"/"&amp;Calculations!Y149)</f>
        <v>2/2</v>
      </c>
      <c r="F50" s="738"/>
      <c r="G50" s="603">
        <f>IF(OR(ISERROR(Calculations!AC149),ISTEXT(Calculations!AC149)),"",Calculations!AC149*'Sample Setup'!D48)</f>
        <v>1.570359796441539</v>
      </c>
      <c r="H50" s="376">
        <f t="shared" si="0"/>
        <v>2.1443803648025294E-2</v>
      </c>
      <c r="I50" s="771" t="str">
        <f>IF(OR(ISBLANK('Sample Setup'!C48),ISTEXT(Report!C50)),"",Report!C50/'Sample Setup'!C48)</f>
        <v/>
      </c>
      <c r="J50" s="771"/>
      <c r="K50" s="185">
        <f t="shared" si="1"/>
        <v>0.51149999999999995</v>
      </c>
      <c r="L50" s="185">
        <f t="shared" si="2"/>
        <v>73.231401584212392</v>
      </c>
      <c r="M50" s="778"/>
      <c r="N50" s="778"/>
      <c r="O50" s="58"/>
      <c r="AA50" s="377"/>
    </row>
    <row r="51" spans="1:27" ht="15.75" customHeight="1" x14ac:dyDescent="0.25">
      <c r="A51" s="35" t="s">
        <v>94</v>
      </c>
      <c r="B51" s="602">
        <v>1</v>
      </c>
      <c r="C51" s="770">
        <f>IF(ISTEXT(Calculations!AB150),Calculations!AB150,Calculations!AB150*'Sample Setup'!D49)</f>
        <v>75.083901453936477</v>
      </c>
      <c r="D51" s="770"/>
      <c r="E51" s="738" t="str">
        <f>IF(ISTEXT(Calculations!AB150),"",Calculations!AD150&amp;"/"&amp;Calculations!Y150)</f>
        <v>2/2</v>
      </c>
      <c r="F51" s="738"/>
      <c r="G51" s="603">
        <f>IF(OR(ISERROR(Calculations!AC150),ISTEXT(Calculations!AC150)),"",Calculations!AC150*'Sample Setup'!D49)</f>
        <v>1.4686736424608946</v>
      </c>
      <c r="H51" s="376">
        <f t="shared" si="0"/>
        <v>1.956043324895573E-2</v>
      </c>
      <c r="I51" s="771" t="str">
        <f>IF(OR(ISBLANK('Sample Setup'!C49),ISTEXT(Report!C51)),"",Report!C51/'Sample Setup'!C49)</f>
        <v/>
      </c>
      <c r="J51" s="771"/>
      <c r="K51" s="185">
        <f t="shared" si="1"/>
        <v>0.52399999999999991</v>
      </c>
      <c r="L51" s="185">
        <f t="shared" si="2"/>
        <v>75.083901453936477</v>
      </c>
      <c r="M51" s="778"/>
      <c r="N51" s="778"/>
      <c r="O51" s="58"/>
      <c r="AA51" s="377"/>
    </row>
    <row r="52" spans="1:27" ht="15.75" customHeight="1" x14ac:dyDescent="0.25">
      <c r="A52" s="35" t="s">
        <v>95</v>
      </c>
      <c r="B52" s="602">
        <v>1</v>
      </c>
      <c r="C52" s="770">
        <f>IF(ISTEXT(Calculations!AB151),Calculations!AB151,Calculations!AB151*'Sample Setup'!D50)</f>
        <v>75.009146844177081</v>
      </c>
      <c r="D52" s="770"/>
      <c r="E52" s="738" t="str">
        <f>IF(ISTEXT(Calculations!AB151),"",Calculations!AD151&amp;"/"&amp;Calculations!Y151)</f>
        <v>2/2</v>
      </c>
      <c r="F52" s="738"/>
      <c r="G52" s="603">
        <f>IF(OR(ISERROR(Calculations!AC151),ISTEXT(Calculations!AC151)),"",Calculations!AC151*'Sample Setup'!D50)</f>
        <v>0.31468829026838163</v>
      </c>
      <c r="H52" s="376">
        <f t="shared" si="0"/>
        <v>4.1953322162443804E-3</v>
      </c>
      <c r="I52" s="771" t="str">
        <f>IF(OR(ISBLANK('Sample Setup'!C50),ISTEXT(Report!C52)),"",Report!C52/'Sample Setup'!C50)</f>
        <v/>
      </c>
      <c r="J52" s="771"/>
      <c r="K52" s="185">
        <f t="shared" si="1"/>
        <v>0.52349999999999985</v>
      </c>
      <c r="L52" s="185">
        <f t="shared" si="2"/>
        <v>75.009146844177081</v>
      </c>
      <c r="M52" s="778"/>
      <c r="N52" s="778"/>
      <c r="AA52" s="377"/>
    </row>
    <row r="53" spans="1:27" ht="15.75" customHeight="1" x14ac:dyDescent="0.25">
      <c r="A53" s="35" t="s">
        <v>102</v>
      </c>
      <c r="B53" s="602">
        <v>1</v>
      </c>
      <c r="C53" s="770">
        <f>IF(ISTEXT(Calculations!AB152),Calculations!AB152,Calculations!AB152*'Sample Setup'!D51)</f>
        <v>77.23883434079535</v>
      </c>
      <c r="D53" s="770"/>
      <c r="E53" s="738" t="str">
        <f>IF(ISTEXT(Calculations!AB152),"",Calculations!AD152&amp;"/"&amp;Calculations!Y152)</f>
        <v>2/2</v>
      </c>
      <c r="F53" s="738"/>
      <c r="G53" s="603">
        <f>IF(OR(ISERROR(Calculations!AC152),ISTEXT(Calculations!AC152)),"",Calculations!AC152*'Sample Setup'!D51)</f>
        <v>2.4188061897691902</v>
      </c>
      <c r="H53" s="376">
        <f t="shared" si="0"/>
        <v>3.1315933369694134E-2</v>
      </c>
      <c r="I53" s="771" t="str">
        <f>IF(OR(ISBLANK('Sample Setup'!C51),ISTEXT(Report!C53)),"",Report!C53/'Sample Setup'!C51)</f>
        <v/>
      </c>
      <c r="J53" s="771"/>
      <c r="K53" s="185">
        <f t="shared" si="1"/>
        <v>0.53849999999999998</v>
      </c>
      <c r="L53" s="185">
        <f t="shared" si="2"/>
        <v>77.23883434079535</v>
      </c>
      <c r="M53" s="778"/>
      <c r="N53" s="778"/>
      <c r="AA53" s="377"/>
    </row>
    <row r="54" spans="1:27" ht="15.75" customHeight="1" x14ac:dyDescent="0.25">
      <c r="A54" s="35" t="s">
        <v>103</v>
      </c>
      <c r="B54" s="602">
        <v>1</v>
      </c>
      <c r="C54" s="770">
        <f>IF(ISTEXT(Calculations!AB153),Calculations!AB153,Calculations!AB153*'Sample Setup'!D52)</f>
        <v>81.114465562616061</v>
      </c>
      <c r="D54" s="770"/>
      <c r="E54" s="738" t="str">
        <f>IF(ISTEXT(Calculations!AB153),"",Calculations!AD153&amp;"/"&amp;Calculations!Y153)</f>
        <v>2/2</v>
      </c>
      <c r="F54" s="738"/>
      <c r="G54" s="603">
        <f>IF(OR(ISERROR(Calculations!AC153),ISTEXT(Calculations!AC153)),"",Calculations!AC153*'Sample Setup'!D52)</f>
        <v>2.2188355717807835</v>
      </c>
      <c r="H54" s="376">
        <f t="shared" si="0"/>
        <v>2.7354375774909841E-2</v>
      </c>
      <c r="I54" s="771" t="str">
        <f>IF(OR(ISBLANK('Sample Setup'!C52),ISTEXT(Report!C54)),"",Report!C54/'Sample Setup'!C52)</f>
        <v/>
      </c>
      <c r="J54" s="771"/>
      <c r="K54" s="185">
        <f t="shared" si="1"/>
        <v>0.5645</v>
      </c>
      <c r="L54" s="185">
        <f t="shared" si="2"/>
        <v>81.114465562616061</v>
      </c>
      <c r="M54" s="778"/>
      <c r="N54" s="778"/>
      <c r="AA54" s="377"/>
    </row>
    <row r="55" spans="1:27" ht="15.75" customHeight="1" x14ac:dyDescent="0.25">
      <c r="A55" s="35" t="s">
        <v>104</v>
      </c>
      <c r="B55" s="602">
        <v>1</v>
      </c>
      <c r="C55" s="770">
        <f>IF(ISTEXT(Calculations!AB154),Calculations!AB154,Calculations!AB154*'Sample Setup'!D53)</f>
        <v>76.568442607202201</v>
      </c>
      <c r="D55" s="770"/>
      <c r="E55" s="738" t="str">
        <f>IF(ISTEXT(Calculations!AB154),"",Calculations!AD154&amp;"/"&amp;Calculations!Y154)</f>
        <v>2/2</v>
      </c>
      <c r="F55" s="738"/>
      <c r="G55" s="603">
        <f>IF(OR(ISERROR(Calculations!AC154),ISTEXT(Calculations!AC154)),"",Calculations!AC154*'Sample Setup'!D53)</f>
        <v>1.0508279482013057</v>
      </c>
      <c r="H55" s="376">
        <f t="shared" si="0"/>
        <v>1.3724034503249286E-2</v>
      </c>
      <c r="I55" s="771" t="str">
        <f>IF(OR(ISBLANK('Sample Setup'!C53),ISTEXT(Report!C55)),"",Report!C55/'Sample Setup'!C53)</f>
        <v/>
      </c>
      <c r="J55" s="771"/>
      <c r="K55" s="185">
        <f t="shared" si="1"/>
        <v>0.53399999999999992</v>
      </c>
      <c r="L55" s="185">
        <f t="shared" si="2"/>
        <v>76.568442607202201</v>
      </c>
      <c r="M55" s="778"/>
      <c r="N55" s="778"/>
      <c r="AA55" s="377"/>
    </row>
    <row r="56" spans="1:27" ht="15.75" customHeight="1" x14ac:dyDescent="0.25">
      <c r="A56" s="35" t="s">
        <v>105</v>
      </c>
      <c r="B56" s="602">
        <v>1</v>
      </c>
      <c r="C56" s="770">
        <f>IF(ISTEXT(Calculations!AB155),Calculations!AB155,Calculations!AB155*'Sample Setup'!D54)</f>
        <v>80.963553470979321</v>
      </c>
      <c r="D56" s="770"/>
      <c r="E56" s="738" t="str">
        <f>IF(ISTEXT(Calculations!AB155),"",Calculations!AD155&amp;"/"&amp;Calculations!Y155)</f>
        <v>2/2</v>
      </c>
      <c r="F56" s="738"/>
      <c r="G56" s="603">
        <f>IF(OR(ISERROR(Calculations!AC155),ISTEXT(Calculations!AC155)),"",Calculations!AC155*'Sample Setup'!D54)</f>
        <v>0.31691462254878172</v>
      </c>
      <c r="H56" s="376">
        <f t="shared" si="0"/>
        <v>3.9142874659321494E-3</v>
      </c>
      <c r="I56" s="771" t="str">
        <f>IF(OR(ISBLANK('Sample Setup'!C54),ISTEXT(Report!C56)),"",Report!C56/'Sample Setup'!C54)</f>
        <v/>
      </c>
      <c r="J56" s="771"/>
      <c r="K56" s="185">
        <f t="shared" si="1"/>
        <v>0.56349999999999989</v>
      </c>
      <c r="L56" s="185">
        <f t="shared" si="2"/>
        <v>80.963553470979321</v>
      </c>
      <c r="M56" s="778"/>
      <c r="N56" s="778"/>
      <c r="AA56" s="377"/>
    </row>
    <row r="57" spans="1:27" ht="15.75" customHeight="1" x14ac:dyDescent="0.25">
      <c r="A57" s="35" t="s">
        <v>121</v>
      </c>
      <c r="B57" s="602">
        <v>1</v>
      </c>
      <c r="C57" s="770">
        <f>IF(ISTEXT(Calculations!AB156),Calculations!AB156,Calculations!AB156*'Sample Setup'!D55)</f>
        <v>77.906766928943853</v>
      </c>
      <c r="D57" s="770"/>
      <c r="E57" s="738" t="str">
        <f>IF(ISTEXT(Calculations!AB156),"",Calculations!AD156&amp;"/"&amp;Calculations!Y156)</f>
        <v>2/2</v>
      </c>
      <c r="F57" s="738"/>
      <c r="G57" s="603">
        <f>IF(OR(ISERROR(Calculations!AC156),ISTEXT(Calculations!AC156)),"",Calculations!AC156*'Sample Setup'!D55)</f>
        <v>0.63148322394799117</v>
      </c>
      <c r="H57" s="376">
        <f t="shared" si="0"/>
        <v>8.105627390800927E-3</v>
      </c>
      <c r="I57" s="771" t="str">
        <f>IF(OR(ISBLANK('Sample Setup'!C55),ISTEXT(Report!C57)),"",Report!C57/'Sample Setup'!C55)</f>
        <v/>
      </c>
      <c r="J57" s="771"/>
      <c r="K57" s="185">
        <f t="shared" si="1"/>
        <v>0.54299999999999993</v>
      </c>
      <c r="L57" s="185">
        <f t="shared" si="2"/>
        <v>77.906766928943853</v>
      </c>
      <c r="M57" s="778"/>
      <c r="N57" s="778"/>
      <c r="AA57" s="377"/>
    </row>
    <row r="58" spans="1:27" ht="15.75" customHeight="1" x14ac:dyDescent="0.25">
      <c r="A58" s="35" t="s">
        <v>122</v>
      </c>
      <c r="B58" s="602">
        <v>1</v>
      </c>
      <c r="C58" s="770">
        <f>IF(ISTEXT(Calculations!AB157),Calculations!AB157,Calculations!AB157*'Sample Setup'!D56)</f>
        <v>77.683679707260865</v>
      </c>
      <c r="D58" s="770"/>
      <c r="E58" s="738" t="str">
        <f>IF(ISTEXT(Calculations!AB157),"",Calculations!AD157&amp;"/"&amp;Calculations!Y157)</f>
        <v>2/2</v>
      </c>
      <c r="F58" s="738"/>
      <c r="G58" s="603">
        <f>IF(OR(ISERROR(Calculations!AC157),ISTEXT(Calculations!AC157)),"",Calculations!AC157*'Sample Setup'!D56)</f>
        <v>0.94697619844420589</v>
      </c>
      <c r="H58" s="376">
        <f t="shared" si="0"/>
        <v>1.2190156310987606E-2</v>
      </c>
      <c r="I58" s="771" t="str">
        <f>IF(OR(ISBLANK('Sample Setup'!C56),ISTEXT(Report!C58)),"",Report!C58/'Sample Setup'!C56)</f>
        <v/>
      </c>
      <c r="J58" s="771"/>
      <c r="K58" s="185">
        <f t="shared" si="1"/>
        <v>0.54149999999999987</v>
      </c>
      <c r="L58" s="185">
        <f t="shared" si="2"/>
        <v>77.683679707260865</v>
      </c>
      <c r="M58" s="778"/>
      <c r="N58" s="778"/>
      <c r="AA58" s="377"/>
    </row>
    <row r="59" spans="1:27" ht="15.75" customHeight="1" x14ac:dyDescent="0.25">
      <c r="A59" s="35" t="s">
        <v>123</v>
      </c>
      <c r="B59" s="602">
        <v>1</v>
      </c>
      <c r="C59" s="770">
        <f>IF(ISTEXT(Calculations!AB158),Calculations!AB158,Calculations!AB158*'Sample Setup'!D57)</f>
        <v>75.305887466554282</v>
      </c>
      <c r="D59" s="770"/>
      <c r="E59" s="738" t="str">
        <f>IF(ISTEXT(Calculations!AB158),"",Calculations!AD158&amp;"/"&amp;Calculations!Y158)</f>
        <v>2/2</v>
      </c>
      <c r="F59" s="738"/>
      <c r="G59" s="603">
        <f>IF(OR(ISERROR(Calculations!AC158),ISTEXT(Calculations!AC158)),"",Calculations!AC158*'Sample Setup'!D57)</f>
        <v>0.31479349512919985</v>
      </c>
      <c r="H59" s="376">
        <f t="shared" si="0"/>
        <v>4.1801976674003018E-3</v>
      </c>
      <c r="I59" s="771" t="str">
        <f>IF(OR(ISBLANK('Sample Setup'!C57),ISTEXT(Report!C59)),"",Report!C59/'Sample Setup'!C57)</f>
        <v/>
      </c>
      <c r="J59" s="771"/>
      <c r="K59" s="185">
        <f t="shared" si="1"/>
        <v>0.52549999999999986</v>
      </c>
      <c r="L59" s="185">
        <f t="shared" si="2"/>
        <v>75.305887466554282</v>
      </c>
      <c r="M59" s="778"/>
      <c r="N59" s="778"/>
      <c r="AA59" s="377"/>
    </row>
    <row r="60" spans="1:27" ht="15.75" customHeight="1" x14ac:dyDescent="0.25">
      <c r="A60" s="35" t="s">
        <v>124</v>
      </c>
      <c r="B60" s="602">
        <v>1</v>
      </c>
      <c r="C60" s="770">
        <f>IF(ISTEXT(Calculations!AB159),Calculations!AB159,Calculations!AB159*'Sample Setup'!D58)</f>
        <v>77.832260785874524</v>
      </c>
      <c r="D60" s="770"/>
      <c r="E60" s="738" t="str">
        <f>IF(ISTEXT(Calculations!AB159),"",Calculations!AD159&amp;"/"&amp;Calculations!Y159)</f>
        <v>2/2</v>
      </c>
      <c r="F60" s="738"/>
      <c r="G60" s="603">
        <f>IF(OR(ISERROR(Calculations!AC159),ISTEXT(Calculations!AC159)),"",Calculations!AC159*'Sample Setup'!D58)</f>
        <v>0.31571366358077152</v>
      </c>
      <c r="H60" s="376">
        <f t="shared" si="0"/>
        <v>4.0563342294442145E-3</v>
      </c>
      <c r="I60" s="771" t="str">
        <f>IF(OR(ISBLANK('Sample Setup'!C58),ISTEXT(Report!C60)),"",Report!C60/'Sample Setup'!C58)</f>
        <v/>
      </c>
      <c r="J60" s="771"/>
      <c r="K60" s="185">
        <f t="shared" si="1"/>
        <v>0.54249999999999998</v>
      </c>
      <c r="L60" s="185">
        <f t="shared" si="2"/>
        <v>77.832260785874524</v>
      </c>
      <c r="M60" s="778"/>
      <c r="N60" s="778"/>
      <c r="AA60" s="377"/>
    </row>
    <row r="61" spans="1:27" ht="15.75" customHeight="1" x14ac:dyDescent="0.25">
      <c r="A61" s="35" t="s">
        <v>125</v>
      </c>
      <c r="B61" s="602">
        <v>1</v>
      </c>
      <c r="C61" s="770">
        <f>IF(ISTEXT(Calculations!AB160),Calculations!AB160,Calculations!AB160*'Sample Setup'!D59)</f>
        <v>75.973902792519624</v>
      </c>
      <c r="D61" s="770"/>
      <c r="E61" s="738" t="str">
        <f>IF(ISTEXT(Calculations!AB160),"",Calculations!AD160&amp;"/"&amp;Calculations!Y160)</f>
        <v>2/2</v>
      </c>
      <c r="F61" s="738"/>
      <c r="G61" s="603">
        <f>IF(OR(ISERROR(Calculations!AC160),ISTEXT(Calculations!AC160)),"",Calculations!AC160*'Sample Setup'!D59)</f>
        <v>0.21002167890640916</v>
      </c>
      <c r="H61" s="376">
        <f t="shared" si="0"/>
        <v>2.7643923924767473E-3</v>
      </c>
      <c r="I61" s="771" t="str">
        <f>IF(OR(ISBLANK('Sample Setup'!C59),ISTEXT(Report!C61)),"",Report!C61/'Sample Setup'!C59)</f>
        <v/>
      </c>
      <c r="J61" s="771"/>
      <c r="K61" s="185">
        <f t="shared" si="1"/>
        <v>0.52999999999999992</v>
      </c>
      <c r="L61" s="185">
        <f t="shared" si="2"/>
        <v>75.973902792519624</v>
      </c>
      <c r="M61" s="778"/>
      <c r="N61" s="778"/>
      <c r="AA61" s="377"/>
    </row>
    <row r="62" spans="1:27" ht="15.75" customHeight="1" x14ac:dyDescent="0.25">
      <c r="A62" s="35" t="s">
        <v>126</v>
      </c>
      <c r="B62" s="602">
        <v>1</v>
      </c>
      <c r="C62" s="770">
        <f>IF(ISTEXT(Calculations!AB161),Calculations!AB161,Calculations!AB161*'Sample Setup'!D60)</f>
        <v>64.16996651278842</v>
      </c>
      <c r="D62" s="770"/>
      <c r="E62" s="738" t="str">
        <f>IF(ISTEXT(Calculations!AB161),"",Calculations!AD161&amp;"/"&amp;Calculations!Y161)</f>
        <v>2/2</v>
      </c>
      <c r="F62" s="738"/>
      <c r="G62" s="603">
        <f>IF(OR(ISERROR(Calculations!AC161),ISTEXT(Calculations!AC161)),"",Calculations!AC161*'Sample Setup'!D60)</f>
        <v>3.3202428990818467</v>
      </c>
      <c r="H62" s="376">
        <f t="shared" si="0"/>
        <v>5.1741384319098187E-2</v>
      </c>
      <c r="I62" s="771" t="str">
        <f>IF(OR(ISBLANK('Sample Setup'!C60),ISTEXT(Report!C62)),"",Report!C62/'Sample Setup'!C60)</f>
        <v/>
      </c>
      <c r="J62" s="771"/>
      <c r="K62" s="185">
        <f t="shared" si="1"/>
        <v>0.45</v>
      </c>
      <c r="L62" s="185">
        <f t="shared" si="2"/>
        <v>64.16996651278842</v>
      </c>
      <c r="M62" s="778"/>
      <c r="N62" s="778"/>
      <c r="AA62" s="377"/>
    </row>
    <row r="63" spans="1:27" ht="15.75" customHeight="1" x14ac:dyDescent="0.25">
      <c r="A63" s="35" t="s">
        <v>127</v>
      </c>
      <c r="B63" s="602">
        <v>1</v>
      </c>
      <c r="C63" s="770">
        <f>IF(ISTEXT(Calculations!AB162),Calculations!AB162,Calculations!AB162*'Sample Setup'!D61)</f>
        <v>60.658087504676878</v>
      </c>
      <c r="D63" s="770"/>
      <c r="E63" s="738" t="str">
        <f>IF(ISTEXT(Calculations!AB162),"",Calculations!AD162&amp;"/"&amp;Calculations!Y162)</f>
        <v>2/2</v>
      </c>
      <c r="F63" s="738"/>
      <c r="G63" s="603">
        <f>IF(OR(ISERROR(Calculations!AC162),ISTEXT(Calculations!AC162)),"",Calculations!AC162*'Sample Setup'!D61)</f>
        <v>5.7933364273299759</v>
      </c>
      <c r="H63" s="376">
        <f t="shared" si="0"/>
        <v>9.5508062744037156E-2</v>
      </c>
      <c r="I63" s="771" t="str">
        <f>IF(OR(ISBLANK('Sample Setup'!C61),ISTEXT(Report!C63)),"",Report!C63/'Sample Setup'!C61)</f>
        <v/>
      </c>
      <c r="J63" s="771"/>
      <c r="K63" s="185">
        <f t="shared" si="1"/>
        <v>0.42600000000000005</v>
      </c>
      <c r="L63" s="185">
        <f t="shared" si="2"/>
        <v>60.658087504676878</v>
      </c>
      <c r="M63" s="778"/>
      <c r="N63" s="778"/>
      <c r="AA63" s="377"/>
    </row>
    <row r="64" spans="1:27" ht="15.75" customHeight="1" x14ac:dyDescent="0.25">
      <c r="A64" s="35" t="s">
        <v>128</v>
      </c>
      <c r="B64" s="602">
        <v>1</v>
      </c>
      <c r="C64" s="770">
        <f>IF(ISTEXT(Calculations!AB163),Calculations!AB163,Calculations!AB163*'Sample Setup'!D62)</f>
        <v>56.052060903425662</v>
      </c>
      <c r="D64" s="770"/>
      <c r="E64" s="738" t="str">
        <f>IF(ISTEXT(Calculations!AB163),"",Calculations!AD163&amp;"/"&amp;Calculations!Y163)</f>
        <v>2/2</v>
      </c>
      <c r="F64" s="738"/>
      <c r="G64" s="603">
        <f>IF(OR(ISERROR(Calculations!AC163),ISTEXT(Calculations!AC163)),"",Calculations!AC163*'Sample Setup'!D62)</f>
        <v>2.1648262113985126</v>
      </c>
      <c r="H64" s="376">
        <f t="shared" si="0"/>
        <v>3.8621705901739779E-2</v>
      </c>
      <c r="I64" s="771" t="str">
        <f>IF(OR(ISBLANK('Sample Setup'!C62),ISTEXT(Report!C64)),"",Report!C64/'Sample Setup'!C62)</f>
        <v/>
      </c>
      <c r="J64" s="771"/>
      <c r="K64" s="185">
        <f t="shared" si="1"/>
        <v>0.39450000000000002</v>
      </c>
      <c r="L64" s="185">
        <f t="shared" si="2"/>
        <v>56.052060903425662</v>
      </c>
      <c r="M64" s="778"/>
      <c r="N64" s="778"/>
      <c r="AA64" s="377"/>
    </row>
    <row r="65" spans="1:27" ht="15.75" customHeight="1" x14ac:dyDescent="0.25">
      <c r="A65" s="35" t="s">
        <v>129</v>
      </c>
      <c r="B65" s="602">
        <v>1</v>
      </c>
      <c r="C65" s="770">
        <f>IF(ISTEXT(Calculations!AB164),Calculations!AB164,Calculations!AB164*'Sample Setup'!D63)</f>
        <v>65.564733513664322</v>
      </c>
      <c r="D65" s="770"/>
      <c r="E65" s="738" t="str">
        <f>IF(ISTEXT(Calculations!AB164),"",Calculations!AD164&amp;"/"&amp;Calculations!Y164)</f>
        <v>2/2</v>
      </c>
      <c r="F65" s="738"/>
      <c r="G65" s="603">
        <f>IF(OR(ISERROR(Calculations!AC164),ISTEXT(Calculations!AC164)),"",Calculations!AC164*'Sample Setup'!D63)</f>
        <v>3.2205488046488924</v>
      </c>
      <c r="H65" s="376">
        <f t="shared" si="0"/>
        <v>4.9120138709596049E-2</v>
      </c>
      <c r="I65" s="771" t="str">
        <f>IF(OR(ISBLANK('Sample Setup'!C63),ISTEXT(Report!C65)),"",Report!C65/'Sample Setup'!C63)</f>
        <v/>
      </c>
      <c r="J65" s="771"/>
      <c r="K65" s="185">
        <f t="shared" si="1"/>
        <v>0.45950000000000002</v>
      </c>
      <c r="L65" s="185">
        <f t="shared" si="2"/>
        <v>65.564733513664322</v>
      </c>
      <c r="M65" s="778"/>
      <c r="N65" s="778"/>
      <c r="AA65" s="377"/>
    </row>
    <row r="66" spans="1:27" ht="15.75" customHeight="1" x14ac:dyDescent="0.25">
      <c r="A66" s="35" t="s">
        <v>130</v>
      </c>
      <c r="B66" s="602">
        <v>1</v>
      </c>
      <c r="C66" s="770">
        <f>IF(ISTEXT(Calculations!AB165),Calculations!AB165,Calculations!AB165*'Sample Setup'!D64)</f>
        <v>66.298300195355367</v>
      </c>
      <c r="D66" s="770"/>
      <c r="E66" s="738" t="str">
        <f>IF(ISTEXT(Calculations!AB165),"",Calculations!AD165&amp;"/"&amp;Calculations!Y165)</f>
        <v>2/2</v>
      </c>
      <c r="F66" s="738"/>
      <c r="G66" s="603">
        <f>IF(OR(ISERROR(Calculations!AC165),ISTEXT(Calculations!AC165)),"",Calculations!AC165*'Sample Setup'!D64)</f>
        <v>2.1831288544963896</v>
      </c>
      <c r="H66" s="376">
        <f t="shared" si="0"/>
        <v>3.2928881254324104E-2</v>
      </c>
      <c r="I66" s="771" t="str">
        <f>IF(OR(ISBLANK('Sample Setup'!C64),ISTEXT(Report!C66)),"",Report!C66/'Sample Setup'!C64)</f>
        <v/>
      </c>
      <c r="J66" s="771"/>
      <c r="K66" s="185">
        <f t="shared" si="1"/>
        <v>0.46450000000000002</v>
      </c>
      <c r="L66" s="185">
        <f t="shared" si="2"/>
        <v>66.298300195355367</v>
      </c>
      <c r="M66" s="778"/>
      <c r="N66" s="778"/>
      <c r="AA66" s="377"/>
    </row>
    <row r="67" spans="1:27" ht="15.75" customHeight="1" x14ac:dyDescent="0.25">
      <c r="A67" s="35" t="s">
        <v>131</v>
      </c>
      <c r="B67" s="602">
        <v>1</v>
      </c>
      <c r="C67" s="770">
        <f>IF(ISTEXT(Calculations!AB166),Calculations!AB166,Calculations!AB166*'Sample Setup'!D65)</f>
        <v>58.020806542169154</v>
      </c>
      <c r="D67" s="770"/>
      <c r="E67" s="738" t="str">
        <f>IF(ISTEXT(Calculations!AB166),"",Calculations!AD166&amp;"/"&amp;Calculations!Y166)</f>
        <v>2/2</v>
      </c>
      <c r="F67" s="738"/>
      <c r="G67" s="603">
        <f>IF(OR(ISERROR(Calculations!AC166),ISTEXT(Calculations!AC166)),"",Calculations!AC166*'Sample Setup'!D65)</f>
        <v>0.61940057177541585</v>
      </c>
      <c r="H67" s="376">
        <f t="shared" si="0"/>
        <v>1.0675490547089163E-2</v>
      </c>
      <c r="I67" s="771" t="str">
        <f>IF(OR(ISBLANK('Sample Setup'!C65),ISTEXT(Report!C67)),"",Report!C67/'Sample Setup'!C65)</f>
        <v/>
      </c>
      <c r="J67" s="771"/>
      <c r="K67" s="185">
        <f t="shared" si="1"/>
        <v>0.40800000000000003</v>
      </c>
      <c r="L67" s="185">
        <f t="shared" si="2"/>
        <v>58.020806542169154</v>
      </c>
      <c r="M67" s="778"/>
      <c r="N67" s="778"/>
      <c r="AA67" s="377"/>
    </row>
    <row r="68" spans="1:27" ht="15.75" customHeight="1" x14ac:dyDescent="0.25">
      <c r="A68" s="35" t="s">
        <v>132</v>
      </c>
      <c r="B68" s="602">
        <v>1</v>
      </c>
      <c r="C68" s="770">
        <f>IF(ISTEXT(Calculations!AB167),Calculations!AB167,Calculations!AB167*'Sample Setup'!D66)</f>
        <v>62.042146460910764</v>
      </c>
      <c r="D68" s="770"/>
      <c r="E68" s="738" t="str">
        <f>IF(ISTEXT(Calculations!AB167),"",Calculations!AD167&amp;"/"&amp;Calculations!Y167)</f>
        <v>2/2</v>
      </c>
      <c r="F68" s="738"/>
      <c r="G68" s="603">
        <f>IF(OR(ISERROR(Calculations!AC167),ISTEXT(Calculations!AC167)),"",Calculations!AC167*'Sample Setup'!D66)</f>
        <v>1.1392107398127391</v>
      </c>
      <c r="H68" s="376">
        <f t="shared" si="0"/>
        <v>1.8361884699306642E-2</v>
      </c>
      <c r="I68" s="771" t="str">
        <f>IF(OR(ISBLANK('Sample Setup'!C66),ISTEXT(Report!C68)),"",Report!C68/'Sample Setup'!C66)</f>
        <v/>
      </c>
      <c r="J68" s="771"/>
      <c r="K68" s="185">
        <f t="shared" si="1"/>
        <v>0.4355</v>
      </c>
      <c r="L68" s="185">
        <f t="shared" si="2"/>
        <v>62.042146460910764</v>
      </c>
      <c r="M68" s="778"/>
      <c r="N68" s="778"/>
      <c r="AA68" s="377"/>
    </row>
    <row r="69" spans="1:27" ht="15.75" customHeight="1" x14ac:dyDescent="0.25">
      <c r="A69" s="35" t="s">
        <v>133</v>
      </c>
      <c r="B69" s="602">
        <v>1</v>
      </c>
      <c r="C69" s="770">
        <f>IF(ISTEXT(Calculations!AB168),Calculations!AB168,Calculations!AB168*'Sample Setup'!D67)</f>
        <v>60.359431189564923</v>
      </c>
      <c r="D69" s="770"/>
      <c r="E69" s="738" t="str">
        <f>IF(ISTEXT(Calculations!AB168),"",Calculations!AD168&amp;"/"&amp;Calculations!Y168)</f>
        <v>2/2</v>
      </c>
      <c r="F69" s="738"/>
      <c r="G69" s="603">
        <f>IF(OR(ISERROR(Calculations!AC168),ISTEXT(Calculations!AC168)),"",Calculations!AC168*'Sample Setup'!D67)</f>
        <v>1.8615900527947524</v>
      </c>
      <c r="H69" s="376">
        <f t="shared" si="0"/>
        <v>3.0841742808149396E-2</v>
      </c>
      <c r="I69" s="771" t="str">
        <f>IF(OR(ISBLANK('Sample Setup'!C67),ISTEXT(Report!C69)),"",Report!C69/'Sample Setup'!C67)</f>
        <v/>
      </c>
      <c r="J69" s="771"/>
      <c r="K69" s="185">
        <f t="shared" si="1"/>
        <v>0.42400000000000004</v>
      </c>
      <c r="L69" s="185">
        <f t="shared" si="2"/>
        <v>60.359431189564923</v>
      </c>
      <c r="M69" s="778"/>
      <c r="N69" s="778"/>
      <c r="AA69" s="377"/>
    </row>
    <row r="70" spans="1:27" ht="15.75" customHeight="1" x14ac:dyDescent="0.25">
      <c r="A70" s="35" t="s">
        <v>134</v>
      </c>
      <c r="B70" s="602">
        <v>1</v>
      </c>
      <c r="C70" s="770">
        <f>IF(ISTEXT(Calculations!AB169),Calculations!AB169,Calculations!AB169*'Sample Setup'!D68)</f>
        <v>68.730101684874995</v>
      </c>
      <c r="D70" s="770"/>
      <c r="E70" s="738" t="str">
        <f>IF(ISTEXT(Calculations!AB169),"",Calculations!AD169&amp;"/"&amp;Calculations!Y169)</f>
        <v>2/2</v>
      </c>
      <c r="F70" s="738"/>
      <c r="G70" s="603">
        <f>IF(OR(ISERROR(Calculations!AC169),ISTEXT(Calculations!AC169)),"",Calculations!AC169*'Sample Setup'!D68)</f>
        <v>4.1681949401296698</v>
      </c>
      <c r="H70" s="376">
        <f t="shared" si="0"/>
        <v>6.0645842766837321E-2</v>
      </c>
      <c r="I70" s="771" t="str">
        <f>IF(OR(ISBLANK('Sample Setup'!C68),ISTEXT(Report!C70)),"",Report!C70/'Sample Setup'!C68)</f>
        <v/>
      </c>
      <c r="J70" s="771"/>
      <c r="K70" s="185">
        <f t="shared" si="1"/>
        <v>0.48099999999999998</v>
      </c>
      <c r="L70" s="185">
        <f t="shared" si="2"/>
        <v>68.730101684874995</v>
      </c>
      <c r="M70" s="778"/>
      <c r="N70" s="778"/>
      <c r="AA70" s="377"/>
    </row>
    <row r="71" spans="1:27" ht="15.75" customHeight="1" x14ac:dyDescent="0.25">
      <c r="A71" s="35" t="s">
        <v>135</v>
      </c>
      <c r="B71" s="602">
        <v>1</v>
      </c>
      <c r="C71" s="770">
        <f>IF(ISTEXT(Calculations!AB170),Calculations!AB170,Calculations!AB170*'Sample Setup'!D69)</f>
        <v>65.051432886104806</v>
      </c>
      <c r="D71" s="770"/>
      <c r="E71" s="738" t="str">
        <f>IF(ISTEXT(Calculations!AB170),"",Calculations!AD170&amp;"/"&amp;Calculations!Y170)</f>
        <v>2/2</v>
      </c>
      <c r="F71" s="738"/>
      <c r="G71" s="603">
        <f>IF(OR(ISERROR(Calculations!AC170),ISTEXT(Calculations!AC170)),"",Calculations!AC170*'Sample Setup'!D69)</f>
        <v>3.7382584086688677</v>
      </c>
      <c r="H71" s="376">
        <f t="shared" si="0"/>
        <v>5.7466196251418342E-2</v>
      </c>
      <c r="I71" s="771" t="str">
        <f>IF(OR(ISBLANK('Sample Setup'!C69),ISTEXT(Report!C71)),"",Report!C71/'Sample Setup'!C69)</f>
        <v/>
      </c>
      <c r="J71" s="771"/>
      <c r="K71" s="185">
        <f t="shared" si="1"/>
        <v>0.45600000000000002</v>
      </c>
      <c r="L71" s="185">
        <f t="shared" si="2"/>
        <v>65.051432886104806</v>
      </c>
      <c r="M71" s="778"/>
      <c r="N71" s="778"/>
      <c r="AA71" s="377"/>
    </row>
    <row r="72" spans="1:27" ht="15.75" customHeight="1" x14ac:dyDescent="0.25">
      <c r="A72" s="35" t="s">
        <v>136</v>
      </c>
      <c r="B72" s="602">
        <v>1</v>
      </c>
      <c r="C72" s="770">
        <f>IF(ISTEXT(Calculations!AB171),Calculations!AB171,Calculations!AB171*'Sample Setup'!D70)</f>
        <v>58.824193182395007</v>
      </c>
      <c r="D72" s="770"/>
      <c r="E72" s="738" t="str">
        <f>IF(ISTEXT(Calculations!AB171),"",Calculations!AD171&amp;"/"&amp;Calculations!Y171)</f>
        <v>2/2</v>
      </c>
      <c r="F72" s="738"/>
      <c r="G72" s="603">
        <f>IF(OR(ISERROR(Calculations!AC171),ISTEXT(Calculations!AC171)),"",Calculations!AC171*'Sample Setup'!D70)</f>
        <v>1.1362618797330544</v>
      </c>
      <c r="H72" s="376">
        <f t="shared" si="0"/>
        <v>1.9316233989132153E-2</v>
      </c>
      <c r="I72" s="771" t="str">
        <f>IF(OR(ISBLANK('Sample Setup'!C70),ISTEXT(Report!C72)),"",Report!C72/'Sample Setup'!C70)</f>
        <v/>
      </c>
      <c r="J72" s="771"/>
      <c r="K72" s="185">
        <f t="shared" si="1"/>
        <v>0.41349999999999998</v>
      </c>
      <c r="L72" s="185">
        <f t="shared" si="2"/>
        <v>58.824193182395007</v>
      </c>
      <c r="M72" s="778"/>
      <c r="N72" s="778"/>
      <c r="AA72" s="377"/>
    </row>
    <row r="73" spans="1:27" ht="15.75" customHeight="1" x14ac:dyDescent="0.25">
      <c r="A73" s="35" t="s">
        <v>137</v>
      </c>
      <c r="B73" s="602">
        <v>1</v>
      </c>
      <c r="C73" s="770">
        <f>IF(ISTEXT(Calculations!AB172),Calculations!AB172,Calculations!AB172*'Sample Setup'!D71)</f>
        <v>66.077172118068162</v>
      </c>
      <c r="D73" s="770"/>
      <c r="E73" s="738" t="str">
        <f>IF(ISTEXT(Calculations!AB172),"",Calculations!AD172&amp;"/"&amp;Calculations!Y172)</f>
        <v>2/2</v>
      </c>
      <c r="F73" s="738"/>
      <c r="G73" s="603">
        <f>IF(OR(ISERROR(Calculations!AC172),ISTEXT(Calculations!AC172)),"",Calculations!AC172*'Sample Setup'!D71)</f>
        <v>1.4551114197111006</v>
      </c>
      <c r="H73" s="376">
        <f t="shared" si="0"/>
        <v>2.2021393668468062E-2</v>
      </c>
      <c r="I73" s="771" t="str">
        <f>IF(OR(ISBLANK('Sample Setup'!C71),ISTEXT(Report!C73)),"",Report!C73/'Sample Setup'!C71)</f>
        <v/>
      </c>
      <c r="J73" s="771"/>
      <c r="K73" s="185">
        <f t="shared" si="1"/>
        <v>0.46300000000000002</v>
      </c>
      <c r="L73" s="185">
        <f t="shared" si="2"/>
        <v>66.077172118068162</v>
      </c>
      <c r="M73" s="778"/>
      <c r="N73" s="778"/>
      <c r="AA73" s="377"/>
    </row>
    <row r="74" spans="1:27" ht="15.75" customHeight="1" x14ac:dyDescent="0.25">
      <c r="A74" s="35" t="s">
        <v>138</v>
      </c>
      <c r="B74" s="602">
        <v>1</v>
      </c>
      <c r="C74" s="770">
        <f>IF(ISTEXT(Calculations!AB173),Calculations!AB173,Calculations!AB173*'Sample Setup'!D72)</f>
        <v>66.665292929343551</v>
      </c>
      <c r="D74" s="770"/>
      <c r="E74" s="738" t="str">
        <f>IF(ISTEXT(Calculations!AB173),"",Calculations!AD173&amp;"/"&amp;Calculations!Y173)</f>
        <v>2/2</v>
      </c>
      <c r="F74" s="738"/>
      <c r="G74" s="603">
        <f>IF(OR(ISERROR(Calculations!AC173),ISTEXT(Calculations!AC173)),"",Calculations!AC173*'Sample Setup'!D72)</f>
        <v>1.4559156477485948</v>
      </c>
      <c r="H74" s="376">
        <f t="shared" si="0"/>
        <v>2.1839184735776593E-2</v>
      </c>
      <c r="I74" s="771" t="str">
        <f>IF(OR(ISBLANK('Sample Setup'!C72),ISTEXT(Report!C74)),"",Report!C74/'Sample Setup'!C72)</f>
        <v/>
      </c>
      <c r="J74" s="771"/>
      <c r="K74" s="185">
        <f t="shared" si="1"/>
        <v>0.46700000000000003</v>
      </c>
      <c r="L74" s="185">
        <f t="shared" si="2"/>
        <v>66.665292929343551</v>
      </c>
      <c r="M74" s="778"/>
      <c r="N74" s="778"/>
      <c r="AA74" s="377"/>
    </row>
    <row r="75" spans="1:27" ht="15.75" customHeight="1" x14ac:dyDescent="0.25">
      <c r="A75" s="35" t="s">
        <v>139</v>
      </c>
      <c r="B75" s="602">
        <v>1</v>
      </c>
      <c r="C75" s="770">
        <f>IF(ISTEXT(Calculations!AB174),Calculations!AB174,Calculations!AB174*'Sample Setup'!D73)</f>
        <v>63.874095581866904</v>
      </c>
      <c r="D75" s="770"/>
      <c r="E75" s="738" t="str">
        <f>IF(ISTEXT(Calculations!AB174),"",Calculations!AD174&amp;"/"&amp;Calculations!Y174)</f>
        <v>2/2</v>
      </c>
      <c r="F75" s="738"/>
      <c r="G75" s="603">
        <f>IF(OR(ISERROR(Calculations!AC174),ISTEXT(Calculations!AC174)),"",Calculations!AC174*'Sample Setup'!D73)</f>
        <v>0.20745660402939764</v>
      </c>
      <c r="H75" s="376">
        <f t="shared" si="0"/>
        <v>3.2478988882668753E-3</v>
      </c>
      <c r="I75" s="771" t="str">
        <f>IF(OR(ISBLANK('Sample Setup'!C73),ISTEXT(Report!C75)),"",Report!C75/'Sample Setup'!C73)</f>
        <v/>
      </c>
      <c r="J75" s="771"/>
      <c r="K75" s="185">
        <f t="shared" si="1"/>
        <v>0.44800000000000001</v>
      </c>
      <c r="L75" s="185">
        <f t="shared" si="2"/>
        <v>63.874095581866904</v>
      </c>
      <c r="M75" s="778"/>
      <c r="N75" s="778"/>
      <c r="AA75" s="377"/>
    </row>
    <row r="76" spans="1:27" ht="15.75" customHeight="1" x14ac:dyDescent="0.25">
      <c r="A76" s="35" t="s">
        <v>140</v>
      </c>
      <c r="B76" s="602">
        <v>1</v>
      </c>
      <c r="C76" s="770">
        <f>IF(ISTEXT(Calculations!AB175),Calculations!AB175,Calculations!AB175*'Sample Setup'!D74)</f>
        <v>64.757088142917638</v>
      </c>
      <c r="D76" s="770"/>
      <c r="E76" s="738" t="str">
        <f>IF(ISTEXT(Calculations!AB175),"",Calculations!AD175&amp;"/"&amp;Calculations!Y175)</f>
        <v>2/2</v>
      </c>
      <c r="F76" s="738"/>
      <c r="G76" s="603">
        <f>IF(OR(ISERROR(Calculations!AC175),ISTEXT(Calculations!AC175)),"",Calculations!AC175*'Sample Setup'!D74)</f>
        <v>3.3219920808403596</v>
      </c>
      <c r="H76" s="376">
        <f t="shared" si="0"/>
        <v>5.1299281300431349E-2</v>
      </c>
      <c r="I76" s="771" t="str">
        <f>IF(OR(ISBLANK('Sample Setup'!C74),ISTEXT(Report!C76)),"",Report!C76/'Sample Setup'!C74)</f>
        <v/>
      </c>
      <c r="J76" s="771"/>
      <c r="K76" s="185">
        <f t="shared" si="1"/>
        <v>0.45400000000000001</v>
      </c>
      <c r="L76" s="185">
        <f t="shared" si="2"/>
        <v>64.757088142917638</v>
      </c>
      <c r="M76" s="778"/>
      <c r="N76" s="778"/>
      <c r="AA76" s="377"/>
    </row>
    <row r="77" spans="1:27" ht="15.75" customHeight="1" x14ac:dyDescent="0.25">
      <c r="A77" s="35" t="s">
        <v>141</v>
      </c>
      <c r="B77" s="602">
        <v>1</v>
      </c>
      <c r="C77" s="770">
        <f>IF(ISTEXT(Calculations!AB176),Calculations!AB176,Calculations!AB176*'Sample Setup'!D75)</f>
        <v>63.800857754548488</v>
      </c>
      <c r="D77" s="770"/>
      <c r="E77" s="738" t="str">
        <f>IF(ISTEXT(Calculations!AB176),"",Calculations!AD176&amp;"/"&amp;Calculations!Y176)</f>
        <v>2/2</v>
      </c>
      <c r="F77" s="738"/>
      <c r="G77" s="603">
        <f>IF(OR(ISERROR(Calculations!AC176),ISTEXT(Calculations!AC176)),"",Calculations!AC176*'Sample Setup'!D75)</f>
        <v>0.72605178376614155</v>
      </c>
      <c r="H77" s="376">
        <f t="shared" si="0"/>
        <v>1.1379969005422657E-2</v>
      </c>
      <c r="I77" s="771" t="str">
        <f>IF(OR(ISBLANK('Sample Setup'!C75),ISTEXT(Report!C77)),"",Report!C77/'Sample Setup'!C75)</f>
        <v/>
      </c>
      <c r="J77" s="771"/>
      <c r="K77" s="185">
        <f t="shared" si="1"/>
        <v>0.44750000000000001</v>
      </c>
      <c r="L77" s="185">
        <f t="shared" si="2"/>
        <v>63.800857754548488</v>
      </c>
      <c r="M77" s="778"/>
      <c r="N77" s="778"/>
      <c r="AA77" s="377"/>
    </row>
    <row r="78" spans="1:27" ht="15.75" customHeight="1" x14ac:dyDescent="0.25">
      <c r="A78" s="35" t="s">
        <v>142</v>
      </c>
      <c r="B78" s="602">
        <v>1</v>
      </c>
      <c r="C78" s="770">
        <f>IF(ISTEXT(Calculations!AB177),Calculations!AB177,Calculations!AB177*'Sample Setup'!D76)</f>
        <v>67.921452393509071</v>
      </c>
      <c r="D78" s="770"/>
      <c r="E78" s="738" t="str">
        <f>IF(ISTEXT(Calculations!AB177),"",Calculations!AD177&amp;"/"&amp;Calculations!Y177)</f>
        <v>2/2</v>
      </c>
      <c r="F78" s="738"/>
      <c r="G78" s="603">
        <f>IF(OR(ISERROR(Calculations!AC177),ISTEXT(Calculations!AC177)),"",Calculations!AC177*'Sample Setup'!D76)</f>
        <v>4.8937976300613792</v>
      </c>
      <c r="H78" s="376">
        <f t="shared" si="0"/>
        <v>7.2050838985431589E-2</v>
      </c>
      <c r="I78" s="771" t="str">
        <f>IF(OR(ISBLANK('Sample Setup'!C76),ISTEXT(Report!C78)),"",Report!C78/'Sample Setup'!C76)</f>
        <v/>
      </c>
      <c r="J78" s="771"/>
      <c r="K78" s="185">
        <f t="shared" si="1"/>
        <v>0.47550000000000003</v>
      </c>
      <c r="L78" s="185">
        <f t="shared" si="2"/>
        <v>67.921452393509071</v>
      </c>
      <c r="M78" s="778"/>
      <c r="N78" s="778"/>
      <c r="AA78" s="377"/>
    </row>
    <row r="79" spans="1:27" ht="15.75" customHeight="1" x14ac:dyDescent="0.25">
      <c r="A79" s="35" t="s">
        <v>143</v>
      </c>
      <c r="B79" s="602">
        <v>1</v>
      </c>
      <c r="C79" s="770">
        <f>IF(ISTEXT(Calculations!AB178),Calculations!AB178,Calculations!AB178*'Sample Setup'!D77)</f>
        <v>67.62193317282842</v>
      </c>
      <c r="D79" s="770"/>
      <c r="E79" s="738" t="str">
        <f>IF(ISTEXT(Calculations!AB178),"",Calculations!AD178&amp;"/"&amp;Calculations!Y178)</f>
        <v>2/2</v>
      </c>
      <c r="F79" s="738"/>
      <c r="G79" s="603">
        <f>IF(OR(ISERROR(Calculations!AC178),ISTEXT(Calculations!AC178)),"",Calculations!AC178*'Sample Setup'!D77)</f>
        <v>1.7695189664793192</v>
      </c>
      <c r="H79" s="376">
        <f t="shared" si="0"/>
        <v>2.6167825784524309E-2</v>
      </c>
      <c r="I79" s="771" t="str">
        <f>IF(OR(ISBLANK('Sample Setup'!C77),ISTEXT(Report!C79)),"",Report!C79/'Sample Setup'!C77)</f>
        <v/>
      </c>
      <c r="J79" s="771"/>
      <c r="K79" s="185">
        <f t="shared" si="1"/>
        <v>0.47350000000000003</v>
      </c>
      <c r="L79" s="185">
        <f t="shared" si="2"/>
        <v>67.62193317282842</v>
      </c>
      <c r="M79" s="778"/>
      <c r="N79" s="778"/>
      <c r="AA79" s="377"/>
    </row>
    <row r="80" spans="1:27" ht="15.75" customHeight="1" x14ac:dyDescent="0.25">
      <c r="A80" s="35" t="s">
        <v>144</v>
      </c>
      <c r="B80" s="602">
        <v>1</v>
      </c>
      <c r="C80" s="770">
        <f>IF(ISTEXT(Calculations!AB179),Calculations!AB179,Calculations!AB179*'Sample Setup'!D78)</f>
        <v>31.487814251589974</v>
      </c>
      <c r="D80" s="770"/>
      <c r="E80" s="738" t="str">
        <f>IF(ISTEXT(Calculations!AB179),"",Calculations!AD179&amp;"/"&amp;Calculations!Y179)</f>
        <v>2/2</v>
      </c>
      <c r="F80" s="738"/>
      <c r="G80" s="603">
        <f>IF(OR(ISERROR(Calculations!AC179),ISTEXT(Calculations!AC179)),"",Calculations!AC179*'Sample Setup'!D78)</f>
        <v>1.2259374025023113</v>
      </c>
      <c r="H80" s="376">
        <f t="shared" si="0"/>
        <v>3.8933709171013915E-2</v>
      </c>
      <c r="I80" s="771" t="str">
        <f>IF(OR(ISBLANK('Sample Setup'!C78),ISTEXT(Report!C80)),"",Report!C80/'Sample Setup'!C78)</f>
        <v/>
      </c>
      <c r="J80" s="771"/>
      <c r="K80" s="185">
        <f t="shared" si="1"/>
        <v>0.22500000000000001</v>
      </c>
      <c r="L80" s="185">
        <f t="shared" si="2"/>
        <v>31.487814251589974</v>
      </c>
      <c r="M80" s="778"/>
      <c r="N80" s="778"/>
      <c r="AA80" s="377"/>
    </row>
    <row r="81" spans="1:27" ht="15.75" customHeight="1" x14ac:dyDescent="0.25">
      <c r="A81" s="35" t="s">
        <v>145</v>
      </c>
      <c r="B81" s="602">
        <v>1</v>
      </c>
      <c r="C81" s="770">
        <f>IF(ISTEXT(Calculations!AB180),Calculations!AB180,Calculations!AB180*'Sample Setup'!D79)</f>
        <v>31.704538216210551</v>
      </c>
      <c r="D81" s="770"/>
      <c r="E81" s="738" t="str">
        <f>IF(ISTEXT(Calculations!AB180),"",Calculations!AD180&amp;"/"&amp;Calculations!Y180)</f>
        <v>2/2</v>
      </c>
      <c r="F81" s="738"/>
      <c r="G81" s="603">
        <f>IF(OR(ISERROR(Calculations!AC180),ISTEXT(Calculations!AC180)),"",Calculations!AC180*'Sample Setup'!D79)</f>
        <v>0.30648171297335647</v>
      </c>
      <c r="H81" s="376">
        <f t="shared" si="0"/>
        <v>9.6668089244287478E-3</v>
      </c>
      <c r="I81" s="771" t="str">
        <f>IF(OR(ISBLANK('Sample Setup'!C79),ISTEXT(Report!C81)),"",Report!C81/'Sample Setup'!C79)</f>
        <v/>
      </c>
      <c r="J81" s="771"/>
      <c r="K81" s="185">
        <f t="shared" si="1"/>
        <v>0.22650000000000001</v>
      </c>
      <c r="L81" s="185">
        <f t="shared" si="2"/>
        <v>31.704538216210551</v>
      </c>
      <c r="M81" s="778"/>
      <c r="N81" s="778"/>
      <c r="AA81" s="377"/>
    </row>
    <row r="82" spans="1:27" ht="15.75" customHeight="1" x14ac:dyDescent="0.25">
      <c r="A82" s="35" t="s">
        <v>146</v>
      </c>
      <c r="B82" s="602">
        <v>1</v>
      </c>
      <c r="C82" s="770">
        <f>IF(ISTEXT(Calculations!AB181),Calculations!AB181,Calculations!AB181*'Sample Setup'!D80)</f>
        <v>30.693179745285462</v>
      </c>
      <c r="D82" s="770"/>
      <c r="E82" s="738" t="str">
        <f>IF(ISTEXT(Calculations!AB181),"",Calculations!AD181&amp;"/"&amp;Calculations!Y181)</f>
        <v>2/2</v>
      </c>
      <c r="F82" s="738"/>
      <c r="G82" s="603">
        <f>IF(OR(ISERROR(Calculations!AC181),ISTEXT(Calculations!AC181)),"",Calculations!AC181*'Sample Setup'!D80)</f>
        <v>0.71514974783105156</v>
      </c>
      <c r="H82" s="376">
        <f t="shared" si="0"/>
        <v>2.329995633446548E-2</v>
      </c>
      <c r="I82" s="771" t="str">
        <f>IF(OR(ISBLANK('Sample Setup'!C80),ISTEXT(Report!C82)),"",Report!C82/'Sample Setup'!C80)</f>
        <v/>
      </c>
      <c r="J82" s="771"/>
      <c r="K82" s="185">
        <f t="shared" si="1"/>
        <v>0.21950000000000003</v>
      </c>
      <c r="L82" s="185">
        <f t="shared" si="2"/>
        <v>30.693179745285462</v>
      </c>
      <c r="M82" s="778"/>
      <c r="N82" s="778"/>
      <c r="AA82" s="377"/>
    </row>
    <row r="83" spans="1:27" ht="15.75" customHeight="1" x14ac:dyDescent="0.25">
      <c r="A83" s="35" t="s">
        <v>147</v>
      </c>
      <c r="B83" s="602">
        <v>1</v>
      </c>
      <c r="C83" s="770">
        <f>IF(ISTEXT(Calculations!AB182),Calculations!AB182,Calculations!AB182*'Sample Setup'!D81)</f>
        <v>29.176011753045067</v>
      </c>
      <c r="D83" s="770"/>
      <c r="E83" s="738" t="str">
        <f>IF(ISTEXT(Calculations!AB182),"",Calculations!AD182&amp;"/"&amp;Calculations!Y182)</f>
        <v>2/2</v>
      </c>
      <c r="F83" s="738"/>
      <c r="G83" s="603">
        <f>IF(OR(ISERROR(Calculations!AC182),ISTEXT(Calculations!AC182)),"",Calculations!AC182*'Sample Setup'!D81)</f>
        <v>1.0217756365871549</v>
      </c>
      <c r="H83" s="376">
        <f t="shared" si="0"/>
        <v>3.5021086680242147E-2</v>
      </c>
      <c r="I83" s="771" t="str">
        <f>IF(OR(ISBLANK('Sample Setup'!C81),ISTEXT(Report!C83)),"",Report!C83/'Sample Setup'!C81)</f>
        <v/>
      </c>
      <c r="J83" s="771"/>
      <c r="K83" s="185">
        <f t="shared" si="1"/>
        <v>0.20899999999999999</v>
      </c>
      <c r="L83" s="185">
        <f t="shared" si="2"/>
        <v>29.176011753045067</v>
      </c>
      <c r="M83" s="778"/>
      <c r="N83" s="778"/>
      <c r="AA83" s="377"/>
    </row>
    <row r="84" spans="1:27" ht="15.75" customHeight="1" x14ac:dyDescent="0.25">
      <c r="A84" s="35" t="s">
        <v>148</v>
      </c>
      <c r="B84" s="602">
        <v>1</v>
      </c>
      <c r="C84" s="770">
        <f>IF(ISTEXT(Calculations!AB183),Calculations!AB183,Calculations!AB183*'Sample Setup'!D82)</f>
        <v>30.404191652999607</v>
      </c>
      <c r="D84" s="770"/>
      <c r="E84" s="738" t="str">
        <f>IF(ISTEXT(Calculations!AB183),"",Calculations!AD183&amp;"/"&amp;Calculations!Y183)</f>
        <v>2/2</v>
      </c>
      <c r="F84" s="738"/>
      <c r="G84" s="603">
        <f>IF(OR(ISERROR(Calculations!AC183),ISTEXT(Calculations!AC183)),"",Calculations!AC183*'Sample Setup'!D82)</f>
        <v>1.3281637515976126</v>
      </c>
      <c r="H84" s="376">
        <f t="shared" si="0"/>
        <v>4.3683573855731142E-2</v>
      </c>
      <c r="I84" s="771" t="str">
        <f>IF(OR(ISBLANK('Sample Setup'!C82),ISTEXT(Report!C84)),"",Report!C84/'Sample Setup'!C82)</f>
        <v/>
      </c>
      <c r="J84" s="771"/>
      <c r="K84" s="185">
        <f t="shared" si="1"/>
        <v>0.21750000000000003</v>
      </c>
      <c r="L84" s="185">
        <f t="shared" si="2"/>
        <v>30.404191652999607</v>
      </c>
      <c r="M84" s="778"/>
      <c r="N84" s="778"/>
      <c r="AA84" s="377"/>
    </row>
    <row r="85" spans="1:27" ht="15.75" customHeight="1" x14ac:dyDescent="0.25">
      <c r="A85" s="35" t="s">
        <v>149</v>
      </c>
      <c r="B85" s="602">
        <v>1</v>
      </c>
      <c r="C85" s="770">
        <f>IF(ISTEXT(Calculations!AB184),Calculations!AB184,Calculations!AB184*'Sample Setup'!D83)</f>
        <v>30.404216318560273</v>
      </c>
      <c r="D85" s="770"/>
      <c r="E85" s="738" t="str">
        <f>IF(ISTEXT(Calculations!AB184),"",Calculations!AD184&amp;"/"&amp;Calculations!Y184)</f>
        <v>2/2</v>
      </c>
      <c r="F85" s="738"/>
      <c r="G85" s="603">
        <f>IF(OR(ISERROR(Calculations!AC184),ISTEXT(Calculations!AC184)),"",Calculations!AC184*'Sample Setup'!D83)</f>
        <v>0.51082965213106524</v>
      </c>
      <c r="H85" s="376">
        <f t="shared" si="0"/>
        <v>1.680127673013657E-2</v>
      </c>
      <c r="I85" s="771" t="str">
        <f>IF(OR(ISBLANK('Sample Setup'!C83),ISTEXT(Report!C85)),"",Report!C85/'Sample Setup'!C83)</f>
        <v/>
      </c>
      <c r="J85" s="771"/>
      <c r="K85" s="185">
        <f t="shared" si="1"/>
        <v>0.21750000000000003</v>
      </c>
      <c r="L85" s="185">
        <f t="shared" si="2"/>
        <v>30.404216318560273</v>
      </c>
      <c r="M85" s="778"/>
      <c r="N85" s="778"/>
      <c r="AA85" s="377"/>
    </row>
    <row r="86" spans="1:27" ht="15.75" customHeight="1" x14ac:dyDescent="0.25">
      <c r="A86" s="35" t="s">
        <v>150</v>
      </c>
      <c r="B86" s="602">
        <v>1</v>
      </c>
      <c r="C86" s="770">
        <f>IF(ISTEXT(Calculations!AB185),Calculations!AB185,Calculations!AB185*'Sample Setup'!D84)</f>
        <v>33.727271334481514</v>
      </c>
      <c r="D86" s="770"/>
      <c r="E86" s="738" t="str">
        <f>IF(ISTEXT(Calculations!AB185),"",Calculations!AD185&amp;"/"&amp;Calculations!Y185)</f>
        <v>2/2</v>
      </c>
      <c r="F86" s="738"/>
      <c r="G86" s="603">
        <f>IF(OR(ISERROR(Calculations!AC185),ISTEXT(Calculations!AC185)),"",Calculations!AC185*'Sample Setup'!D84)</f>
        <v>1.5324908303214562</v>
      </c>
      <c r="H86" s="376">
        <f t="shared" si="0"/>
        <v>4.5437735389957094E-2</v>
      </c>
      <c r="I86" s="771" t="str">
        <f>IF(OR(ISBLANK('Sample Setup'!C84),ISTEXT(Report!C86)),"",Report!C86/'Sample Setup'!C84)</f>
        <v/>
      </c>
      <c r="J86" s="771"/>
      <c r="K86" s="185">
        <f t="shared" si="1"/>
        <v>0.24049999999999999</v>
      </c>
      <c r="L86" s="185">
        <f t="shared" si="2"/>
        <v>33.727271334481514</v>
      </c>
      <c r="M86" s="778"/>
      <c r="N86" s="778"/>
      <c r="AA86" s="377"/>
    </row>
    <row r="87" spans="1:27" ht="15.75" customHeight="1" x14ac:dyDescent="0.25">
      <c r="A87" s="35" t="s">
        <v>151</v>
      </c>
      <c r="B87" s="602">
        <v>1</v>
      </c>
      <c r="C87" s="770">
        <f>IF(ISTEXT(Calculations!AB186),Calculations!AB186,Calculations!AB186*'Sample Setup'!D85)</f>
        <v>31.198866624827438</v>
      </c>
      <c r="D87" s="770"/>
      <c r="E87" s="738" t="str">
        <f>IF(ISTEXT(Calculations!AB186),"",Calculations!AD186&amp;"/"&amp;Calculations!Y186)</f>
        <v>2/2</v>
      </c>
      <c r="F87" s="738"/>
      <c r="G87" s="603">
        <f>IF(OR(ISERROR(Calculations!AC186),ISTEXT(Calculations!AC186)),"",Calculations!AC186*'Sample Setup'!D85)</f>
        <v>0.20432362876023408</v>
      </c>
      <c r="H87" s="376">
        <f t="shared" si="0"/>
        <v>6.5490721575647681E-3</v>
      </c>
      <c r="I87" s="771" t="str">
        <f>IF(OR(ISBLANK('Sample Setup'!C85),ISTEXT(Report!C87)),"",Report!C87/'Sample Setup'!C85)</f>
        <v/>
      </c>
      <c r="J87" s="771"/>
      <c r="K87" s="185">
        <f t="shared" si="1"/>
        <v>0.22300000000000003</v>
      </c>
      <c r="L87" s="185">
        <f t="shared" si="2"/>
        <v>31.198866624827438</v>
      </c>
      <c r="M87" s="778"/>
      <c r="N87" s="778"/>
      <c r="AA87" s="377"/>
    </row>
    <row r="88" spans="1:27" ht="15.75" customHeight="1" x14ac:dyDescent="0.25">
      <c r="A88" s="35" t="s">
        <v>152</v>
      </c>
      <c r="B88" s="602">
        <v>1</v>
      </c>
      <c r="C88" s="770">
        <f>IF(ISTEXT(Calculations!AB187),Calculations!AB187,Calculations!AB187*'Sample Setup'!D86)</f>
        <v>31.776768890523051</v>
      </c>
      <c r="D88" s="770"/>
      <c r="E88" s="738" t="str">
        <f>IF(ISTEXT(Calculations!AB187),"",Calculations!AD187&amp;"/"&amp;Calculations!Y187)</f>
        <v>2/2</v>
      </c>
      <c r="F88" s="738"/>
      <c r="G88" s="603">
        <f>IF(OR(ISERROR(Calculations!AC187),ISTEXT(Calculations!AC187)),"",Calculations!AC187*'Sample Setup'!D86)</f>
        <v>1.6345809717920854</v>
      </c>
      <c r="H88" s="376">
        <f t="shared" si="0"/>
        <v>5.1439495860121101E-2</v>
      </c>
      <c r="I88" s="771" t="str">
        <f>IF(OR(ISBLANK('Sample Setup'!C86),ISTEXT(Report!C88)),"",Report!C88/'Sample Setup'!C86)</f>
        <v/>
      </c>
      <c r="J88" s="771"/>
      <c r="K88" s="185">
        <f t="shared" si="1"/>
        <v>0.22699999999999998</v>
      </c>
      <c r="L88" s="185">
        <f t="shared" si="2"/>
        <v>31.776768890523051</v>
      </c>
      <c r="M88" s="778"/>
      <c r="N88" s="778"/>
      <c r="AA88" s="377"/>
    </row>
    <row r="89" spans="1:27" ht="15.75" customHeight="1" x14ac:dyDescent="0.25">
      <c r="A89" s="35" t="s">
        <v>204</v>
      </c>
      <c r="B89" s="602">
        <v>1</v>
      </c>
      <c r="C89" s="770">
        <f>IF(ISTEXT(Calculations!AB188),Calculations!AB188,Calculations!AB188*'Sample Setup'!D87)</f>
        <v>30.187485534239407</v>
      </c>
      <c r="D89" s="770"/>
      <c r="E89" s="738" t="str">
        <f>IF(ISTEXT(Calculations!AB188),"",Calculations!AD188&amp;"/"&amp;Calculations!Y188)</f>
        <v>2/2</v>
      </c>
      <c r="F89" s="738"/>
      <c r="G89" s="603">
        <f>IF(OR(ISERROR(Calculations!AC188),ISTEXT(Calculations!AC188)),"",Calculations!AC188*'Sample Setup'!D87)</f>
        <v>0.61300510511807116</v>
      </c>
      <c r="H89" s="376">
        <f t="shared" si="0"/>
        <v>2.0306597063964978E-2</v>
      </c>
      <c r="I89" s="771" t="str">
        <f>IF(OR(ISBLANK('Sample Setup'!C87),ISTEXT(Report!C89)),"",Report!C89/'Sample Setup'!C87)</f>
        <v/>
      </c>
      <c r="J89" s="771"/>
      <c r="K89" s="185">
        <f t="shared" si="1"/>
        <v>0.21600000000000003</v>
      </c>
      <c r="L89" s="185">
        <f t="shared" si="2"/>
        <v>30.187485534239407</v>
      </c>
      <c r="M89" s="778"/>
      <c r="N89" s="778"/>
      <c r="AA89" s="377"/>
    </row>
    <row r="90" spans="1:27" ht="15.75" customHeight="1" x14ac:dyDescent="0.25">
      <c r="A90" s="35" t="s">
        <v>205</v>
      </c>
      <c r="B90" s="602">
        <v>1</v>
      </c>
      <c r="C90" s="770">
        <f>IF(ISTEXT(Calculations!AB189),Calculations!AB189,Calculations!AB189*'Sample Setup'!D88)</f>
        <v>31.487822918657422</v>
      </c>
      <c r="D90" s="770"/>
      <c r="E90" s="738" t="str">
        <f>IF(ISTEXT(Calculations!AB189),"",Calculations!AD189&amp;"/"&amp;Calculations!Y189)</f>
        <v>2/2</v>
      </c>
      <c r="F90" s="738"/>
      <c r="G90" s="603">
        <f>IF(OR(ISERROR(Calculations!AC189),ISTEXT(Calculations!AC189)),"",Calculations!AC189*'Sample Setup'!D88)</f>
        <v>0</v>
      </c>
      <c r="H90" s="376">
        <f t="shared" si="0"/>
        <v>0</v>
      </c>
      <c r="I90" s="771" t="str">
        <f>IF(OR(ISBLANK('Sample Setup'!C88),ISTEXT(Report!C90)),"",Report!C90/'Sample Setup'!C88)</f>
        <v/>
      </c>
      <c r="J90" s="771"/>
      <c r="K90" s="185">
        <f t="shared" si="1"/>
        <v>0.22500000000000001</v>
      </c>
      <c r="L90" s="185">
        <f t="shared" si="2"/>
        <v>31.487822918657422</v>
      </c>
      <c r="M90" s="778"/>
      <c r="N90" s="778"/>
      <c r="AA90" s="377"/>
    </row>
    <row r="91" spans="1:27" ht="15.75" customHeight="1" x14ac:dyDescent="0.25">
      <c r="A91" s="35" t="s">
        <v>206</v>
      </c>
      <c r="B91" s="602">
        <v>1</v>
      </c>
      <c r="C91" s="770">
        <f>IF(ISTEXT(Calculations!AB190),Calculations!AB190,Calculations!AB190*'Sample Setup'!D89)</f>
        <v>27.803138732710387</v>
      </c>
      <c r="D91" s="770"/>
      <c r="E91" s="738" t="str">
        <f>IF(ISTEXT(Calculations!AB190),"",Calculations!AD190&amp;"/"&amp;Calculations!Y190)</f>
        <v>2/2</v>
      </c>
      <c r="F91" s="738"/>
      <c r="G91" s="603">
        <f>IF(OR(ISERROR(Calculations!AC190),ISTEXT(Calculations!AC190)),"",Calculations!AC190*'Sample Setup'!D89)</f>
        <v>0.71538408689627708</v>
      </c>
      <c r="H91" s="376">
        <f t="shared" si="0"/>
        <v>2.5730335476642708E-2</v>
      </c>
      <c r="I91" s="771" t="str">
        <f>IF(OR(ISBLANK('Sample Setup'!C89),ISTEXT(Report!C91)),"",Report!C91/'Sample Setup'!C89)</f>
        <v/>
      </c>
      <c r="J91" s="771"/>
      <c r="K91" s="185">
        <f t="shared" si="1"/>
        <v>0.19950000000000001</v>
      </c>
      <c r="L91" s="185">
        <f t="shared" si="2"/>
        <v>27.803138732710387</v>
      </c>
      <c r="M91" s="778"/>
      <c r="N91" s="778"/>
      <c r="AA91" s="377"/>
    </row>
    <row r="92" spans="1:27" ht="15.75" customHeight="1" x14ac:dyDescent="0.25">
      <c r="A92" s="35" t="s">
        <v>207</v>
      </c>
      <c r="B92" s="602">
        <v>1</v>
      </c>
      <c r="C92" s="770">
        <f>IF(ISTEXT(Calculations!AB191),Calculations!AB191,Calculations!AB191*'Sample Setup'!D90)</f>
        <v>30.837667809877111</v>
      </c>
      <c r="D92" s="770"/>
      <c r="E92" s="738" t="str">
        <f>IF(ISTEXT(Calculations!AB191),"",Calculations!AD191&amp;"/"&amp;Calculations!Y191)</f>
        <v>2/2</v>
      </c>
      <c r="F92" s="738"/>
      <c r="G92" s="603">
        <f>IF(OR(ISERROR(Calculations!AC191),ISTEXT(Calculations!AC191)),"",Calculations!AC191*'Sample Setup'!D90)</f>
        <v>0.1021633255200504</v>
      </c>
      <c r="H92" s="376">
        <f t="shared" si="0"/>
        <v>3.3129394268696329E-3</v>
      </c>
      <c r="I92" s="771" t="str">
        <f>IF(OR(ISBLANK('Sample Setup'!C90),ISTEXT(Report!C92)),"",Report!C92/'Sample Setup'!C90)</f>
        <v/>
      </c>
      <c r="J92" s="771"/>
      <c r="K92" s="185">
        <f t="shared" si="1"/>
        <v>0.22050000000000003</v>
      </c>
      <c r="L92" s="185">
        <f t="shared" si="2"/>
        <v>30.837667809877111</v>
      </c>
      <c r="M92" s="778"/>
      <c r="N92" s="778"/>
      <c r="AA92" s="377"/>
    </row>
    <row r="93" spans="1:27" ht="15.75" customHeight="1" x14ac:dyDescent="0.25">
      <c r="A93" s="35" t="s">
        <v>208</v>
      </c>
      <c r="B93" s="602">
        <v>1</v>
      </c>
      <c r="C93" s="770">
        <f>IF(ISTEXT(Calculations!AB192),Calculations!AB192,Calculations!AB192*'Sample Setup'!D91)</f>
        <v>30.476452117950739</v>
      </c>
      <c r="D93" s="770"/>
      <c r="E93" s="738" t="str">
        <f>IF(ISTEXT(Calculations!AB192),"",Calculations!AD192&amp;"/"&amp;Calculations!Y192)</f>
        <v>2/2</v>
      </c>
      <c r="F93" s="738"/>
      <c r="G93" s="603">
        <f>IF(OR(ISERROR(Calculations!AC192),ISTEXT(Calculations!AC192)),"",Calculations!AC192*'Sample Setup'!D91)</f>
        <v>0.8173247645198658</v>
      </c>
      <c r="H93" s="376">
        <f t="shared" si="0"/>
        <v>2.6818238598004609E-2</v>
      </c>
      <c r="I93" s="771" t="str">
        <f>IF(OR(ISBLANK('Sample Setup'!C91),ISTEXT(Report!C93)),"",Report!C93/'Sample Setup'!C91)</f>
        <v/>
      </c>
      <c r="J93" s="771"/>
      <c r="K93" s="185">
        <f t="shared" si="1"/>
        <v>0.21800000000000003</v>
      </c>
      <c r="L93" s="185">
        <f t="shared" si="2"/>
        <v>30.476452117950739</v>
      </c>
      <c r="M93" s="778"/>
      <c r="N93" s="778"/>
      <c r="AA93" s="377"/>
    </row>
    <row r="94" spans="1:27" ht="15.75" customHeight="1" x14ac:dyDescent="0.25">
      <c r="A94" s="35" t="s">
        <v>209</v>
      </c>
      <c r="B94" s="602">
        <v>1</v>
      </c>
      <c r="C94" s="770">
        <f>IF(ISTEXT(Calculations!AB193),Calculations!AB193,Calculations!AB193*'Sample Setup'!D92)</f>
        <v>33.510512484594855</v>
      </c>
      <c r="D94" s="770"/>
      <c r="E94" s="738" t="str">
        <f>IF(ISTEXT(Calculations!AB193),"",Calculations!AD193&amp;"/"&amp;Calculations!Y193)</f>
        <v>2/2</v>
      </c>
      <c r="F94" s="738"/>
      <c r="G94" s="603">
        <f>IF(OR(ISERROR(Calculations!AC193),ISTEXT(Calculations!AC193)),"",Calculations!AC193*'Sample Setup'!D92)</f>
        <v>0.20432820115325104</v>
      </c>
      <c r="H94" s="376">
        <f t="shared" si="0"/>
        <v>6.0974358791791956E-3</v>
      </c>
      <c r="I94" s="771" t="str">
        <f>IF(OR(ISBLANK('Sample Setup'!C92),ISTEXT(Report!C94)),"",Report!C94/'Sample Setup'!C92)</f>
        <v/>
      </c>
      <c r="J94" s="771"/>
      <c r="K94" s="185">
        <f t="shared" si="1"/>
        <v>0.23899999999999999</v>
      </c>
      <c r="L94" s="185">
        <f t="shared" si="2"/>
        <v>33.510512484594855</v>
      </c>
      <c r="M94" s="778"/>
      <c r="N94" s="778"/>
      <c r="AA94" s="377"/>
    </row>
    <row r="95" spans="1:27" ht="15.75" customHeight="1" x14ac:dyDescent="0.25">
      <c r="A95" s="35" t="s">
        <v>210</v>
      </c>
      <c r="B95" s="602">
        <v>1</v>
      </c>
      <c r="C95" s="770">
        <f>IF(ISTEXT(Calculations!AB194),Calculations!AB194,Calculations!AB194*'Sample Setup'!D93)</f>
        <v>31.632299927199327</v>
      </c>
      <c r="D95" s="770"/>
      <c r="E95" s="738" t="str">
        <f>IF(ISTEXT(Calculations!AB194),"",Calculations!AD194&amp;"/"&amp;Calculations!Y194)</f>
        <v>2/2</v>
      </c>
      <c r="F95" s="738"/>
      <c r="G95" s="603">
        <f>IF(OR(ISERROR(Calculations!AC194),ISTEXT(Calculations!AC194)),"",Calculations!AC194*'Sample Setup'!D93)</f>
        <v>0.20432134493105325</v>
      </c>
      <c r="H95" s="376">
        <f t="shared" si="0"/>
        <v>6.4592630128473723E-3</v>
      </c>
      <c r="I95" s="771" t="str">
        <f>IF(OR(ISBLANK('Sample Setup'!C93),ISTEXT(Report!C95)),"",Report!C95/'Sample Setup'!C93)</f>
        <v/>
      </c>
      <c r="J95" s="771"/>
      <c r="K95" s="185">
        <f t="shared" si="1"/>
        <v>0.22600000000000003</v>
      </c>
      <c r="L95" s="185">
        <f t="shared" si="2"/>
        <v>31.632299927199327</v>
      </c>
      <c r="M95" s="778"/>
      <c r="N95" s="778"/>
      <c r="AA95" s="377"/>
    </row>
    <row r="96" spans="1:27" ht="15.75" customHeight="1" x14ac:dyDescent="0.25">
      <c r="A96" s="35" t="s">
        <v>211</v>
      </c>
      <c r="B96" s="602">
        <v>1</v>
      </c>
      <c r="C96" s="770">
        <f>IF(ISTEXT(Calculations!AB195),Calculations!AB195,Calculations!AB195*'Sample Setup'!D94)</f>
        <v>31.560061513911869</v>
      </c>
      <c r="D96" s="770"/>
      <c r="E96" s="738" t="str">
        <f>IF(ISTEXT(Calculations!AB195),"",Calculations!AD195&amp;"/"&amp;Calculations!Y195)</f>
        <v>2/2</v>
      </c>
      <c r="F96" s="738"/>
      <c r="G96" s="603">
        <f>IF(OR(ISERROR(Calculations!AC195),ISTEXT(Calculations!AC195)),"",Calculations!AC195*'Sample Setup'!D94)</f>
        <v>0.10216080113562229</v>
      </c>
      <c r="H96" s="376">
        <f t="shared" si="0"/>
        <v>3.2370279471917117E-3</v>
      </c>
      <c r="I96" s="771" t="str">
        <f>IF(OR(ISBLANK('Sample Setup'!C94),ISTEXT(Report!C96)),"",Report!C96/'Sample Setup'!C94)</f>
        <v/>
      </c>
      <c r="J96" s="771"/>
      <c r="K96" s="185">
        <f t="shared" si="1"/>
        <v>0.22550000000000001</v>
      </c>
      <c r="L96" s="185">
        <f t="shared" si="2"/>
        <v>31.560061513911869</v>
      </c>
      <c r="M96" s="778"/>
      <c r="N96" s="778"/>
      <c r="AA96" s="377"/>
    </row>
    <row r="97" spans="1:27" ht="15.75" customHeight="1" x14ac:dyDescent="0.25">
      <c r="A97" s="35" t="s">
        <v>212</v>
      </c>
      <c r="B97" s="602">
        <v>1</v>
      </c>
      <c r="C97" s="770">
        <f>IF(ISTEXT(Calculations!AB196),Calculations!AB196,Calculations!AB196*'Sample Setup'!D95)</f>
        <v>32.499159789232294</v>
      </c>
      <c r="D97" s="770"/>
      <c r="E97" s="738" t="str">
        <f>IF(ISTEXT(Calculations!AB196),"",Calculations!AD196&amp;"/"&amp;Calculations!Y196)</f>
        <v>2/2</v>
      </c>
      <c r="F97" s="738"/>
      <c r="G97" s="603">
        <f>IF(OR(ISERROR(Calculations!AC196),ISTEXT(Calculations!AC196)),"",Calculations!AC196*'Sample Setup'!D95)</f>
        <v>0.20432117307696504</v>
      </c>
      <c r="H97" s="376">
        <f t="shared" si="0"/>
        <v>6.2869678601556109E-3</v>
      </c>
      <c r="I97" s="771" t="str">
        <f>IF(OR(ISBLANK('Sample Setup'!C95),ISTEXT(Report!C97)),"",Report!C97/'Sample Setup'!C95)</f>
        <v/>
      </c>
      <c r="J97" s="771"/>
      <c r="K97" s="185">
        <f t="shared" si="1"/>
        <v>0.23200000000000001</v>
      </c>
      <c r="L97" s="185">
        <f t="shared" si="2"/>
        <v>32.499159789232294</v>
      </c>
      <c r="M97" s="778"/>
      <c r="N97" s="778"/>
      <c r="AA97" s="377"/>
    </row>
    <row r="98" spans="1:27" ht="15.75" customHeight="1" x14ac:dyDescent="0.25">
      <c r="A98" s="35" t="s">
        <v>213</v>
      </c>
      <c r="B98" s="602">
        <v>1</v>
      </c>
      <c r="C98" s="770">
        <f>IF(ISTEXT(Calculations!AB197),Calculations!AB197,Calculations!AB197*'Sample Setup'!D96)</f>
        <v>36.906368641087511</v>
      </c>
      <c r="D98" s="770"/>
      <c r="E98" s="738" t="str">
        <f>IF(ISTEXT(Calculations!AB197),"",Calculations!AD197&amp;"/"&amp;Calculations!Y197)</f>
        <v>2/2</v>
      </c>
      <c r="F98" s="738"/>
      <c r="G98" s="603">
        <f>IF(OR(ISERROR(Calculations!AC197),ISTEXT(Calculations!AC197)),"",Calculations!AC197*'Sample Setup'!D96)</f>
        <v>0.10220295053598562</v>
      </c>
      <c r="H98" s="376">
        <f t="shared" si="0"/>
        <v>2.7692497067350061E-3</v>
      </c>
      <c r="I98" s="771" t="str">
        <f>IF(OR(ISBLANK('Sample Setup'!C96),ISTEXT(Report!C98)),"",Report!C98/'Sample Setup'!C96)</f>
        <v/>
      </c>
      <c r="J98" s="771"/>
      <c r="K98" s="185">
        <f t="shared" si="1"/>
        <v>0.26250000000000001</v>
      </c>
      <c r="L98" s="185">
        <f t="shared" si="2"/>
        <v>36.906368641087511</v>
      </c>
      <c r="M98" s="778"/>
      <c r="N98" s="778"/>
      <c r="AA98" s="377"/>
    </row>
    <row r="99" spans="1:27" ht="15.75" customHeight="1" x14ac:dyDescent="0.25">
      <c r="A99" s="35" t="s">
        <v>214</v>
      </c>
      <c r="B99" s="602">
        <v>1</v>
      </c>
      <c r="C99" s="770">
        <f>IF(ISTEXT(Calculations!AB198),Calculations!AB198,Calculations!AB198*'Sample Setup'!D97)</f>
        <v>37.773656874298041</v>
      </c>
      <c r="D99" s="770"/>
      <c r="E99" s="738" t="str">
        <f>IF(ISTEXT(Calculations!AB198),"",Calculations!AD198&amp;"/"&amp;Calculations!Y198)</f>
        <v>2/2</v>
      </c>
      <c r="F99" s="738"/>
      <c r="G99" s="603">
        <f>IF(OR(ISERROR(Calculations!AC198),ISTEXT(Calculations!AC198)),"",Calculations!AC198*'Sample Setup'!D97)</f>
        <v>0.10221925426762214</v>
      </c>
      <c r="H99" s="376">
        <f t="shared" si="0"/>
        <v>2.7060989781260546E-3</v>
      </c>
      <c r="I99" s="771" t="str">
        <f>IF(OR(ISBLANK('Sample Setup'!C97),ISTEXT(Report!C99)),"",Report!C99/'Sample Setup'!C97)</f>
        <v/>
      </c>
      <c r="J99" s="771"/>
      <c r="K99" s="185">
        <f t="shared" si="1"/>
        <v>0.26850000000000002</v>
      </c>
      <c r="L99" s="185">
        <f t="shared" si="2"/>
        <v>37.773656874298041</v>
      </c>
      <c r="M99" s="778"/>
      <c r="N99" s="778"/>
      <c r="AA99" s="377"/>
    </row>
    <row r="100" spans="1:27" ht="15.75" customHeight="1" x14ac:dyDescent="0.25">
      <c r="A100" s="35" t="s">
        <v>215</v>
      </c>
      <c r="B100" s="602">
        <v>1</v>
      </c>
      <c r="C100" s="770">
        <f>IF(ISTEXT(Calculations!AB199),Calculations!AB199,Calculations!AB199*'Sample Setup'!D98)</f>
        <v>29.320512510503672</v>
      </c>
      <c r="D100" s="770"/>
      <c r="E100" s="738" t="str">
        <f>IF(ISTEXT(Calculations!AB199),"",Calculations!AD199&amp;"/"&amp;Calculations!Y199)</f>
        <v>2/2</v>
      </c>
      <c r="F100" s="738"/>
      <c r="G100" s="603">
        <f>IF(OR(ISERROR(Calculations!AC199),ISTEXT(Calculations!AC199)),"",Calculations!AC199*'Sample Setup'!D98)</f>
        <v>1.0217589708179493</v>
      </c>
      <c r="H100" s="376">
        <f t="shared" si="0"/>
        <v>3.4847923290969696E-2</v>
      </c>
      <c r="I100" s="771" t="str">
        <f>IF(OR(ISBLANK('Sample Setup'!C98),ISTEXT(Report!C100)),"",Report!C100/'Sample Setup'!C98)</f>
        <v/>
      </c>
      <c r="J100" s="771"/>
      <c r="K100" s="185">
        <f t="shared" si="1"/>
        <v>0.21000000000000002</v>
      </c>
      <c r="L100" s="185">
        <f t="shared" si="2"/>
        <v>29.320512510503672</v>
      </c>
      <c r="M100" s="778"/>
      <c r="N100" s="778"/>
      <c r="AA100" s="377"/>
    </row>
    <row r="101" spans="1:27" ht="15.75" customHeight="1" x14ac:dyDescent="0.25">
      <c r="A101" s="35" t="s">
        <v>216</v>
      </c>
      <c r="B101" s="602">
        <v>1</v>
      </c>
      <c r="C101" s="770">
        <f>IF(ISTEXT(Calculations!AB200),Calculations!AB200,Calculations!AB200*'Sample Setup'!D99)</f>
        <v>36.545043618637948</v>
      </c>
      <c r="D101" s="770"/>
      <c r="E101" s="738" t="str">
        <f>IF(ISTEXT(Calculations!AB200),"",Calculations!AD200&amp;"/"&amp;Calculations!Y200)</f>
        <v>2/2</v>
      </c>
      <c r="F101" s="738"/>
      <c r="G101" s="603">
        <f>IF(OR(ISERROR(Calculations!AC200),ISTEXT(Calculations!AC200)),"",Calculations!AC200*'Sample Setup'!D99)</f>
        <v>0.40878779663695947</v>
      </c>
      <c r="H101" s="376">
        <f t="shared" si="0"/>
        <v>1.1185861505675642E-2</v>
      </c>
      <c r="I101" s="771" t="str">
        <f>IF(OR(ISBLANK('Sample Setup'!C99),ISTEXT(Report!C101)),"",Report!C101/'Sample Setup'!C99)</f>
        <v/>
      </c>
      <c r="J101" s="771"/>
      <c r="K101" s="185">
        <f t="shared" si="1"/>
        <v>0.26</v>
      </c>
      <c r="L101" s="185">
        <f t="shared" si="2"/>
        <v>36.545043618637948</v>
      </c>
      <c r="M101" s="778"/>
      <c r="N101" s="778"/>
      <c r="AA101" s="377"/>
    </row>
    <row r="102" spans="1:27" ht="15.75" customHeight="1" x14ac:dyDescent="0.25">
      <c r="A102" s="35" t="s">
        <v>217</v>
      </c>
      <c r="B102" s="602">
        <v>1</v>
      </c>
      <c r="C102" s="770">
        <f>IF(ISTEXT(Calculations!AB201),Calculations!AB201,Calculations!AB201*'Sample Setup'!D100)</f>
        <v>40.666208873220548</v>
      </c>
      <c r="D102" s="770"/>
      <c r="E102" s="738" t="str">
        <f>IF(ISTEXT(Calculations!AB201),"",Calculations!AD201&amp;"/"&amp;Calculations!Y201)</f>
        <v>2/2</v>
      </c>
      <c r="F102" s="738"/>
      <c r="G102" s="603">
        <f>IF(OR(ISERROR(Calculations!AC201),ISTEXT(Calculations!AC201)),"",Calculations!AC201*'Sample Setup'!D100)</f>
        <v>2.3527342154962159</v>
      </c>
      <c r="H102" s="376">
        <f t="shared" si="0"/>
        <v>5.7854771336836738E-2</v>
      </c>
      <c r="I102" s="771" t="str">
        <f>IF(OR(ISBLANK('Sample Setup'!C100),ISTEXT(Report!C102)),"",Report!C102/'Sample Setup'!C100)</f>
        <v/>
      </c>
      <c r="J102" s="771"/>
      <c r="K102" s="185">
        <f t="shared" si="1"/>
        <v>0.28849999999999998</v>
      </c>
      <c r="L102" s="185">
        <f t="shared" si="2"/>
        <v>40.666208873220548</v>
      </c>
      <c r="M102" s="778"/>
      <c r="N102" s="778"/>
      <c r="AA102" s="377"/>
    </row>
    <row r="103" spans="1:27" ht="15.75" customHeight="1" x14ac:dyDescent="0.25">
      <c r="A103" s="35" t="s">
        <v>218</v>
      </c>
      <c r="B103" s="602">
        <v>1</v>
      </c>
      <c r="C103" s="770">
        <f>IF(ISTEXT(Calculations!AB202),Calculations!AB202,Calculations!AB202*'Sample Setup'!D101)</f>
        <v>36.256011731344046</v>
      </c>
      <c r="D103" s="770"/>
      <c r="E103" s="738" t="str">
        <f>IF(ISTEXT(Calculations!AB202),"",Calculations!AD202&amp;"/"&amp;Calculations!Y202)</f>
        <v>2/2</v>
      </c>
      <c r="F103" s="738"/>
      <c r="G103" s="603">
        <f>IF(OR(ISERROR(Calculations!AC202),ISTEXT(Calculations!AC202)),"",Calculations!AC202*'Sample Setup'!D101)</f>
        <v>0.81754061160628244</v>
      </c>
      <c r="H103" s="376">
        <f t="shared" si="0"/>
        <v>2.2549104895051165E-2</v>
      </c>
      <c r="I103" s="771" t="str">
        <f>IF(OR(ISBLANK('Sample Setup'!C101),ISTEXT(Report!C103)),"",Report!C103/'Sample Setup'!C101)</f>
        <v/>
      </c>
      <c r="J103" s="771"/>
      <c r="K103" s="185">
        <f t="shared" si="1"/>
        <v>0.25800000000000001</v>
      </c>
      <c r="L103" s="185">
        <f t="shared" si="2"/>
        <v>36.256011731344046</v>
      </c>
      <c r="M103" s="778"/>
      <c r="N103" s="778"/>
      <c r="AA103" s="377"/>
    </row>
    <row r="104" spans="1:27" ht="15.75" customHeight="1" x14ac:dyDescent="0.25">
      <c r="A104" s="35" t="s">
        <v>219</v>
      </c>
      <c r="B104" s="602">
        <v>1</v>
      </c>
      <c r="C104" s="770">
        <f>IF(ISTEXT(Calculations!AB203),Calculations!AB203,Calculations!AB203*'Sample Setup'!D102)</f>
        <v>39.002636547460021</v>
      </c>
      <c r="D104" s="770"/>
      <c r="E104" s="738" t="str">
        <f>IF(ISTEXT(Calculations!AB203),"",Calculations!AD203&amp;"/"&amp;Calculations!Y203)</f>
        <v>2/2</v>
      </c>
      <c r="F104" s="738"/>
      <c r="G104" s="603">
        <f>IF(OR(ISERROR(Calculations!AC203),ISTEXT(Calculations!AC203)),"",Calculations!AC203*'Sample Setup'!D102)</f>
        <v>1.0224688589149216</v>
      </c>
      <c r="H104" s="376">
        <f t="shared" si="0"/>
        <v>2.6215377969915937E-2</v>
      </c>
      <c r="I104" s="771" t="str">
        <f>IF(OR(ISBLANK('Sample Setup'!C102),ISTEXT(Report!C104)),"",Report!C104/'Sample Setup'!C102)</f>
        <v/>
      </c>
      <c r="J104" s="771"/>
      <c r="K104" s="185">
        <f t="shared" si="1"/>
        <v>0.27700000000000002</v>
      </c>
      <c r="L104" s="185">
        <f t="shared" si="2"/>
        <v>39.002636547460021</v>
      </c>
      <c r="M104" s="778"/>
      <c r="N104" s="778"/>
      <c r="AA104" s="377"/>
    </row>
    <row r="105" spans="1:27" ht="15.75" customHeight="1" x14ac:dyDescent="0.25">
      <c r="A105" s="35" t="s">
        <v>232</v>
      </c>
      <c r="B105" s="602">
        <v>1</v>
      </c>
      <c r="C105" s="770">
        <f>IF(ISTEXT(Calculations!AB204),Calculations!AB204,Calculations!AB204*'Sample Setup'!D103)</f>
        <v>35.966985432581879</v>
      </c>
      <c r="D105" s="770"/>
      <c r="E105" s="738" t="str">
        <f>IF(ISTEXT(Calculations!AB204),"",Calculations!AD204&amp;"/"&amp;Calculations!Y204)</f>
        <v>2/2</v>
      </c>
      <c r="F105" s="738"/>
      <c r="G105" s="603">
        <f>IF(OR(ISERROR(Calculations!AC204),ISTEXT(Calculations!AC204)),"",Calculations!AC204*'Sample Setup'!D103)</f>
        <v>1.0218845651631261</v>
      </c>
      <c r="H105" s="376">
        <f t="shared" si="0"/>
        <v>2.8411737955592417E-2</v>
      </c>
      <c r="I105" s="771" t="str">
        <f>IF(OR(ISBLANK('Sample Setup'!C103),ISTEXT(Report!C105)),"",Report!C105/'Sample Setup'!C103)</f>
        <v/>
      </c>
      <c r="J105" s="771"/>
      <c r="K105" s="185">
        <f t="shared" si="1"/>
        <v>0.25600000000000001</v>
      </c>
      <c r="L105" s="185">
        <f t="shared" si="2"/>
        <v>35.966985432581879</v>
      </c>
      <c r="M105" s="778"/>
      <c r="N105" s="778"/>
      <c r="AA105" s="377"/>
    </row>
    <row r="106" spans="1:27" ht="15.75" customHeight="1" x14ac:dyDescent="0.25">
      <c r="A106" s="35" t="s">
        <v>233</v>
      </c>
      <c r="B106" s="602">
        <v>1</v>
      </c>
      <c r="C106" s="770">
        <f>IF(ISTEXT(Calculations!AB205),Calculations!AB205,Calculations!AB205*'Sample Setup'!D104)</f>
        <v>37.340018521932379</v>
      </c>
      <c r="D106" s="770"/>
      <c r="E106" s="738" t="str">
        <f>IF(ISTEXT(Calculations!AB205),"",Calculations!AD205&amp;"/"&amp;Calculations!Y205)</f>
        <v>2/2</v>
      </c>
      <c r="F106" s="738"/>
      <c r="G106" s="603">
        <f>IF(OR(ISERROR(Calculations!AC205),ISTEXT(Calculations!AC205)),"",Calculations!AC205*'Sample Setup'!D104)</f>
        <v>0.71547649334826968</v>
      </c>
      <c r="H106" s="376">
        <f t="shared" ref="H106:H153" si="3">IF(ISERROR(G106/C106),"",G106/C106)</f>
        <v>1.9161117794519057E-2</v>
      </c>
      <c r="I106" s="771" t="str">
        <f>IF(OR(ISBLANK('Sample Setup'!C104),ISTEXT(Report!C106)),"",Report!C106/'Sample Setup'!C104)</f>
        <v/>
      </c>
      <c r="J106" s="771"/>
      <c r="K106" s="185">
        <f t="shared" ref="K106:K169" si="4">AVERAGEIFS($B$15:$AW$22,$B$3:$AW$10,$A106)</f>
        <v>0.26550000000000001</v>
      </c>
      <c r="L106" s="185">
        <f t="shared" ref="L106:L169" si="5">IF(ISNUMBER(C106),C106)</f>
        <v>37.340018521932379</v>
      </c>
      <c r="M106" s="778"/>
      <c r="N106" s="778"/>
      <c r="AA106" s="377"/>
    </row>
    <row r="107" spans="1:27" ht="15.75" customHeight="1" x14ac:dyDescent="0.25">
      <c r="A107" s="35" t="s">
        <v>234</v>
      </c>
      <c r="B107" s="602">
        <v>1</v>
      </c>
      <c r="C107" s="770">
        <f>IF(ISTEXT(Calculations!AB206),Calculations!AB206,Calculations!AB206*'Sample Setup'!D105)</f>
        <v>35.677971511230893</v>
      </c>
      <c r="D107" s="770"/>
      <c r="E107" s="738" t="str">
        <f>IF(ISTEXT(Calculations!AB206),"",Calculations!AD206&amp;"/"&amp;Calculations!Y206)</f>
        <v>2/2</v>
      </c>
      <c r="F107" s="738"/>
      <c r="G107" s="603">
        <f>IF(OR(ISERROR(Calculations!AC206),ISTEXT(Calculations!AC206)),"",Calculations!AC206*'Sample Setup'!D105)</f>
        <v>1.2262158157611094</v>
      </c>
      <c r="H107" s="376">
        <f t="shared" si="3"/>
        <v>3.4368989149932888E-2</v>
      </c>
      <c r="I107" s="771" t="str">
        <f>IF(OR(ISBLANK('Sample Setup'!C105),ISTEXT(Report!C107)),"",Report!C107/'Sample Setup'!C105)</f>
        <v/>
      </c>
      <c r="J107" s="771"/>
      <c r="K107" s="185">
        <f t="shared" si="4"/>
        <v>0.254</v>
      </c>
      <c r="L107" s="185">
        <f t="shared" si="5"/>
        <v>35.677971511230893</v>
      </c>
      <c r="M107" s="778"/>
      <c r="N107" s="778"/>
      <c r="AA107" s="377"/>
    </row>
    <row r="108" spans="1:27" ht="15.75" customHeight="1" x14ac:dyDescent="0.25">
      <c r="A108" s="35" t="s">
        <v>235</v>
      </c>
      <c r="B108" s="602">
        <v>1</v>
      </c>
      <c r="C108" s="770">
        <f>IF(ISTEXT(Calculations!AB207),Calculations!AB207,Calculations!AB207*'Sample Setup'!D106)</f>
        <v>33.221578275851328</v>
      </c>
      <c r="D108" s="770"/>
      <c r="E108" s="738" t="str">
        <f>IF(ISTEXT(Calculations!AB207),"",Calculations!AD207&amp;"/"&amp;Calculations!Y207)</f>
        <v>2/2</v>
      </c>
      <c r="F108" s="738"/>
      <c r="G108" s="603">
        <f>IF(OR(ISERROR(Calculations!AC207),ISTEXT(Calculations!AC207)),"",Calculations!AC207*'Sample Setup'!D106)</f>
        <v>1.6346163670515808</v>
      </c>
      <c r="H108" s="376">
        <f t="shared" si="3"/>
        <v>4.9203453053275885E-2</v>
      </c>
      <c r="I108" s="771" t="str">
        <f>IF(OR(ISBLANK('Sample Setup'!C106),ISTEXT(Report!C108)),"",Report!C108/'Sample Setup'!C106)</f>
        <v/>
      </c>
      <c r="J108" s="771"/>
      <c r="K108" s="185">
        <f t="shared" si="4"/>
        <v>0.23699999999999999</v>
      </c>
      <c r="L108" s="185">
        <f t="shared" si="5"/>
        <v>33.221578275851328</v>
      </c>
      <c r="M108" s="778"/>
      <c r="N108" s="778"/>
      <c r="AA108" s="377"/>
    </row>
    <row r="109" spans="1:27" ht="15.75" customHeight="1" x14ac:dyDescent="0.25">
      <c r="A109" s="35" t="s">
        <v>236</v>
      </c>
      <c r="B109" s="602">
        <v>1</v>
      </c>
      <c r="C109" s="770">
        <f>IF(ISTEXT(Calculations!AB208),Calculations!AB208,Calculations!AB208*'Sample Setup'!D107)</f>
        <v>35.605695050041106</v>
      </c>
      <c r="D109" s="770"/>
      <c r="E109" s="738" t="str">
        <f>IF(ISTEXT(Calculations!AB208),"",Calculations!AD208&amp;"/"&amp;Calculations!Y208)</f>
        <v>2/2</v>
      </c>
      <c r="F109" s="738"/>
      <c r="G109" s="603">
        <f>IF(OR(ISERROR(Calculations!AC208),ISTEXT(Calculations!AC208)),"",Calculations!AC208*'Sample Setup'!D107)</f>
        <v>0.91965168886844739</v>
      </c>
      <c r="H109" s="376">
        <f t="shared" si="3"/>
        <v>2.5828780692974722E-2</v>
      </c>
      <c r="I109" s="771" t="str">
        <f>IF(OR(ISBLANK('Sample Setup'!C107),ISTEXT(Report!C109)),"",Report!C109/'Sample Setup'!C107)</f>
        <v/>
      </c>
      <c r="J109" s="771"/>
      <c r="K109" s="185">
        <f t="shared" si="4"/>
        <v>0.2535</v>
      </c>
      <c r="L109" s="185">
        <f t="shared" si="5"/>
        <v>35.605695050041106</v>
      </c>
      <c r="M109" s="778"/>
      <c r="N109" s="778"/>
      <c r="AA109" s="377"/>
    </row>
    <row r="110" spans="1:27" ht="15.75" customHeight="1" x14ac:dyDescent="0.25">
      <c r="A110" s="35" t="s">
        <v>237</v>
      </c>
      <c r="B110" s="602">
        <v>1</v>
      </c>
      <c r="C110" s="770">
        <f>IF(ISTEXT(Calculations!AB209),Calculations!AB209,Calculations!AB209*'Sample Setup'!D108)</f>
        <v>41.750952992609228</v>
      </c>
      <c r="D110" s="770"/>
      <c r="E110" s="738" t="str">
        <f>IF(ISTEXT(Calculations!AB209),"",Calculations!AD209&amp;"/"&amp;Calculations!Y209)</f>
        <v>2/2</v>
      </c>
      <c r="F110" s="738"/>
      <c r="G110" s="603">
        <f>IF(OR(ISERROR(Calculations!AC209),ISTEXT(Calculations!AC209)),"",Calculations!AC209*'Sample Setup'!D108)</f>
        <v>0.20465043686087783</v>
      </c>
      <c r="H110" s="376">
        <f t="shared" si="3"/>
        <v>4.9016949839948594E-3</v>
      </c>
      <c r="I110" s="771" t="str">
        <f>IF(OR(ISBLANK('Sample Setup'!C108),ISTEXT(Report!C110)),"",Report!C110/'Sample Setup'!C108)</f>
        <v/>
      </c>
      <c r="J110" s="771"/>
      <c r="K110" s="185">
        <f t="shared" si="4"/>
        <v>0.29600000000000004</v>
      </c>
      <c r="L110" s="185">
        <f t="shared" si="5"/>
        <v>41.750952992609228</v>
      </c>
      <c r="M110" s="778"/>
      <c r="N110" s="778"/>
      <c r="AA110" s="377"/>
    </row>
    <row r="111" spans="1:27" ht="15.75" customHeight="1" x14ac:dyDescent="0.25">
      <c r="A111" s="35" t="s">
        <v>238</v>
      </c>
      <c r="B111" s="602">
        <v>1</v>
      </c>
      <c r="C111" s="770">
        <f>IF(ISTEXT(Calculations!AB210),Calculations!AB210,Calculations!AB210*'Sample Setup'!D109)</f>
        <v>39.43641651036468</v>
      </c>
      <c r="D111" s="770"/>
      <c r="E111" s="738" t="str">
        <f>IF(ISTEXT(Calculations!AB210),"",Calculations!AD210&amp;"/"&amp;Calculations!Y210)</f>
        <v>2/2</v>
      </c>
      <c r="F111" s="738"/>
      <c r="G111" s="603">
        <f>IF(OR(ISERROR(Calculations!AC210),ISTEXT(Calculations!AC210)),"",Calculations!AC210*'Sample Setup'!D109)</f>
        <v>0.61354517704259293</v>
      </c>
      <c r="H111" s="376">
        <f t="shared" si="3"/>
        <v>1.555783286955956E-2</v>
      </c>
      <c r="I111" s="771" t="str">
        <f>IF(OR(ISBLANK('Sample Setup'!C109),ISTEXT(Report!C111)),"",Report!C111/'Sample Setup'!C109)</f>
        <v/>
      </c>
      <c r="J111" s="771"/>
      <c r="K111" s="185">
        <f t="shared" si="4"/>
        <v>0.28000000000000003</v>
      </c>
      <c r="L111" s="185">
        <f t="shared" si="5"/>
        <v>39.43641651036468</v>
      </c>
      <c r="M111" s="778"/>
      <c r="N111" s="778"/>
      <c r="AA111" s="377"/>
    </row>
    <row r="112" spans="1:27" ht="15.75" customHeight="1" x14ac:dyDescent="0.25">
      <c r="A112" s="35" t="s">
        <v>239</v>
      </c>
      <c r="B112" s="602">
        <v>1</v>
      </c>
      <c r="C112" s="770">
        <f>IF(ISTEXT(Calculations!AB211),Calculations!AB211,Calculations!AB211*'Sample Setup'!D110)</f>
        <v>37.629111184054203</v>
      </c>
      <c r="D112" s="770"/>
      <c r="E112" s="738" t="str">
        <f>IF(ISTEXT(Calculations!AB211),"",Calculations!AD211&amp;"/"&amp;Calculations!Y211)</f>
        <v>2/2</v>
      </c>
      <c r="F112" s="738"/>
      <c r="G112" s="603">
        <f>IF(OR(ISERROR(Calculations!AC211),ISTEXT(Calculations!AC211)),"",Calculations!AC211*'Sample Setup'!D110)</f>
        <v>0.51108216018600372</v>
      </c>
      <c r="H112" s="376">
        <f t="shared" si="3"/>
        <v>1.3582094928741795E-2</v>
      </c>
      <c r="I112" s="771" t="str">
        <f>IF(OR(ISBLANK('Sample Setup'!C110),ISTEXT(Report!C112)),"",Report!C112/'Sample Setup'!C110)</f>
        <v/>
      </c>
      <c r="J112" s="771"/>
      <c r="K112" s="185">
        <f t="shared" si="4"/>
        <v>0.26750000000000002</v>
      </c>
      <c r="L112" s="185">
        <f t="shared" si="5"/>
        <v>37.629111184054203</v>
      </c>
      <c r="M112" s="778"/>
      <c r="N112" s="778"/>
      <c r="AA112" s="377"/>
    </row>
    <row r="113" spans="1:27" ht="15.75" customHeight="1" x14ac:dyDescent="0.25">
      <c r="A113" s="35" t="s">
        <v>240</v>
      </c>
      <c r="B113" s="602">
        <v>1</v>
      </c>
      <c r="C113" s="770">
        <f>IF(ISTEXT(Calculations!AB212),Calculations!AB212,Calculations!AB212*'Sample Setup'!D111)</f>
        <v>37.990637913923877</v>
      </c>
      <c r="D113" s="770"/>
      <c r="E113" s="738" t="str">
        <f>IF(ISTEXT(Calculations!AB212),"",Calculations!AD212&amp;"/"&amp;Calculations!Y212)</f>
        <v>2/2</v>
      </c>
      <c r="F113" s="738"/>
      <c r="G113" s="603">
        <f>IF(OR(ISERROR(Calculations!AC212),ISTEXT(Calculations!AC212)),"",Calculations!AC212*'Sample Setup'!D111)</f>
        <v>1.6355912614455779</v>
      </c>
      <c r="H113" s="376">
        <f t="shared" si="3"/>
        <v>4.3052482170775036E-2</v>
      </c>
      <c r="I113" s="771" t="str">
        <f>IF(OR(ISBLANK('Sample Setup'!C111),ISTEXT(Report!C113)),"",Report!C113/'Sample Setup'!C111)</f>
        <v/>
      </c>
      <c r="J113" s="771"/>
      <c r="K113" s="185">
        <f t="shared" si="4"/>
        <v>0.27</v>
      </c>
      <c r="L113" s="185">
        <f t="shared" si="5"/>
        <v>37.990637913923877</v>
      </c>
      <c r="M113" s="778"/>
      <c r="N113" s="778"/>
      <c r="AA113" s="377"/>
    </row>
    <row r="114" spans="1:27" ht="15.75" customHeight="1" x14ac:dyDescent="0.25">
      <c r="A114" s="35" t="s">
        <v>241</v>
      </c>
      <c r="B114" s="602">
        <v>1</v>
      </c>
      <c r="C114" s="770">
        <f>IF(ISTEXT(Calculations!AB213),Calculations!AB213,Calculations!AB213*'Sample Setup'!D112)</f>
        <v>45.021206015089085</v>
      </c>
      <c r="D114" s="770"/>
      <c r="E114" s="738" t="str">
        <f>IF(ISTEXT(Calculations!AB213),"",Calculations!AD213&amp;"/"&amp;Calculations!Y213)</f>
        <v>2/2</v>
      </c>
      <c r="F114" s="738"/>
      <c r="G114" s="603">
        <f>IF(OR(ISERROR(Calculations!AC213),ISTEXT(Calculations!AC213)),"",Calculations!AC213*'Sample Setup'!D112)</f>
        <v>10.965082924583582</v>
      </c>
      <c r="H114" s="376">
        <f t="shared" si="3"/>
        <v>0.24355373600850627</v>
      </c>
      <c r="I114" s="771" t="str">
        <f>IF(OR(ISBLANK('Sample Setup'!C112),ISTEXT(Report!C114)),"",Report!C114/'Sample Setup'!C112)</f>
        <v/>
      </c>
      <c r="J114" s="771"/>
      <c r="K114" s="185">
        <f t="shared" si="4"/>
        <v>0.31850000000000001</v>
      </c>
      <c r="L114" s="185">
        <f t="shared" si="5"/>
        <v>45.021206015089085</v>
      </c>
      <c r="M114" s="778"/>
      <c r="N114" s="778"/>
      <c r="AA114" s="377"/>
    </row>
    <row r="115" spans="1:27" ht="15.75" customHeight="1" x14ac:dyDescent="0.25">
      <c r="A115" s="35" t="s">
        <v>242</v>
      </c>
      <c r="B115" s="602">
        <v>1</v>
      </c>
      <c r="C115" s="770">
        <f>IF(ISTEXT(Calculations!AB214),Calculations!AB214,Calculations!AB214*'Sample Setup'!D113)</f>
        <v>37.412318055782862</v>
      </c>
      <c r="D115" s="770"/>
      <c r="E115" s="738" t="str">
        <f>IF(ISTEXT(Calculations!AB214),"",Calculations!AD214&amp;"/"&amp;Calculations!Y214)</f>
        <v>2/2</v>
      </c>
      <c r="F115" s="738"/>
      <c r="G115" s="603">
        <f>IF(OR(ISERROR(Calculations!AC214),ISTEXT(Calculations!AC214)),"",Calculations!AC214*'Sample Setup'!D113)</f>
        <v>1.0221244327079813</v>
      </c>
      <c r="H115" s="376">
        <f t="shared" si="3"/>
        <v>2.7320532001892099E-2</v>
      </c>
      <c r="I115" s="771" t="str">
        <f>IF(OR(ISBLANK('Sample Setup'!C113),ISTEXT(Report!C115)),"",Report!C115/'Sample Setup'!C113)</f>
        <v/>
      </c>
      <c r="J115" s="771"/>
      <c r="K115" s="185">
        <f t="shared" si="4"/>
        <v>0.26600000000000001</v>
      </c>
      <c r="L115" s="185">
        <f t="shared" si="5"/>
        <v>37.412318055782862</v>
      </c>
      <c r="M115" s="778"/>
      <c r="N115" s="778"/>
      <c r="AA115" s="377"/>
    </row>
    <row r="116" spans="1:27" ht="15.75" customHeight="1" x14ac:dyDescent="0.25">
      <c r="A116" s="35" t="s">
        <v>243</v>
      </c>
      <c r="B116" s="602">
        <v>1</v>
      </c>
      <c r="C116" s="770">
        <f>IF(ISTEXT(Calculations!AB215),Calculations!AB215,Calculations!AB215*'Sample Setup'!D114)</f>
        <v>77.014079287240477</v>
      </c>
      <c r="D116" s="770"/>
      <c r="E116" s="738" t="str">
        <f>IF(ISTEXT(Calculations!AB215),"",Calculations!AD215&amp;"/"&amp;Calculations!Y215)</f>
        <v>2/2</v>
      </c>
      <c r="F116" s="738"/>
      <c r="G116" s="603">
        <f>IF(OR(ISERROR(Calculations!AC215),ISTEXT(Calculations!AC215)),"",Calculations!AC215*'Sample Setup'!D114)</f>
        <v>0.21027389747889924</v>
      </c>
      <c r="H116" s="376">
        <f t="shared" si="3"/>
        <v>2.7303306022089515E-3</v>
      </c>
      <c r="I116" s="771" t="str">
        <f>IF(OR(ISBLANK('Sample Setup'!C114),ISTEXT(Report!C116)),"",Report!C116/'Sample Setup'!C114)</f>
        <v/>
      </c>
      <c r="J116" s="771"/>
      <c r="K116" s="185">
        <f t="shared" si="4"/>
        <v>0.53699999999999992</v>
      </c>
      <c r="L116" s="185">
        <f t="shared" si="5"/>
        <v>77.014079287240477</v>
      </c>
      <c r="M116" s="778"/>
      <c r="N116" s="778"/>
      <c r="AA116" s="377"/>
    </row>
    <row r="117" spans="1:27" ht="15.75" customHeight="1" x14ac:dyDescent="0.25">
      <c r="A117" s="35" t="s">
        <v>244</v>
      </c>
      <c r="B117" s="602">
        <v>1</v>
      </c>
      <c r="C117" s="770">
        <f>IF(ISTEXT(Calculations!AB216),Calculations!AB216,Calculations!AB216*'Sample Setup'!D115)</f>
        <v>81.562114307151887</v>
      </c>
      <c r="D117" s="770"/>
      <c r="E117" s="738" t="str">
        <f>IF(ISTEXT(Calculations!AB216),"",Calculations!AD216&amp;"/"&amp;Calculations!Y216)</f>
        <v>2/2</v>
      </c>
      <c r="F117" s="738"/>
      <c r="G117" s="603">
        <f>IF(OR(ISERROR(Calculations!AC216),ISTEXT(Calculations!AC216)),"",Calculations!AC216*'Sample Setup'!D115)</f>
        <v>1.5857646460789199</v>
      </c>
      <c r="H117" s="376">
        <f t="shared" si="3"/>
        <v>1.9442417101978804E-2</v>
      </c>
      <c r="I117" s="771" t="str">
        <f>IF(OR(ISBLANK('Sample Setup'!C115),ISTEXT(Report!C117)),"",Report!C117/'Sample Setup'!C115)</f>
        <v/>
      </c>
      <c r="J117" s="771"/>
      <c r="K117" s="185">
        <f t="shared" si="4"/>
        <v>0.56749999999999989</v>
      </c>
      <c r="L117" s="185">
        <f t="shared" si="5"/>
        <v>81.562114307151887</v>
      </c>
      <c r="M117" s="778"/>
      <c r="N117" s="778"/>
      <c r="AA117" s="377"/>
    </row>
    <row r="118" spans="1:27" ht="15.75" customHeight="1" x14ac:dyDescent="0.25">
      <c r="A118" s="35" t="s">
        <v>245</v>
      </c>
      <c r="B118" s="602">
        <v>1</v>
      </c>
      <c r="C118" s="770">
        <f>IF(ISTEXT(Calculations!AB217),Calculations!AB217,Calculations!AB217*'Sample Setup'!D116)</f>
        <v>96.904705681010796</v>
      </c>
      <c r="D118" s="770"/>
      <c r="E118" s="738" t="str">
        <f>IF(ISTEXT(Calculations!AB217),"",Calculations!AD217&amp;"/"&amp;Calculations!Y217)</f>
        <v>2/2</v>
      </c>
      <c r="F118" s="738"/>
      <c r="G118" s="603">
        <f>IF(OR(ISERROR(Calculations!AC217),ISTEXT(Calculations!AC217)),"",Calculations!AC217*'Sample Setup'!D116)</f>
        <v>5.1849897543323413</v>
      </c>
      <c r="H118" s="376">
        <f t="shared" si="3"/>
        <v>5.3506067820898187E-2</v>
      </c>
      <c r="I118" s="771" t="str">
        <f>IF(OR(ISBLANK('Sample Setup'!C116),ISTEXT(Report!C118)),"",Report!C118/'Sample Setup'!C116)</f>
        <v/>
      </c>
      <c r="J118" s="771"/>
      <c r="K118" s="185">
        <f t="shared" si="4"/>
        <v>0.66900000000000004</v>
      </c>
      <c r="L118" s="185">
        <f t="shared" si="5"/>
        <v>96.904705681010796</v>
      </c>
      <c r="M118" s="778"/>
      <c r="N118" s="778"/>
      <c r="AA118" s="377"/>
    </row>
    <row r="119" spans="1:27" ht="15.75" customHeight="1" x14ac:dyDescent="0.25">
      <c r="A119" s="35" t="s">
        <v>246</v>
      </c>
      <c r="B119" s="602">
        <v>1</v>
      </c>
      <c r="C119" s="770">
        <f>IF(ISTEXT(Calculations!AB218),Calculations!AB218,Calculations!AB218*'Sample Setup'!D117)</f>
        <v>90.062715775517347</v>
      </c>
      <c r="D119" s="770"/>
      <c r="E119" s="738" t="str">
        <f>IF(ISTEXT(Calculations!AB218),"",Calculations!AD218&amp;"/"&amp;Calculations!Y218)</f>
        <v>2/2</v>
      </c>
      <c r="F119" s="738"/>
      <c r="G119" s="603">
        <f>IF(OR(ISERROR(Calculations!AC218),ISTEXT(Calculations!AC218)),"",Calculations!AC218*'Sample Setup'!D117)</f>
        <v>4.4910451636363051</v>
      </c>
      <c r="H119" s="376">
        <f t="shared" si="3"/>
        <v>4.9865753269425071E-2</v>
      </c>
      <c r="I119" s="771" t="str">
        <f>IF(OR(ISBLANK('Sample Setup'!C117),ISTEXT(Report!C119)),"",Report!C119/'Sample Setup'!C117)</f>
        <v/>
      </c>
      <c r="J119" s="771"/>
      <c r="K119" s="185">
        <f t="shared" si="4"/>
        <v>0.62399999999999989</v>
      </c>
      <c r="L119" s="185">
        <f t="shared" si="5"/>
        <v>90.062715775517347</v>
      </c>
      <c r="M119" s="778"/>
      <c r="N119" s="778"/>
      <c r="AA119" s="377"/>
    </row>
    <row r="120" spans="1:27" ht="15.75" customHeight="1" x14ac:dyDescent="0.25">
      <c r="A120" s="35" t="s">
        <v>247</v>
      </c>
      <c r="B120" s="602">
        <v>1</v>
      </c>
      <c r="C120" s="770">
        <f>IF(ISTEXT(Calculations!AB219),Calculations!AB219,Calculations!AB219*'Sample Setup'!D118)</f>
        <v>85.909134027947204</v>
      </c>
      <c r="D120" s="770"/>
      <c r="E120" s="738" t="str">
        <f>IF(ISTEXT(Calculations!AB219),"",Calculations!AD219&amp;"/"&amp;Calculations!Y219)</f>
        <v>2/2</v>
      </c>
      <c r="F120" s="738"/>
      <c r="G120" s="603">
        <f>IF(OR(ISERROR(Calculations!AC219),ISTEXT(Calculations!AC219)),"",Calculations!AC219*'Sample Setup'!D118)</f>
        <v>0.10631550922774524</v>
      </c>
      <c r="H120" s="376">
        <f t="shared" si="3"/>
        <v>1.2375344069137004E-3</v>
      </c>
      <c r="I120" s="771" t="str">
        <f>IF(OR(ISBLANK('Sample Setup'!C118),ISTEXT(Report!C120)),"",Report!C120/'Sample Setup'!C118)</f>
        <v/>
      </c>
      <c r="J120" s="771"/>
      <c r="K120" s="185">
        <f t="shared" si="4"/>
        <v>0.59650000000000003</v>
      </c>
      <c r="L120" s="185">
        <f t="shared" si="5"/>
        <v>85.909134027947204</v>
      </c>
      <c r="M120" s="778"/>
      <c r="N120" s="778"/>
      <c r="AA120" s="377"/>
    </row>
    <row r="121" spans="1:27" ht="15.75" customHeight="1" x14ac:dyDescent="0.25">
      <c r="A121" s="35" t="s">
        <v>248</v>
      </c>
      <c r="B121" s="602">
        <v>1</v>
      </c>
      <c r="C121" s="770">
        <f>IF(ISTEXT(Calculations!AB220),Calculations!AB220,Calculations!AB220*'Sample Setup'!D119)</f>
        <v>80.142281391150675</v>
      </c>
      <c r="D121" s="770"/>
      <c r="E121" s="738" t="str">
        <f>IF(ISTEXT(Calculations!AB220),"",Calculations!AD220&amp;"/"&amp;Calculations!Y220)</f>
        <v>2/2</v>
      </c>
      <c r="F121" s="738"/>
      <c r="G121" s="603">
        <f>IF(OR(ISERROR(Calculations!AC220),ISTEXT(Calculations!AC220)),"",Calculations!AC220*'Sample Setup'!D119)</f>
        <v>0.21106210811793163</v>
      </c>
      <c r="H121" s="376">
        <f t="shared" si="3"/>
        <v>2.6335924614848457E-3</v>
      </c>
      <c r="I121" s="771" t="str">
        <f>IF(OR(ISBLANK('Sample Setup'!C119),ISTEXT(Report!C121)),"",Report!C121/'Sample Setup'!C119)</f>
        <v/>
      </c>
      <c r="J121" s="771"/>
      <c r="K121" s="185">
        <f t="shared" si="4"/>
        <v>0.55799999999999994</v>
      </c>
      <c r="L121" s="185">
        <f t="shared" si="5"/>
        <v>80.142281391150675</v>
      </c>
      <c r="M121" s="778"/>
      <c r="N121" s="778"/>
      <c r="AA121" s="377"/>
    </row>
    <row r="122" spans="1:27" ht="15.75" customHeight="1" x14ac:dyDescent="0.25">
      <c r="A122" s="35" t="s">
        <v>249</v>
      </c>
      <c r="B122" s="602">
        <v>1</v>
      </c>
      <c r="C122" s="770">
        <f>IF(ISTEXT(Calculations!AB221),Calculations!AB221,Calculations!AB221*'Sample Setup'!D120)</f>
        <v>88.415758780326627</v>
      </c>
      <c r="D122" s="770"/>
      <c r="E122" s="738" t="str">
        <f>IF(ISTEXT(Calculations!AB221),"",Calculations!AD221&amp;"/"&amp;Calculations!Y221)</f>
        <v>2/2</v>
      </c>
      <c r="F122" s="738"/>
      <c r="G122" s="603">
        <f>IF(OR(ISERROR(Calculations!AC221),ISTEXT(Calculations!AC221)),"",Calculations!AC221*'Sample Setup'!D120)</f>
        <v>7.8949970509952587</v>
      </c>
      <c r="H122" s="376">
        <f t="shared" si="3"/>
        <v>8.9294003239974148E-2</v>
      </c>
      <c r="I122" s="771" t="str">
        <f>IF(OR(ISBLANK('Sample Setup'!C120),ISTEXT(Report!C122)),"",Report!C122/'Sample Setup'!C120)</f>
        <v/>
      </c>
      <c r="J122" s="771"/>
      <c r="K122" s="185">
        <f t="shared" si="4"/>
        <v>0.61299999999999999</v>
      </c>
      <c r="L122" s="185">
        <f t="shared" si="5"/>
        <v>88.415758780326627</v>
      </c>
      <c r="M122" s="778"/>
      <c r="N122" s="778"/>
      <c r="AA122" s="377"/>
    </row>
    <row r="123" spans="1:27" ht="15.75" customHeight="1" x14ac:dyDescent="0.25">
      <c r="A123" s="35" t="s">
        <v>250</v>
      </c>
      <c r="B123" s="602">
        <v>1</v>
      </c>
      <c r="C123" s="770">
        <f>IF(ISTEXT(Calculations!AB222),Calculations!AB222,Calculations!AB222*'Sample Setup'!D121)</f>
        <v>77.548362598375746</v>
      </c>
      <c r="D123" s="770"/>
      <c r="E123" s="738" t="str">
        <f>IF(ISTEXT(Calculations!AB222),"",Calculations!AD222&amp;"/"&amp;Calculations!Y222)</f>
        <v>2/2</v>
      </c>
      <c r="F123" s="738"/>
      <c r="G123" s="603">
        <f>IF(OR(ISERROR(Calculations!AC222),ISTEXT(Calculations!AC222)),"",Calculations!AC222*'Sample Setup'!D121)</f>
        <v>6.8386776143832995</v>
      </c>
      <c r="H123" s="376">
        <f t="shared" si="3"/>
        <v>8.818597047368909E-2</v>
      </c>
      <c r="I123" s="771" t="str">
        <f>IF(OR(ISBLANK('Sample Setup'!C121),ISTEXT(Report!C123)),"",Report!C123/'Sample Setup'!C121)</f>
        <v/>
      </c>
      <c r="J123" s="771"/>
      <c r="K123" s="185">
        <f t="shared" si="4"/>
        <v>0.54049999999999998</v>
      </c>
      <c r="L123" s="185">
        <f t="shared" si="5"/>
        <v>77.548362598375746</v>
      </c>
      <c r="M123" s="778"/>
      <c r="N123" s="778"/>
      <c r="AA123" s="377"/>
    </row>
    <row r="124" spans="1:27" ht="15.75" customHeight="1" x14ac:dyDescent="0.25">
      <c r="A124" s="35" t="s">
        <v>251</v>
      </c>
      <c r="B124" s="602">
        <v>1</v>
      </c>
      <c r="C124" s="770">
        <f>IF(ISTEXT(Calculations!AB223),Calculations!AB223,Calculations!AB223*'Sample Setup'!D122)</f>
        <v>85.234345677383089</v>
      </c>
      <c r="D124" s="770"/>
      <c r="E124" s="738" t="str">
        <f>IF(ISTEXT(Calculations!AB223),"",Calculations!AD223&amp;"/"&amp;Calculations!Y223)</f>
        <v>2/2</v>
      </c>
      <c r="F124" s="738"/>
      <c r="G124" s="603">
        <f>IF(OR(ISERROR(Calculations!AC223),ISTEXT(Calculations!AC223)),"",Calculations!AC223*'Sample Setup'!D122)</f>
        <v>2.1244112150022354</v>
      </c>
      <c r="H124" s="376">
        <f t="shared" si="3"/>
        <v>2.4924356468262857E-2</v>
      </c>
      <c r="I124" s="771" t="str">
        <f>IF(OR(ISBLANK('Sample Setup'!C122),ISTEXT(Report!C124)),"",Report!C124/'Sample Setup'!C122)</f>
        <v/>
      </c>
      <c r="J124" s="771"/>
      <c r="K124" s="185">
        <f t="shared" si="4"/>
        <v>0.59199999999999997</v>
      </c>
      <c r="L124" s="185">
        <f t="shared" si="5"/>
        <v>85.234345677383089</v>
      </c>
      <c r="M124" s="778"/>
      <c r="N124" s="778"/>
      <c r="AA124" s="377"/>
    </row>
    <row r="125" spans="1:27" ht="15.75" customHeight="1" x14ac:dyDescent="0.25">
      <c r="A125" s="35" t="s">
        <v>252</v>
      </c>
      <c r="B125" s="602">
        <v>1</v>
      </c>
      <c r="C125" s="770">
        <f>IF(ISTEXT(Calculations!AB224),Calculations!AB224,Calculations!AB224*'Sample Setup'!D123)</f>
        <v>81.715661572757796</v>
      </c>
      <c r="D125" s="770"/>
      <c r="E125" s="738" t="str">
        <f>IF(ISTEXT(Calculations!AB224),"",Calculations!AD224&amp;"/"&amp;Calculations!Y224)</f>
        <v>2/2</v>
      </c>
      <c r="F125" s="738"/>
      <c r="G125" s="603">
        <f>IF(OR(ISERROR(Calculations!AC224),ISTEXT(Calculations!AC224)),"",Calculations!AC224*'Sample Setup'!D123)</f>
        <v>3.9123835980732928</v>
      </c>
      <c r="H125" s="376">
        <f t="shared" si="3"/>
        <v>4.7878014113485384E-2</v>
      </c>
      <c r="I125" s="771" t="str">
        <f>IF(OR(ISBLANK('Sample Setup'!C123),ISTEXT(Report!C125)),"",Report!C125/'Sample Setup'!C123)</f>
        <v/>
      </c>
      <c r="J125" s="771"/>
      <c r="K125" s="185">
        <f t="shared" si="4"/>
        <v>0.56850000000000001</v>
      </c>
      <c r="L125" s="185">
        <f t="shared" si="5"/>
        <v>81.715661572757796</v>
      </c>
      <c r="M125" s="778"/>
      <c r="N125" s="778"/>
      <c r="AA125" s="377"/>
    </row>
    <row r="126" spans="1:27" ht="15.75" customHeight="1" x14ac:dyDescent="0.25">
      <c r="A126" s="35" t="s">
        <v>253</v>
      </c>
      <c r="B126" s="602">
        <v>1</v>
      </c>
      <c r="C126" s="770">
        <f>IF(ISTEXT(Calculations!AB225),Calculations!AB225,Calculations!AB225*'Sample Setup'!D124)</f>
        <v>91.420626244927348</v>
      </c>
      <c r="D126" s="770"/>
      <c r="E126" s="738" t="str">
        <f>IF(ISTEXT(Calculations!AB225),"",Calculations!AD225&amp;"/"&amp;Calculations!Y225)</f>
        <v>2/2</v>
      </c>
      <c r="F126" s="738"/>
      <c r="G126" s="603">
        <f>IF(OR(ISERROR(Calculations!AC225),ISTEXT(Calculations!AC225)),"",Calculations!AC225*'Sample Setup'!D124)</f>
        <v>2.7855334064668864</v>
      </c>
      <c r="H126" s="376">
        <f t="shared" si="3"/>
        <v>3.0469419439373476E-2</v>
      </c>
      <c r="I126" s="771" t="str">
        <f>IF(OR(ISBLANK('Sample Setup'!C124),ISTEXT(Report!C126)),"",Report!C126/'Sample Setup'!C124)</f>
        <v/>
      </c>
      <c r="J126" s="771"/>
      <c r="K126" s="185">
        <f t="shared" si="4"/>
        <v>0.63300000000000001</v>
      </c>
      <c r="L126" s="185">
        <f t="shared" si="5"/>
        <v>91.420626244927348</v>
      </c>
      <c r="M126" s="778"/>
      <c r="N126" s="778"/>
      <c r="AA126" s="377"/>
    </row>
    <row r="127" spans="1:27" ht="15.75" customHeight="1" x14ac:dyDescent="0.25">
      <c r="A127" s="35" t="s">
        <v>254</v>
      </c>
      <c r="B127" s="602">
        <v>1</v>
      </c>
      <c r="C127" s="770">
        <f>IF(ISTEXT(Calculations!AB226),Calculations!AB226,Calculations!AB226*'Sample Setup'!D125)</f>
        <v>59.700844111623461</v>
      </c>
      <c r="D127" s="770"/>
      <c r="E127" s="738" t="str">
        <f>IF(ISTEXT(Calculations!AB226),"",Calculations!AD226&amp;"/"&amp;Calculations!Y226)</f>
        <v>2/2</v>
      </c>
      <c r="F127" s="738"/>
      <c r="G127" s="603">
        <f>IF(OR(ISERROR(Calculations!AC226),ISTEXT(Calculations!AC226)),"",Calculations!AC226*'Sample Setup'!D125)</f>
        <v>0.7235681780729003</v>
      </c>
      <c r="H127" s="376">
        <f t="shared" si="3"/>
        <v>1.2119898618519283E-2</v>
      </c>
      <c r="I127" s="771" t="str">
        <f>IF(OR(ISBLANK('Sample Setup'!C125),ISTEXT(Report!C127)),"",Report!C127/'Sample Setup'!C125)</f>
        <v/>
      </c>
      <c r="J127" s="771"/>
      <c r="K127" s="185">
        <f t="shared" si="4"/>
        <v>0.41949999999999998</v>
      </c>
      <c r="L127" s="185">
        <f t="shared" si="5"/>
        <v>59.700844111623461</v>
      </c>
      <c r="M127" s="778"/>
      <c r="N127" s="778"/>
      <c r="AA127" s="377"/>
    </row>
    <row r="128" spans="1:27" ht="15.75" customHeight="1" x14ac:dyDescent="0.25">
      <c r="A128" s="35" t="s">
        <v>255</v>
      </c>
      <c r="B128" s="602">
        <v>1</v>
      </c>
      <c r="C128" s="770">
        <f>IF(ISTEXT(Calculations!AB227),Calculations!AB227,Calculations!AB227*'Sample Setup'!D126)</f>
        <v>85.536729655074907</v>
      </c>
      <c r="D128" s="770"/>
      <c r="E128" s="738" t="str">
        <f>IF(ISTEXT(Calculations!AB227),"",Calculations!AD227&amp;"/"&amp;Calculations!Y227)</f>
        <v>2/2</v>
      </c>
      <c r="F128" s="738"/>
      <c r="G128" s="603">
        <f>IF(OR(ISERROR(Calculations!AC227),ISTEXT(Calculations!AC227)),"",Calculations!AC227*'Sample Setup'!D126)</f>
        <v>3.1879251004018978</v>
      </c>
      <c r="H128" s="376">
        <f t="shared" si="3"/>
        <v>3.7269663140701542E-2</v>
      </c>
      <c r="I128" s="771" t="str">
        <f>IF(OR(ISBLANK('Sample Setup'!C126),ISTEXT(Report!C128)),"",Report!C128/'Sample Setup'!C126)</f>
        <v/>
      </c>
      <c r="J128" s="771"/>
      <c r="K128" s="185">
        <f t="shared" si="4"/>
        <v>0.59399999999999997</v>
      </c>
      <c r="L128" s="185">
        <f t="shared" si="5"/>
        <v>85.536729655074907</v>
      </c>
      <c r="M128" s="778"/>
      <c r="N128" s="778"/>
      <c r="AA128" s="377"/>
    </row>
    <row r="129" spans="1:27" ht="15.75" customHeight="1" x14ac:dyDescent="0.25">
      <c r="A129" s="35" t="s">
        <v>256</v>
      </c>
      <c r="B129" s="602">
        <v>1</v>
      </c>
      <c r="C129" s="770">
        <f>IF(ISTEXT(Calculations!AB228),Calculations!AB228,Calculations!AB228*'Sample Setup'!D127)</f>
        <v>87.341483353291437</v>
      </c>
      <c r="D129" s="770"/>
      <c r="E129" s="738" t="str">
        <f>IF(ISTEXT(Calculations!AB228),"",Calculations!AD228&amp;"/"&amp;Calculations!Y228)</f>
        <v>2/2</v>
      </c>
      <c r="F129" s="738"/>
      <c r="G129" s="603">
        <f>IF(OR(ISERROR(Calculations!AC228),ISTEXT(Calculations!AC228)),"",Calculations!AC228*'Sample Setup'!D127)</f>
        <v>2.7696000715462565</v>
      </c>
      <c r="H129" s="376">
        <f t="shared" si="3"/>
        <v>3.1710018712910779E-2</v>
      </c>
      <c r="I129" s="771" t="str">
        <f>IF(OR(ISBLANK('Sample Setup'!C127),ISTEXT(Report!C129)),"",Report!C129/'Sample Setup'!C127)</f>
        <v/>
      </c>
      <c r="J129" s="771"/>
      <c r="K129" s="185">
        <f t="shared" si="4"/>
        <v>0.60599999999999998</v>
      </c>
      <c r="L129" s="185">
        <f t="shared" si="5"/>
        <v>87.341483353291437</v>
      </c>
      <c r="M129" s="778"/>
      <c r="N129" s="778"/>
      <c r="AA129" s="377"/>
    </row>
    <row r="130" spans="1:27" ht="15.75" customHeight="1" x14ac:dyDescent="0.25">
      <c r="A130" s="35" t="s">
        <v>257</v>
      </c>
      <c r="B130" s="602">
        <v>1</v>
      </c>
      <c r="C130" s="770">
        <f>IF(ISTEXT(Calculations!AB229),Calculations!AB229,Calculations!AB229*'Sample Setup'!D128)</f>
        <v>88.927229332886029</v>
      </c>
      <c r="D130" s="770"/>
      <c r="E130" s="738" t="str">
        <f>IF(ISTEXT(Calculations!AB229),"",Calculations!AD229&amp;"/"&amp;Calculations!Y229)</f>
        <v>2/2</v>
      </c>
      <c r="F130" s="738"/>
      <c r="G130" s="603">
        <f>IF(OR(ISERROR(Calculations!AC229),ISTEXT(Calculations!AC229)),"",Calculations!AC229*'Sample Setup'!D128)</f>
        <v>3.7365249408787773</v>
      </c>
      <c r="H130" s="376">
        <f t="shared" si="3"/>
        <v>4.2017782055163828E-2</v>
      </c>
      <c r="I130" s="771" t="str">
        <f>IF(OR(ISBLANK('Sample Setup'!C128),ISTEXT(Report!C130)),"",Report!C130/'Sample Setup'!C128)</f>
        <v/>
      </c>
      <c r="J130" s="771"/>
      <c r="K130" s="185">
        <f t="shared" si="4"/>
        <v>0.61650000000000005</v>
      </c>
      <c r="L130" s="185">
        <f t="shared" si="5"/>
        <v>88.927229332886029</v>
      </c>
      <c r="M130" s="778"/>
      <c r="N130" s="778"/>
      <c r="AA130" s="377"/>
    </row>
    <row r="131" spans="1:27" ht="15.75" customHeight="1" x14ac:dyDescent="0.25">
      <c r="A131" s="35" t="s">
        <v>258</v>
      </c>
      <c r="B131" s="602">
        <v>1</v>
      </c>
      <c r="C131" s="770">
        <f>IF(ISTEXT(Calculations!AB230),Calculations!AB230,Calculations!AB230*'Sample Setup'!D129)</f>
        <v>86.134936949761311</v>
      </c>
      <c r="D131" s="770"/>
      <c r="E131" s="738" t="str">
        <f>IF(ISTEXT(Calculations!AB230),"",Calculations!AD230&amp;"/"&amp;Calculations!Y230)</f>
        <v>2/2</v>
      </c>
      <c r="F131" s="738"/>
      <c r="G131" s="603">
        <f>IF(OR(ISERROR(Calculations!AC230),ISTEXT(Calculations!AC230)),"",Calculations!AC230*'Sample Setup'!D129)</f>
        <v>0.85078282345012224</v>
      </c>
      <c r="H131" s="376">
        <f t="shared" si="3"/>
        <v>9.877325665732432E-3</v>
      </c>
      <c r="I131" s="771" t="str">
        <f>IF(OR(ISBLANK('Sample Setup'!C129),ISTEXT(Report!C131)),"",Report!C131/'Sample Setup'!C129)</f>
        <v/>
      </c>
      <c r="J131" s="771"/>
      <c r="K131" s="185">
        <f t="shared" si="4"/>
        <v>0.59799999999999998</v>
      </c>
      <c r="L131" s="185">
        <f t="shared" si="5"/>
        <v>86.134936949761311</v>
      </c>
      <c r="M131" s="778"/>
      <c r="N131" s="778"/>
      <c r="AA131" s="377"/>
    </row>
    <row r="132" spans="1:27" ht="15.75" customHeight="1" x14ac:dyDescent="0.25">
      <c r="A132" s="35" t="s">
        <v>259</v>
      </c>
      <c r="B132" s="602">
        <v>1</v>
      </c>
      <c r="C132" s="770">
        <f>IF(ISTEXT(Calculations!AB231),Calculations!AB231,Calculations!AB231*'Sample Setup'!D130)</f>
        <v>86.662966478327746</v>
      </c>
      <c r="D132" s="770"/>
      <c r="E132" s="738" t="str">
        <f>IF(ISTEXT(Calculations!AB231),"",Calculations!AD231&amp;"/"&amp;Calculations!Y231)</f>
        <v>2/2</v>
      </c>
      <c r="F132" s="738"/>
      <c r="G132" s="603">
        <f>IF(OR(ISERROR(Calculations!AC231),ISTEXT(Calculations!AC231)),"",Calculations!AC231*'Sample Setup'!D130)</f>
        <v>2.2349109350425183</v>
      </c>
      <c r="H132" s="376">
        <f t="shared" si="3"/>
        <v>2.5788534893983972E-2</v>
      </c>
      <c r="I132" s="771" t="str">
        <f>IF(OR(ISBLANK('Sample Setup'!C130),ISTEXT(Report!C132)),"",Report!C132/'Sample Setup'!C130)</f>
        <v/>
      </c>
      <c r="J132" s="771"/>
      <c r="K132" s="185">
        <f t="shared" si="4"/>
        <v>0.60149999999999992</v>
      </c>
      <c r="L132" s="185">
        <f t="shared" si="5"/>
        <v>86.662966478327746</v>
      </c>
      <c r="M132" s="778"/>
      <c r="N132" s="778"/>
      <c r="AA132" s="377"/>
    </row>
    <row r="133" spans="1:27" ht="15.75" customHeight="1" x14ac:dyDescent="0.25">
      <c r="A133" s="35" t="s">
        <v>260</v>
      </c>
      <c r="B133" s="602">
        <v>1</v>
      </c>
      <c r="C133" s="770">
        <f>IF(ISTEXT(Calculations!AB232),Calculations!AB232,Calculations!AB232*'Sample Setup'!D131)</f>
        <v>87.489769178439161</v>
      </c>
      <c r="D133" s="770"/>
      <c r="E133" s="738" t="str">
        <f>IF(ISTEXT(Calculations!AB232),"",Calculations!AD232&amp;"/"&amp;Calculations!Y232)</f>
        <v>2/2</v>
      </c>
      <c r="F133" s="738"/>
      <c r="G133" s="603">
        <f>IF(OR(ISERROR(Calculations!AC232),ISTEXT(Calculations!AC232)),"",Calculations!AC232*'Sample Setup'!D131)</f>
        <v>0.85234919078662141</v>
      </c>
      <c r="H133" s="376">
        <f t="shared" si="3"/>
        <v>9.7422727113180337E-3</v>
      </c>
      <c r="I133" s="771" t="str">
        <f>IF(OR(ISBLANK('Sample Setup'!C131),ISTEXT(Report!C133)),"",Report!C133/'Sample Setup'!C131)</f>
        <v/>
      </c>
      <c r="J133" s="771"/>
      <c r="K133" s="185">
        <f t="shared" si="4"/>
        <v>0.60699999999999998</v>
      </c>
      <c r="L133" s="185">
        <f t="shared" si="5"/>
        <v>87.489769178439161</v>
      </c>
      <c r="M133" s="778"/>
      <c r="N133" s="778"/>
      <c r="AA133" s="377"/>
    </row>
    <row r="134" spans="1:27" ht="15.75" customHeight="1" x14ac:dyDescent="0.25">
      <c r="A134" s="35" t="s">
        <v>261</v>
      </c>
      <c r="B134" s="602">
        <v>1</v>
      </c>
      <c r="C134" s="770">
        <f>IF(ISTEXT(Calculations!AB233),Calculations!AB233,Calculations!AB233*'Sample Setup'!D132)</f>
        <v>72.270558331941686</v>
      </c>
      <c r="D134" s="770"/>
      <c r="E134" s="738" t="str">
        <f>IF(ISTEXT(Calculations!AB233),"",Calculations!AD233&amp;"/"&amp;Calculations!Y233)</f>
        <v>2/2</v>
      </c>
      <c r="F134" s="738"/>
      <c r="G134" s="603">
        <f>IF(OR(ISERROR(Calculations!AC233),ISTEXT(Calculations!AC233)),"",Calculations!AC233*'Sample Setup'!D132)</f>
        <v>2.5099943562732032</v>
      </c>
      <c r="H134" s="376">
        <f t="shared" si="3"/>
        <v>3.4730523939564634E-2</v>
      </c>
      <c r="I134" s="771" t="str">
        <f>IF(OR(ISBLANK('Sample Setup'!C132),ISTEXT(Report!C134)),"",Report!C134/'Sample Setup'!C132)</f>
        <v/>
      </c>
      <c r="J134" s="771"/>
      <c r="K134" s="185">
        <f t="shared" si="4"/>
        <v>0.505</v>
      </c>
      <c r="L134" s="185">
        <f t="shared" si="5"/>
        <v>72.270558331941686</v>
      </c>
      <c r="M134" s="778"/>
      <c r="N134" s="778"/>
      <c r="AA134" s="377"/>
    </row>
    <row r="135" spans="1:27" ht="15.75" customHeight="1" x14ac:dyDescent="0.25">
      <c r="A135" s="35" t="s">
        <v>262</v>
      </c>
      <c r="B135" s="602">
        <v>1</v>
      </c>
      <c r="C135" s="770">
        <f>IF(ISTEXT(Calculations!AB234),Calculations!AB234,Calculations!AB234*'Sample Setup'!D133)</f>
        <v>75.753117808695606</v>
      </c>
      <c r="D135" s="770"/>
      <c r="E135" s="738" t="str">
        <f>IF(ISTEXT(Calculations!AB234),"",Calculations!AD234&amp;"/"&amp;Calculations!Y234)</f>
        <v>2/2</v>
      </c>
      <c r="F135" s="738"/>
      <c r="G135" s="603">
        <f>IF(OR(ISERROR(Calculations!AC234),ISTEXT(Calculations!AC234)),"",Calculations!AC234*'Sample Setup'!D133)</f>
        <v>2.6246385328584192</v>
      </c>
      <c r="H135" s="376">
        <f t="shared" si="3"/>
        <v>3.4647267449593212E-2</v>
      </c>
      <c r="I135" s="771" t="str">
        <f>IF(OR(ISBLANK('Sample Setup'!C133),ISTEXT(Report!C135)),"",Report!C135/'Sample Setup'!C133)</f>
        <v/>
      </c>
      <c r="J135" s="771"/>
      <c r="K135" s="185">
        <f t="shared" si="4"/>
        <v>0.52849999999999997</v>
      </c>
      <c r="L135" s="185">
        <f t="shared" si="5"/>
        <v>75.753117808695606</v>
      </c>
      <c r="M135" s="778"/>
      <c r="N135" s="778"/>
      <c r="AA135" s="377"/>
    </row>
    <row r="136" spans="1:27" ht="15.75" customHeight="1" x14ac:dyDescent="0.25">
      <c r="A136" s="35" t="s">
        <v>263</v>
      </c>
      <c r="B136" s="602">
        <v>1</v>
      </c>
      <c r="C136" s="770">
        <f>IF(ISTEXT(Calculations!AB235),Calculations!AB235,Calculations!AB235*'Sample Setup'!D134)</f>
        <v>61.751424385351058</v>
      </c>
      <c r="D136" s="770"/>
      <c r="E136" s="738" t="str">
        <f>IF(ISTEXT(Calculations!AB235),"",Calculations!AD235&amp;"/"&amp;Calculations!Y235)</f>
        <v>2/2</v>
      </c>
      <c r="F136" s="738"/>
      <c r="G136" s="603">
        <f>IF(OR(ISERROR(Calculations!AC235),ISTEXT(Calculations!AC235)),"",Calculations!AC235*'Sample Setup'!D134)</f>
        <v>3.4168640651547402</v>
      </c>
      <c r="H136" s="376">
        <f t="shared" si="3"/>
        <v>5.5332554660314906E-2</v>
      </c>
      <c r="I136" s="771" t="str">
        <f>IF(OR(ISBLANK('Sample Setup'!C134),ISTEXT(Report!C136)),"",Report!C136/'Sample Setup'!C134)</f>
        <v/>
      </c>
      <c r="J136" s="771"/>
      <c r="K136" s="185">
        <f t="shared" si="4"/>
        <v>0.4335</v>
      </c>
      <c r="L136" s="185">
        <f t="shared" si="5"/>
        <v>61.751424385351058</v>
      </c>
      <c r="M136" s="778"/>
      <c r="N136" s="778"/>
      <c r="AA136" s="377"/>
    </row>
    <row r="137" spans="1:27" ht="15.75" customHeight="1" x14ac:dyDescent="0.25">
      <c r="A137" s="35" t="s">
        <v>264</v>
      </c>
      <c r="B137" s="602">
        <v>1</v>
      </c>
      <c r="C137" s="770">
        <f>IF(ISTEXT(Calculations!AB236),Calculations!AB236,Calculations!AB236*'Sample Setup'!D135)</f>
        <v>70.643463307205593</v>
      </c>
      <c r="D137" s="770"/>
      <c r="E137" s="738" t="str">
        <f>IF(ISTEXT(Calculations!AB236),"",Calculations!AD236&amp;"/"&amp;Calculations!Y236)</f>
        <v>2/2</v>
      </c>
      <c r="F137" s="738"/>
      <c r="G137" s="603">
        <f>IF(OR(ISERROR(Calculations!AC236),ISTEXT(Calculations!AC236)),"",Calculations!AC236*'Sample Setup'!D135)</f>
        <v>0.62642216408120932</v>
      </c>
      <c r="H137" s="376">
        <f t="shared" si="3"/>
        <v>8.8673761839379497E-3</v>
      </c>
      <c r="I137" s="771" t="str">
        <f>IF(OR(ISBLANK('Sample Setup'!C135),ISTEXT(Report!C137)),"",Report!C137/'Sample Setup'!C135)</f>
        <v/>
      </c>
      <c r="J137" s="771"/>
      <c r="K137" s="185">
        <f t="shared" si="4"/>
        <v>0.49400000000000005</v>
      </c>
      <c r="L137" s="185">
        <f t="shared" si="5"/>
        <v>70.643463307205593</v>
      </c>
      <c r="M137" s="778"/>
      <c r="N137" s="778"/>
      <c r="AA137" s="377"/>
    </row>
    <row r="138" spans="1:27" ht="15.75" customHeight="1" x14ac:dyDescent="0.25">
      <c r="A138" s="35" t="s">
        <v>265</v>
      </c>
      <c r="B138" s="602">
        <v>1</v>
      </c>
      <c r="C138" s="770">
        <f>IF(ISTEXT(Calculations!AB237),Calculations!AB237,Calculations!AB237*'Sample Setup'!D136)</f>
        <v>64.608581037661111</v>
      </c>
      <c r="D138" s="770"/>
      <c r="E138" s="738" t="str">
        <f>IF(ISTEXT(Calculations!AB237),"",Calculations!AD237&amp;"/"&amp;Calculations!Y237)</f>
        <v>2/2</v>
      </c>
      <c r="F138" s="738"/>
      <c r="G138" s="603">
        <f>IF(OR(ISERROR(Calculations!AC237),ISTEXT(Calculations!AC237)),"",Calculations!AC237*'Sample Setup'!D136)</f>
        <v>1.8683450053885353</v>
      </c>
      <c r="H138" s="376">
        <f t="shared" si="3"/>
        <v>2.8917908045364048E-2</v>
      </c>
      <c r="I138" s="771" t="str">
        <f>IF(OR(ISBLANK('Sample Setup'!C136),ISTEXT(Report!C138)),"",Report!C138/'Sample Setup'!C136)</f>
        <v/>
      </c>
      <c r="J138" s="771"/>
      <c r="K138" s="185">
        <f t="shared" si="4"/>
        <v>0.45300000000000001</v>
      </c>
      <c r="L138" s="185">
        <f t="shared" si="5"/>
        <v>64.608581037661111</v>
      </c>
      <c r="M138" s="778"/>
      <c r="N138" s="778"/>
      <c r="AA138" s="377"/>
    </row>
    <row r="139" spans="1:27" ht="15.75" customHeight="1" x14ac:dyDescent="0.25">
      <c r="A139" s="35" t="s">
        <v>266</v>
      </c>
      <c r="B139" s="602">
        <v>1</v>
      </c>
      <c r="C139" s="770">
        <f>IF(ISTEXT(Calculations!AB238),Calculations!AB238,Calculations!AB238*'Sample Setup'!D137)</f>
        <v>64.534947280292187</v>
      </c>
      <c r="D139" s="770"/>
      <c r="E139" s="738" t="str">
        <f>IF(ISTEXT(Calculations!AB238),"",Calculations!AD238&amp;"/"&amp;Calculations!Y238)</f>
        <v>2/2</v>
      </c>
      <c r="F139" s="738"/>
      <c r="G139" s="603">
        <f>IF(OR(ISERROR(Calculations!AC238),ISTEXT(Calculations!AC238)),"",Calculations!AC238*'Sample Setup'!D137)</f>
        <v>1.5568480616823628</v>
      </c>
      <c r="H139" s="376">
        <f t="shared" si="3"/>
        <v>2.4124108367526261E-2</v>
      </c>
      <c r="I139" s="771" t="str">
        <f>IF(OR(ISBLANK('Sample Setup'!C137),ISTEXT(Report!C139)),"",Report!C139/'Sample Setup'!C137)</f>
        <v/>
      </c>
      <c r="J139" s="771"/>
      <c r="K139" s="185">
        <f t="shared" si="4"/>
        <v>0.45250000000000001</v>
      </c>
      <c r="L139" s="185">
        <f t="shared" si="5"/>
        <v>64.534947280292187</v>
      </c>
      <c r="M139" s="778"/>
      <c r="N139" s="778"/>
      <c r="AA139" s="377"/>
    </row>
    <row r="140" spans="1:27" ht="15.75" customHeight="1" x14ac:dyDescent="0.25">
      <c r="A140" s="35" t="s">
        <v>267</v>
      </c>
      <c r="B140" s="602">
        <v>1</v>
      </c>
      <c r="C140" s="770">
        <f>IF(ISTEXT(Calculations!AB239),Calculations!AB239,Calculations!AB239*'Sample Setup'!D138)</f>
        <v>32.932646997041225</v>
      </c>
      <c r="D140" s="770"/>
      <c r="E140" s="738" t="str">
        <f>IF(ISTEXT(Calculations!AB239),"",Calculations!AD239&amp;"/"&amp;Calculations!Y239)</f>
        <v>2/2</v>
      </c>
      <c r="F140" s="738"/>
      <c r="G140" s="603">
        <f>IF(OR(ISERROR(Calculations!AC239),ISTEXT(Calculations!AC239)),"",Calculations!AC239*'Sample Setup'!D138)</f>
        <v>2.6562593453212435</v>
      </c>
      <c r="H140" s="376">
        <f t="shared" si="3"/>
        <v>8.0657329049799442E-2</v>
      </c>
      <c r="I140" s="771" t="str">
        <f>IF(OR(ISBLANK('Sample Setup'!C138),ISTEXT(Report!C140)),"",Report!C140/'Sample Setup'!C138)</f>
        <v/>
      </c>
      <c r="J140" s="771"/>
      <c r="K140" s="185">
        <f t="shared" si="4"/>
        <v>0.23500000000000001</v>
      </c>
      <c r="L140" s="185">
        <f t="shared" si="5"/>
        <v>32.932646997041225</v>
      </c>
      <c r="M140" s="778"/>
      <c r="N140" s="778"/>
      <c r="AA140" s="377"/>
    </row>
    <row r="141" spans="1:27" ht="15.75" customHeight="1" x14ac:dyDescent="0.25">
      <c r="A141" s="35" t="s">
        <v>268</v>
      </c>
      <c r="B141" s="602">
        <v>1</v>
      </c>
      <c r="C141" s="770">
        <f>IF(ISTEXT(Calculations!AB240),Calculations!AB240,Calculations!AB240*'Sample Setup'!D139)</f>
        <v>66.522227669147242</v>
      </c>
      <c r="D141" s="770"/>
      <c r="E141" s="738" t="str">
        <f>IF(ISTEXT(Calculations!AB240),"",Calculations!AD240&amp;"/"&amp;Calculations!Y240)</f>
        <v>2/2</v>
      </c>
      <c r="F141" s="738"/>
      <c r="G141" s="603">
        <f>IF(OR(ISERROR(Calculations!AC240),ISTEXT(Calculations!AC240)),"",Calculations!AC240*'Sample Setup'!D139)</f>
        <v>4.3672869398392598</v>
      </c>
      <c r="H141" s="376">
        <f t="shared" si="3"/>
        <v>6.5651543745050958E-2</v>
      </c>
      <c r="I141" s="771" t="str">
        <f>IF(OR(ISBLANK('Sample Setup'!C139),ISTEXT(Report!C141)),"",Report!C141/'Sample Setup'!C139)</f>
        <v/>
      </c>
      <c r="J141" s="771"/>
      <c r="K141" s="185">
        <f t="shared" si="4"/>
        <v>0.46600000000000003</v>
      </c>
      <c r="L141" s="185">
        <f t="shared" si="5"/>
        <v>66.522227669147242</v>
      </c>
      <c r="M141" s="778"/>
      <c r="N141" s="778"/>
      <c r="AA141" s="377"/>
    </row>
    <row r="142" spans="1:27" ht="15.75" customHeight="1" x14ac:dyDescent="0.25">
      <c r="A142" s="35" t="s">
        <v>269</v>
      </c>
      <c r="B142" s="602">
        <v>1</v>
      </c>
      <c r="C142" s="770">
        <f>IF(ISTEXT(Calculations!AB241),Calculations!AB241,Calculations!AB241*'Sample Setup'!D140)</f>
        <v>33.582760037428997</v>
      </c>
      <c r="D142" s="770"/>
      <c r="E142" s="738" t="str">
        <f>IF(ISTEXT(Calculations!AB241),"",Calculations!AD241&amp;"/"&amp;Calculations!Y241)</f>
        <v>2/2</v>
      </c>
      <c r="F142" s="738"/>
      <c r="G142" s="603">
        <f>IF(OR(ISERROR(Calculations!AC241),ISTEXT(Calculations!AC241)),"",Calculations!AC241*'Sample Setup'!D140)</f>
        <v>0.71515249353513</v>
      </c>
      <c r="H142" s="376">
        <f t="shared" si="3"/>
        <v>2.1295226858604563E-2</v>
      </c>
      <c r="I142" s="771" t="str">
        <f>IF(OR(ISBLANK('Sample Setup'!C140),ISTEXT(Report!C142)),"",Report!C142/'Sample Setup'!C140)</f>
        <v/>
      </c>
      <c r="J142" s="771"/>
      <c r="K142" s="185">
        <f t="shared" si="4"/>
        <v>0.23950000000000002</v>
      </c>
      <c r="L142" s="185">
        <f t="shared" si="5"/>
        <v>33.582760037428997</v>
      </c>
      <c r="M142" s="778"/>
      <c r="N142" s="778"/>
      <c r="AA142" s="377"/>
    </row>
    <row r="143" spans="1:27" ht="15.75" customHeight="1" x14ac:dyDescent="0.25">
      <c r="A143" s="35" t="s">
        <v>270</v>
      </c>
      <c r="B143" s="602">
        <v>1</v>
      </c>
      <c r="C143" s="770">
        <f>IF(ISTEXT(Calculations!AB242),Calculations!AB242,Calculations!AB242*'Sample Setup'!D141)</f>
        <v>32.282445545878971</v>
      </c>
      <c r="D143" s="770"/>
      <c r="E143" s="738" t="str">
        <f>IF(ISTEXT(Calculations!AB242),"",Calculations!AD242&amp;"/"&amp;Calculations!Y242)</f>
        <v>2/2</v>
      </c>
      <c r="F143" s="738"/>
      <c r="G143" s="603">
        <f>IF(OR(ISERROR(Calculations!AC242),ISTEXT(Calculations!AC242)),"",Calculations!AC242*'Sample Setup'!D141)</f>
        <v>0.71512340652314677</v>
      </c>
      <c r="H143" s="376">
        <f t="shared" si="3"/>
        <v>2.2152082793939262E-2</v>
      </c>
      <c r="I143" s="771" t="str">
        <f>IF(OR(ISBLANK('Sample Setup'!C141),ISTEXT(Report!C143)),"",Report!C143/'Sample Setup'!C141)</f>
        <v/>
      </c>
      <c r="J143" s="771"/>
      <c r="K143" s="185">
        <f t="shared" si="4"/>
        <v>0.23050000000000004</v>
      </c>
      <c r="L143" s="185">
        <f t="shared" si="5"/>
        <v>32.282445545878971</v>
      </c>
      <c r="M143" s="778"/>
      <c r="N143" s="778"/>
      <c r="AA143" s="377"/>
    </row>
    <row r="144" spans="1:27" ht="15.75" customHeight="1" x14ac:dyDescent="0.25">
      <c r="A144" s="35" t="s">
        <v>271</v>
      </c>
      <c r="B144" s="602">
        <v>1</v>
      </c>
      <c r="C144" s="770">
        <f>IF(ISTEXT(Calculations!AB243),Calculations!AB243,Calculations!AB243*'Sample Setup'!D142)</f>
        <v>75.753444107555936</v>
      </c>
      <c r="D144" s="770"/>
      <c r="E144" s="738" t="str">
        <f>IF(ISTEXT(Calculations!AB243),"",Calculations!AD243&amp;"/"&amp;Calculations!Y243)</f>
        <v>2/2</v>
      </c>
      <c r="F144" s="738"/>
      <c r="G144" s="603">
        <f>IF(OR(ISERROR(Calculations!AC243),ISTEXT(Calculations!AC243)),"",Calculations!AC243*'Sample Setup'!D142)</f>
        <v>2.8346158740758121</v>
      </c>
      <c r="H144" s="376">
        <f t="shared" si="3"/>
        <v>3.7418970285379757E-2</v>
      </c>
      <c r="I144" s="771" t="str">
        <f>IF(OR(ISBLANK('Sample Setup'!C142),ISTEXT(Report!C144)),"",Report!C144/'Sample Setup'!C142)</f>
        <v/>
      </c>
      <c r="J144" s="771"/>
      <c r="K144" s="185">
        <f t="shared" si="4"/>
        <v>0.52849999999999997</v>
      </c>
      <c r="L144" s="185">
        <f t="shared" si="5"/>
        <v>75.753444107555936</v>
      </c>
      <c r="M144" s="778"/>
      <c r="N144" s="778"/>
      <c r="AA144" s="377"/>
    </row>
    <row r="145" spans="1:27" ht="15.75" customHeight="1" x14ac:dyDescent="0.25">
      <c r="A145" s="35" t="s">
        <v>272</v>
      </c>
      <c r="B145" s="602">
        <v>1</v>
      </c>
      <c r="C145" s="770">
        <f>IF(ISTEXT(Calculations!AB244),Calculations!AB244,Calculations!AB244*'Sample Setup'!D143)</f>
        <v>31.271099557367023</v>
      </c>
      <c r="D145" s="770"/>
      <c r="E145" s="738" t="str">
        <f>IF(ISTEXT(Calculations!AB244),"",Calculations!AD244&amp;"/"&amp;Calculations!Y244)</f>
        <v>2/2</v>
      </c>
      <c r="F145" s="738"/>
      <c r="G145" s="603">
        <f>IF(OR(ISERROR(Calculations!AC244),ISTEXT(Calculations!AC244)),"",Calculations!AC244*'Sample Setup'!D143)</f>
        <v>0.91945654276667632</v>
      </c>
      <c r="H145" s="376">
        <f t="shared" si="3"/>
        <v>2.9402757043446064E-2</v>
      </c>
      <c r="I145" s="771" t="str">
        <f>IF(OR(ISBLANK('Sample Setup'!C143),ISTEXT(Report!C145)),"",Report!C145/'Sample Setup'!C143)</f>
        <v/>
      </c>
      <c r="J145" s="771"/>
      <c r="K145" s="185">
        <f t="shared" si="4"/>
        <v>0.22350000000000003</v>
      </c>
      <c r="L145" s="185">
        <f t="shared" si="5"/>
        <v>31.271099557367023</v>
      </c>
      <c r="M145" s="778"/>
      <c r="N145" s="778"/>
      <c r="AA145" s="377"/>
    </row>
    <row r="146" spans="1:27" ht="15.75" customHeight="1" x14ac:dyDescent="0.25">
      <c r="A146" s="35" t="s">
        <v>273</v>
      </c>
      <c r="B146" s="602">
        <v>1</v>
      </c>
      <c r="C146" s="770">
        <f>IF(ISTEXT(Calculations!AB245),Calculations!AB245,Calculations!AB245*'Sample Setup'!D144)</f>
        <v>37.268268601929421</v>
      </c>
      <c r="D146" s="770"/>
      <c r="E146" s="738" t="str">
        <f>IF(ISTEXT(Calculations!AB245),"",Calculations!AD245&amp;"/"&amp;Calculations!Y245)</f>
        <v>2/2</v>
      </c>
      <c r="F146" s="738"/>
      <c r="G146" s="603">
        <f>IF(OR(ISERROR(Calculations!AC245),ISTEXT(Calculations!AC245)),"",Calculations!AC245*'Sample Setup'!D144)</f>
        <v>3.4752355296294528</v>
      </c>
      <c r="H146" s="376">
        <f t="shared" si="3"/>
        <v>9.3249181139837975E-2</v>
      </c>
      <c r="I146" s="771" t="str">
        <f>IF(OR(ISBLANK('Sample Setup'!C144),ISTEXT(Report!C146)),"",Report!C146/'Sample Setup'!C144)</f>
        <v/>
      </c>
      <c r="J146" s="771"/>
      <c r="K146" s="185">
        <f t="shared" si="4"/>
        <v>0.26500000000000001</v>
      </c>
      <c r="L146" s="185">
        <f t="shared" si="5"/>
        <v>37.268268601929421</v>
      </c>
      <c r="M146" s="778"/>
      <c r="N146" s="778"/>
      <c r="AA146" s="377"/>
    </row>
    <row r="147" spans="1:27" ht="15.75" customHeight="1" x14ac:dyDescent="0.25">
      <c r="A147" s="35" t="s">
        <v>274</v>
      </c>
      <c r="B147" s="602">
        <v>1</v>
      </c>
      <c r="C147" s="770">
        <f>IF(ISTEXT(Calculations!AB246),Calculations!AB246,Calculations!AB246*'Sample Setup'!D145)</f>
        <v>40.2319093183755</v>
      </c>
      <c r="D147" s="770"/>
      <c r="E147" s="738" t="str">
        <f>IF(ISTEXT(Calculations!AB246),"",Calculations!AD246&amp;"/"&amp;Calculations!Y246)</f>
        <v>2/2</v>
      </c>
      <c r="F147" s="738"/>
      <c r="G147" s="603">
        <f>IF(OR(ISERROR(Calculations!AC246),ISTEXT(Calculations!AC246)),"",Calculations!AC246*'Sample Setup'!D145)</f>
        <v>0.92051150603095877</v>
      </c>
      <c r="H147" s="376">
        <f t="shared" si="3"/>
        <v>2.2880134739479661E-2</v>
      </c>
      <c r="I147" s="771" t="str">
        <f>IF(OR(ISBLANK('Sample Setup'!C145),ISTEXT(Report!C147)),"",Report!C147/'Sample Setup'!C145)</f>
        <v/>
      </c>
      <c r="J147" s="771"/>
      <c r="K147" s="185">
        <f t="shared" si="4"/>
        <v>0.28549999999999998</v>
      </c>
      <c r="L147" s="185">
        <f t="shared" si="5"/>
        <v>40.2319093183755</v>
      </c>
      <c r="M147" s="778"/>
      <c r="N147" s="778"/>
      <c r="AA147" s="377"/>
    </row>
    <row r="148" spans="1:27" ht="15.75" customHeight="1" x14ac:dyDescent="0.25">
      <c r="A148" s="35" t="s">
        <v>275</v>
      </c>
      <c r="B148" s="602">
        <v>1</v>
      </c>
      <c r="C148" s="770">
        <f>IF(ISTEXT(Calculations!AB247),Calculations!AB247,Calculations!AB247*'Sample Setup'!D146)</f>
        <v>29.46496863633903</v>
      </c>
      <c r="D148" s="770"/>
      <c r="E148" s="738" t="str">
        <f>IF(ISTEXT(Calculations!AB247),"",Calculations!AD247&amp;"/"&amp;Calculations!Y247)</f>
        <v>2/2</v>
      </c>
      <c r="F148" s="738"/>
      <c r="G148" s="603">
        <f>IF(OR(ISERROR(Calculations!AC247),ISTEXT(Calculations!AC247)),"",Calculations!AC247*'Sample Setup'!D146)</f>
        <v>1.6347983011725236</v>
      </c>
      <c r="H148" s="376">
        <f t="shared" si="3"/>
        <v>5.5482777577313735E-2</v>
      </c>
      <c r="I148" s="771" t="str">
        <f>IF(OR(ISBLANK('Sample Setup'!C146),ISTEXT(Report!C148)),"",Report!C148/'Sample Setup'!C146)</f>
        <v/>
      </c>
      <c r="J148" s="771"/>
      <c r="K148" s="185">
        <f t="shared" si="4"/>
        <v>0.21100000000000002</v>
      </c>
      <c r="L148" s="185">
        <f t="shared" si="5"/>
        <v>29.46496863633903</v>
      </c>
      <c r="M148" s="778"/>
      <c r="N148" s="778"/>
      <c r="AA148" s="377"/>
    </row>
    <row r="149" spans="1:27" ht="15.75" customHeight="1" x14ac:dyDescent="0.25">
      <c r="A149" s="35" t="s">
        <v>276</v>
      </c>
      <c r="B149" s="602">
        <v>1</v>
      </c>
      <c r="C149" s="770">
        <f>IF(ISTEXT(Calculations!AB248),Calculations!AB248,Calculations!AB248*'Sample Setup'!D147)</f>
        <v>36.761988509901094</v>
      </c>
      <c r="D149" s="770"/>
      <c r="E149" s="738" t="str">
        <f>IF(ISTEXT(Calculations!AB248),"",Calculations!AD248&amp;"/"&amp;Calculations!Y248)</f>
        <v>2/2</v>
      </c>
      <c r="F149" s="738"/>
      <c r="G149" s="603">
        <f>IF(OR(ISERROR(Calculations!AC248),ISTEXT(Calculations!AC248)),"",Calculations!AC248*'Sample Setup'!D147)</f>
        <v>1.9418292965059127</v>
      </c>
      <c r="H149" s="376">
        <f t="shared" si="3"/>
        <v>5.2821661047604114E-2</v>
      </c>
      <c r="I149" s="771" t="str">
        <f>IF(OR(ISBLANK('Sample Setup'!C147),ISTEXT(Report!C149)),"",Report!C149/'Sample Setup'!C147)</f>
        <v/>
      </c>
      <c r="J149" s="771"/>
      <c r="K149" s="185">
        <f t="shared" si="4"/>
        <v>0.26150000000000001</v>
      </c>
      <c r="L149" s="185">
        <f t="shared" si="5"/>
        <v>36.761988509901094</v>
      </c>
      <c r="M149" s="778"/>
      <c r="N149" s="778"/>
      <c r="AA149" s="377"/>
    </row>
    <row r="150" spans="1:27" ht="15.75" customHeight="1" x14ac:dyDescent="0.25">
      <c r="A150" s="35" t="s">
        <v>277</v>
      </c>
      <c r="B150" s="602">
        <v>1</v>
      </c>
      <c r="C150" s="770">
        <f>IF(ISTEXT(Calculations!AB249),Calculations!AB249,Calculations!AB249*'Sample Setup'!D148)</f>
        <v>90.218649797638165</v>
      </c>
      <c r="D150" s="770"/>
      <c r="E150" s="738" t="str">
        <f>IF(ISTEXT(Calculations!AB249),"",Calculations!AD249&amp;"/"&amp;Calculations!Y249)</f>
        <v>2/2</v>
      </c>
      <c r="F150" s="738"/>
      <c r="G150" s="603">
        <f>IF(OR(ISERROR(Calculations!AC249),ISTEXT(Calculations!AC249)),"",Calculations!AC249*'Sample Setup'!D148)</f>
        <v>5.7755862157476932</v>
      </c>
      <c r="H150" s="376">
        <f t="shared" si="3"/>
        <v>6.4017652987518908E-2</v>
      </c>
      <c r="I150" s="771" t="str">
        <f>IF(OR(ISBLANK('Sample Setup'!C148),ISTEXT(Report!C150)),"",Report!C150/'Sample Setup'!C148)</f>
        <v/>
      </c>
      <c r="J150" s="771"/>
      <c r="K150" s="185">
        <f t="shared" si="4"/>
        <v>0.625</v>
      </c>
      <c r="L150" s="185">
        <f t="shared" si="5"/>
        <v>90.218649797638165</v>
      </c>
      <c r="M150" s="778"/>
      <c r="N150" s="778"/>
      <c r="AA150" s="377"/>
    </row>
    <row r="151" spans="1:27" ht="15.75" customHeight="1" x14ac:dyDescent="0.25">
      <c r="A151" s="35" t="s">
        <v>278</v>
      </c>
      <c r="B151" s="602">
        <v>1</v>
      </c>
      <c r="C151" s="770">
        <f>IF(ISTEXT(Calculations!AB250),Calculations!AB250,Calculations!AB250*'Sample Setup'!D149)</f>
        <v>93.931846623223649</v>
      </c>
      <c r="D151" s="770"/>
      <c r="E151" s="738" t="str">
        <f>IF(ISTEXT(Calculations!AB250),"",Calculations!AD250&amp;"/"&amp;Calculations!Y250)</f>
        <v>2/2</v>
      </c>
      <c r="F151" s="738"/>
      <c r="G151" s="603">
        <f>IF(OR(ISERROR(Calculations!AC250),ISTEXT(Calculations!AC250)),"",Calculations!AC250*'Sample Setup'!D149)</f>
        <v>5.0541027342380511</v>
      </c>
      <c r="H151" s="376">
        <f t="shared" si="3"/>
        <v>5.3806061691844542E-2</v>
      </c>
      <c r="I151" s="771" t="str">
        <f>IF(OR(ISBLANK('Sample Setup'!C149),ISTEXT(Report!C151)),"",Report!C151/'Sample Setup'!C149)</f>
        <v/>
      </c>
      <c r="J151" s="771"/>
      <c r="K151" s="185">
        <f t="shared" si="4"/>
        <v>0.64949999999999997</v>
      </c>
      <c r="L151" s="185">
        <f t="shared" si="5"/>
        <v>93.931846623223649</v>
      </c>
      <c r="M151" s="778"/>
      <c r="N151" s="778"/>
      <c r="AA151" s="377"/>
    </row>
    <row r="152" spans="1:27" ht="15.75" customHeight="1" x14ac:dyDescent="0.25">
      <c r="A152" s="35" t="s">
        <v>279</v>
      </c>
      <c r="B152" s="602">
        <v>1</v>
      </c>
      <c r="C152" s="770">
        <f>IF(ISTEXT(Calculations!AB251),Calculations!AB251,Calculations!AB251*'Sample Setup'!D150)</f>
        <v>81.562114307151887</v>
      </c>
      <c r="D152" s="770"/>
      <c r="E152" s="738" t="str">
        <f>IF(ISTEXT(Calculations!AB251),"",Calculations!AD251&amp;"/"&amp;Calculations!Y251)</f>
        <v>2/2</v>
      </c>
      <c r="F152" s="738"/>
      <c r="G152" s="603">
        <f>IF(OR(ISERROR(Calculations!AC251),ISTEXT(Calculations!AC251)),"",Calculations!AC251*'Sample Setup'!D150)</f>
        <v>1.5857646460789199</v>
      </c>
      <c r="H152" s="376">
        <f t="shared" si="3"/>
        <v>1.9442417101978804E-2</v>
      </c>
      <c r="I152" s="771" t="str">
        <f>IF(OR(ISBLANK('Sample Setup'!C150),ISTEXT(Report!C152)),"",Report!C152/'Sample Setup'!C150)</f>
        <v/>
      </c>
      <c r="J152" s="771"/>
      <c r="K152" s="185">
        <f t="shared" si="4"/>
        <v>0.56749999999999989</v>
      </c>
      <c r="L152" s="185">
        <f t="shared" si="5"/>
        <v>81.562114307151887</v>
      </c>
      <c r="M152" s="778"/>
      <c r="N152" s="778"/>
      <c r="AA152" s="377"/>
    </row>
    <row r="153" spans="1:27" ht="15.75" customHeight="1" x14ac:dyDescent="0.25">
      <c r="A153" s="35" t="s">
        <v>280</v>
      </c>
      <c r="B153" s="602">
        <v>1</v>
      </c>
      <c r="C153" s="770">
        <f>IF(ISTEXT(Calculations!AB252),Calculations!AB252,Calculations!AB252*'Sample Setup'!D151)</f>
        <v>70.49627361871876</v>
      </c>
      <c r="D153" s="770"/>
      <c r="E153" s="738" t="str">
        <f>IF(ISTEXT(Calculations!AB252),"",Calculations!AD252&amp;"/"&amp;Calculations!Y252)</f>
        <v>2/2</v>
      </c>
      <c r="F153" s="738"/>
      <c r="G153" s="603">
        <f>IF(OR(ISERROR(Calculations!AC252),ISTEXT(Calculations!AC252)),"",Calculations!AC252*'Sample Setup'!D151)</f>
        <v>1.4614343581830502</v>
      </c>
      <c r="H153" s="376">
        <f t="shared" si="3"/>
        <v>2.0730661113908835E-2</v>
      </c>
      <c r="I153" s="771" t="str">
        <f>IF(OR(ISBLANK('Sample Setup'!C151),ISTEXT(Report!C153)),"",Report!C153/'Sample Setup'!C151)</f>
        <v/>
      </c>
      <c r="J153" s="771"/>
      <c r="K153" s="185">
        <f t="shared" si="4"/>
        <v>0.49299999999999999</v>
      </c>
      <c r="L153" s="185">
        <f t="shared" si="5"/>
        <v>70.49627361871876</v>
      </c>
      <c r="M153" s="778"/>
      <c r="N153" s="778"/>
      <c r="AA153" s="377"/>
    </row>
    <row r="154" spans="1:27" ht="15.75" customHeight="1" x14ac:dyDescent="0.25">
      <c r="A154" s="35" t="s">
        <v>281</v>
      </c>
      <c r="B154" s="602">
        <v>1</v>
      </c>
      <c r="C154" s="770">
        <f>IF(ISTEXT(Calculations!AB253),Calculations!AB253,Calculations!AB253*'Sample Setup'!D152)</f>
        <v>24.622082464451246</v>
      </c>
      <c r="D154" s="770"/>
      <c r="E154" s="738" t="str">
        <f>IF(ISTEXT(Calculations!AB253),"",Calculations!AD253&amp;"/"&amp;Calculations!Y253)</f>
        <v>2/2</v>
      </c>
      <c r="F154" s="738"/>
      <c r="G154" s="603">
        <f>IF(OR(ISERROR(Calculations!AC253),ISTEXT(Calculations!AC253)),"",Calculations!AC253*'Sample Setup'!D152)</f>
        <v>1.9433200447689531</v>
      </c>
      <c r="H154" s="376"/>
      <c r="I154" s="771" t="str">
        <f>IF(OR(ISBLANK('Sample Setup'!C152),ISTEXT(Report!C154)),"",Report!C154/'Sample Setup'!C152)</f>
        <v/>
      </c>
      <c r="J154" s="771"/>
      <c r="K154" s="185">
        <f t="shared" si="4"/>
        <v>0.17749999999999999</v>
      </c>
      <c r="L154" s="185">
        <f t="shared" si="5"/>
        <v>24.622082464451246</v>
      </c>
      <c r="M154" s="778"/>
      <c r="N154" s="778"/>
      <c r="AA154" s="377"/>
    </row>
    <row r="155" spans="1:27" ht="15.75" customHeight="1" x14ac:dyDescent="0.25">
      <c r="A155" s="35" t="s">
        <v>282</v>
      </c>
      <c r="B155" s="602">
        <v>1</v>
      </c>
      <c r="C155" s="770" t="str">
        <f>IF(ISTEXT(Calculations!AB254),Calculations!AB254,Calculations!AB254*'Sample Setup'!D153)</f>
        <v>Low</v>
      </c>
      <c r="D155" s="770"/>
      <c r="E155" s="738" t="str">
        <f>IF(ISTEXT(Calculations!AB254),"",Calculations!AD254&amp;"/"&amp;Calculations!Y254)</f>
        <v/>
      </c>
      <c r="F155" s="738"/>
      <c r="G155" s="603" t="str">
        <f>IF(OR(ISERROR(Calculations!AC254),ISTEXT(Calculations!AC254)),"",Calculations!AC254*'Sample Setup'!D153)</f>
        <v/>
      </c>
      <c r="H155" s="376"/>
      <c r="I155" s="771" t="str">
        <f>IF(OR(ISBLANK('Sample Setup'!C153),ISTEXT(Report!C155)),"",Report!C155/'Sample Setup'!C153)</f>
        <v/>
      </c>
      <c r="J155" s="771"/>
      <c r="K155" s="185">
        <f t="shared" si="4"/>
        <v>1.0999999999999999E-2</v>
      </c>
      <c r="L155" s="185" t="b">
        <f t="shared" si="5"/>
        <v>0</v>
      </c>
      <c r="M155" s="778"/>
      <c r="N155" s="778"/>
      <c r="AA155" s="377"/>
    </row>
    <row r="156" spans="1:27" ht="15.75" customHeight="1" x14ac:dyDescent="0.25">
      <c r="A156" s="35" t="s">
        <v>283</v>
      </c>
      <c r="B156" s="602">
        <v>1</v>
      </c>
      <c r="C156" s="770" t="str">
        <f>IF(ISTEXT(Calculations!AB255),Calculations!AB255,Calculations!AB255*'Sample Setup'!D154)</f>
        <v>Low</v>
      </c>
      <c r="D156" s="770"/>
      <c r="E156" s="738" t="str">
        <f>IF(ISTEXT(Calculations!AB255),"",Calculations!AD255&amp;"/"&amp;Calculations!Y255)</f>
        <v/>
      </c>
      <c r="F156" s="738"/>
      <c r="G156" s="603" t="str">
        <f>IF(OR(ISERROR(Calculations!AC255),ISTEXT(Calculations!AC255)),"",Calculations!AC255*'Sample Setup'!D154)</f>
        <v/>
      </c>
      <c r="H156" s="376"/>
      <c r="I156" s="771" t="str">
        <f>IF(OR(ISBLANK('Sample Setup'!C154),ISTEXT(Report!C156)),"",Report!C156/'Sample Setup'!C154)</f>
        <v/>
      </c>
      <c r="J156" s="771"/>
      <c r="K156" s="185">
        <f t="shared" si="4"/>
        <v>1.2500000000000004E-2</v>
      </c>
      <c r="L156" s="185" t="b">
        <f t="shared" si="5"/>
        <v>0</v>
      </c>
      <c r="M156" s="778"/>
      <c r="N156" s="778"/>
      <c r="AA156" s="377"/>
    </row>
    <row r="157" spans="1:27" ht="15.75" customHeight="1" x14ac:dyDescent="0.25">
      <c r="A157" s="35" t="s">
        <v>284</v>
      </c>
      <c r="B157" s="602">
        <v>1</v>
      </c>
      <c r="C157" s="770" t="str">
        <f>IF(ISTEXT(Calculations!AB256),Calculations!AB256,Calculations!AB256*'Sample Setup'!D155)</f>
        <v>Low</v>
      </c>
      <c r="D157" s="770"/>
      <c r="E157" s="738" t="str">
        <f>IF(ISTEXT(Calculations!AB256),"",Calculations!AD256&amp;"/"&amp;Calculations!Y256)</f>
        <v/>
      </c>
      <c r="F157" s="738"/>
      <c r="G157" s="603" t="str">
        <f>IF(OR(ISERROR(Calculations!AC256),ISTEXT(Calculations!AC256)),"",Calculations!AC256*'Sample Setup'!D155)</f>
        <v/>
      </c>
      <c r="H157" s="376"/>
      <c r="I157" s="771" t="str">
        <f>IF(OR(ISBLANK('Sample Setup'!C155),ISTEXT(Report!C157)),"",Report!C157/'Sample Setup'!C155)</f>
        <v/>
      </c>
      <c r="J157" s="771"/>
      <c r="K157" s="185">
        <f t="shared" si="4"/>
        <v>1.2999999999999998E-2</v>
      </c>
      <c r="L157" s="185" t="b">
        <f t="shared" si="5"/>
        <v>0</v>
      </c>
      <c r="M157" s="778"/>
      <c r="N157" s="778"/>
      <c r="AA157" s="377"/>
    </row>
    <row r="158" spans="1:27" ht="15.75" customHeight="1" x14ac:dyDescent="0.25">
      <c r="A158" s="35" t="s">
        <v>285</v>
      </c>
      <c r="B158" s="602">
        <v>1</v>
      </c>
      <c r="C158" s="770" t="str">
        <f>IF(ISTEXT(Calculations!AB257),Calculations!AB257,Calculations!AB257*'Sample Setup'!D156)</f>
        <v>Low</v>
      </c>
      <c r="D158" s="770"/>
      <c r="E158" s="738" t="str">
        <f>IF(ISTEXT(Calculations!AB257),"",Calculations!AD257&amp;"/"&amp;Calculations!Y257)</f>
        <v/>
      </c>
      <c r="F158" s="738"/>
      <c r="G158" s="603" t="str">
        <f>IF(OR(ISERROR(Calculations!AC257),ISTEXT(Calculations!AC257)),"",Calculations!AC257*'Sample Setup'!D156)</f>
        <v/>
      </c>
      <c r="H158" s="376"/>
      <c r="I158" s="771" t="str">
        <f>IF(OR(ISBLANK('Sample Setup'!C156),ISTEXT(Report!C158)),"",Report!C158/'Sample Setup'!C156)</f>
        <v/>
      </c>
      <c r="J158" s="771"/>
      <c r="K158" s="185">
        <f t="shared" si="4"/>
        <v>1.2499999999999997E-2</v>
      </c>
      <c r="L158" s="185" t="b">
        <f t="shared" si="5"/>
        <v>0</v>
      </c>
      <c r="M158" s="778"/>
      <c r="N158" s="778"/>
      <c r="AA158" s="377"/>
    </row>
    <row r="159" spans="1:27" ht="15.75" customHeight="1" x14ac:dyDescent="0.25">
      <c r="A159" s="35" t="s">
        <v>286</v>
      </c>
      <c r="B159" s="602">
        <v>1</v>
      </c>
      <c r="C159" s="770" t="str">
        <f>IF(ISTEXT(Calculations!AB258),Calculations!AB258,Calculations!AB258*'Sample Setup'!D157)</f>
        <v>Low</v>
      </c>
      <c r="D159" s="770"/>
      <c r="E159" s="738" t="str">
        <f>IF(ISTEXT(Calculations!AB258),"",Calculations!AD258&amp;"/"&amp;Calculations!Y258)</f>
        <v/>
      </c>
      <c r="F159" s="738"/>
      <c r="G159" s="603" t="str">
        <f>IF(OR(ISERROR(Calculations!AC258),ISTEXT(Calculations!AC258)),"",Calculations!AC258*'Sample Setup'!D157)</f>
        <v/>
      </c>
      <c r="H159" s="376"/>
      <c r="I159" s="771" t="str">
        <f>IF(OR(ISBLANK('Sample Setup'!C157),ISTEXT(Report!C159)),"",Report!C159/'Sample Setup'!C157)</f>
        <v/>
      </c>
      <c r="J159" s="771"/>
      <c r="K159" s="185">
        <f t="shared" si="4"/>
        <v>7.9999999999999967E-3</v>
      </c>
      <c r="L159" s="185" t="b">
        <f t="shared" si="5"/>
        <v>0</v>
      </c>
      <c r="M159" s="778"/>
      <c r="N159" s="778"/>
      <c r="AA159" s="377"/>
    </row>
    <row r="160" spans="1:27" ht="15.75" customHeight="1" x14ac:dyDescent="0.25">
      <c r="A160" s="35" t="s">
        <v>287</v>
      </c>
      <c r="B160" s="602">
        <v>1</v>
      </c>
      <c r="C160" s="770" t="str">
        <f>IF(ISTEXT(Calculations!AB259),Calculations!AB259,Calculations!AB259*'Sample Setup'!D158)</f>
        <v>Low</v>
      </c>
      <c r="D160" s="770"/>
      <c r="E160" s="738" t="str">
        <f>IF(ISTEXT(Calculations!AB259),"",Calculations!AD259&amp;"/"&amp;Calculations!Y259)</f>
        <v/>
      </c>
      <c r="F160" s="738"/>
      <c r="G160" s="603" t="str">
        <f>IF(OR(ISERROR(Calculations!AC259),ISTEXT(Calculations!AC259)),"",Calculations!AC259*'Sample Setup'!D158)</f>
        <v/>
      </c>
      <c r="H160" s="376"/>
      <c r="I160" s="771" t="str">
        <f>IF(OR(ISBLANK('Sample Setup'!C158),ISTEXT(Report!C160)),"",Report!C160/'Sample Setup'!C158)</f>
        <v/>
      </c>
      <c r="J160" s="771"/>
      <c r="K160" s="185">
        <f t="shared" si="4"/>
        <v>8.0000000000000036E-3</v>
      </c>
      <c r="L160" s="185" t="b">
        <f t="shared" si="5"/>
        <v>0</v>
      </c>
      <c r="M160" s="778"/>
      <c r="N160" s="778"/>
      <c r="AA160" s="377"/>
    </row>
    <row r="161" spans="1:27" ht="15.75" customHeight="1" x14ac:dyDescent="0.25">
      <c r="A161" s="35" t="s">
        <v>288</v>
      </c>
      <c r="B161" s="602">
        <v>1</v>
      </c>
      <c r="C161" s="770" t="str">
        <f>IF(ISTEXT(Calculations!AB260),Calculations!AB260,Calculations!AB260*'Sample Setup'!D159)</f>
        <v>Low</v>
      </c>
      <c r="D161" s="770"/>
      <c r="E161" s="738" t="str">
        <f>IF(ISTEXT(Calculations!AB260),"",Calculations!AD260&amp;"/"&amp;Calculations!Y260)</f>
        <v/>
      </c>
      <c r="F161" s="738"/>
      <c r="G161" s="603" t="str">
        <f>IF(OR(ISERROR(Calculations!AC260),ISTEXT(Calculations!AC260)),"",Calculations!AC260*'Sample Setup'!D159)</f>
        <v/>
      </c>
      <c r="H161" s="376"/>
      <c r="I161" s="771" t="str">
        <f>IF(OR(ISBLANK('Sample Setup'!C159),ISTEXT(Report!C161)),"",Report!C161/'Sample Setup'!C159)</f>
        <v/>
      </c>
      <c r="J161" s="771"/>
      <c r="K161" s="185">
        <f t="shared" si="4"/>
        <v>9.0000000000000011E-3</v>
      </c>
      <c r="L161" s="185" t="b">
        <f t="shared" si="5"/>
        <v>0</v>
      </c>
      <c r="M161" s="778"/>
      <c r="N161" s="778"/>
      <c r="AA161" s="377"/>
    </row>
    <row r="162" spans="1:27" ht="15.75" customHeight="1" x14ac:dyDescent="0.25">
      <c r="A162" s="35" t="s">
        <v>289</v>
      </c>
      <c r="B162" s="602">
        <v>1</v>
      </c>
      <c r="C162" s="770" t="str">
        <f>IF(ISTEXT(Calculations!AB261),Calculations!AB261,Calculations!AB261*'Sample Setup'!D160)</f>
        <v>Low</v>
      </c>
      <c r="D162" s="770"/>
      <c r="E162" s="738" t="str">
        <f>IF(ISTEXT(Calculations!AB261),"",Calculations!AD261&amp;"/"&amp;Calculations!Y261)</f>
        <v/>
      </c>
      <c r="F162" s="738"/>
      <c r="G162" s="603" t="str">
        <f>IF(OR(ISERROR(Calculations!AC261),ISTEXT(Calculations!AC261)),"",Calculations!AC261*'Sample Setup'!D160)</f>
        <v/>
      </c>
      <c r="H162" s="376"/>
      <c r="I162" s="771" t="str">
        <f>IF(OR(ISBLANK('Sample Setup'!C160),ISTEXT(Report!C162)),"",Report!C162/'Sample Setup'!C160)</f>
        <v/>
      </c>
      <c r="J162" s="771"/>
      <c r="K162" s="185">
        <f t="shared" si="4"/>
        <v>1.0500000000000002E-2</v>
      </c>
      <c r="L162" s="185" t="b">
        <f t="shared" si="5"/>
        <v>0</v>
      </c>
      <c r="M162" s="778"/>
      <c r="N162" s="778"/>
      <c r="AA162" s="377"/>
    </row>
    <row r="163" spans="1:27" ht="15.75" customHeight="1" x14ac:dyDescent="0.25">
      <c r="A163" s="35" t="s">
        <v>290</v>
      </c>
      <c r="B163" s="602">
        <v>1</v>
      </c>
      <c r="C163" s="770" t="str">
        <f>IF(ISTEXT(Calculations!AB262),Calculations!AB262,Calculations!AB262*'Sample Setup'!D161)</f>
        <v>Low</v>
      </c>
      <c r="D163" s="770"/>
      <c r="E163" s="738" t="str">
        <f>IF(ISTEXT(Calculations!AB262),"",Calculations!AD262&amp;"/"&amp;Calculations!Y262)</f>
        <v/>
      </c>
      <c r="F163" s="738"/>
      <c r="G163" s="603" t="str">
        <f>IF(OR(ISERROR(Calculations!AC262),ISTEXT(Calculations!AC262)),"",Calculations!AC262*'Sample Setup'!D161)</f>
        <v/>
      </c>
      <c r="H163" s="376"/>
      <c r="I163" s="771" t="str">
        <f>IF(OR(ISBLANK('Sample Setup'!C161),ISTEXT(Report!C163)),"",Report!C163/'Sample Setup'!C161)</f>
        <v/>
      </c>
      <c r="J163" s="771"/>
      <c r="K163" s="185">
        <f t="shared" si="4"/>
        <v>8.0000000000000036E-3</v>
      </c>
      <c r="L163" s="185" t="b">
        <f t="shared" si="5"/>
        <v>0</v>
      </c>
      <c r="M163" s="778"/>
      <c r="N163" s="778"/>
      <c r="AA163" s="377"/>
    </row>
    <row r="164" spans="1:27" ht="15.75" customHeight="1" x14ac:dyDescent="0.25">
      <c r="A164" s="35" t="s">
        <v>291</v>
      </c>
      <c r="B164" s="602">
        <v>1</v>
      </c>
      <c r="C164" s="770" t="str">
        <f>IF(ISTEXT(Calculations!AB263),Calculations!AB263,Calculations!AB263*'Sample Setup'!D162)</f>
        <v>Low</v>
      </c>
      <c r="D164" s="770"/>
      <c r="E164" s="738" t="str">
        <f>IF(ISTEXT(Calculations!AB263),"",Calculations!AD263&amp;"/"&amp;Calculations!Y263)</f>
        <v/>
      </c>
      <c r="F164" s="738"/>
      <c r="G164" s="603" t="str">
        <f>IF(OR(ISERROR(Calculations!AC263),ISTEXT(Calculations!AC263)),"",Calculations!AC263*'Sample Setup'!D162)</f>
        <v/>
      </c>
      <c r="H164" s="376"/>
      <c r="I164" s="771" t="str">
        <f>IF(OR(ISBLANK('Sample Setup'!C162),ISTEXT(Report!C164)),"",Report!C164/'Sample Setup'!C162)</f>
        <v/>
      </c>
      <c r="J164" s="771"/>
      <c r="K164" s="185">
        <f t="shared" si="4"/>
        <v>9.5000000000000015E-3</v>
      </c>
      <c r="L164" s="185" t="b">
        <f t="shared" si="5"/>
        <v>0</v>
      </c>
      <c r="M164" s="778"/>
      <c r="N164" s="778"/>
      <c r="AA164" s="377"/>
    </row>
    <row r="165" spans="1:27" ht="15.75" customHeight="1" x14ac:dyDescent="0.25">
      <c r="A165" s="35" t="s">
        <v>292</v>
      </c>
      <c r="B165" s="602">
        <v>1</v>
      </c>
      <c r="C165" s="770" t="str">
        <f>IF(ISTEXT(Calculations!AB264),Calculations!AB264,Calculations!AB264*'Sample Setup'!D163)</f>
        <v>Low</v>
      </c>
      <c r="D165" s="770"/>
      <c r="E165" s="738" t="str">
        <f>IF(ISTEXT(Calculations!AB264),"",Calculations!AD264&amp;"/"&amp;Calculations!Y264)</f>
        <v/>
      </c>
      <c r="F165" s="738"/>
      <c r="G165" s="603" t="str">
        <f>IF(OR(ISERROR(Calculations!AC264),ISTEXT(Calculations!AC264)),"",Calculations!AC264*'Sample Setup'!D163)</f>
        <v/>
      </c>
      <c r="H165" s="376"/>
      <c r="I165" s="771" t="str">
        <f>IF(OR(ISBLANK('Sample Setup'!C163),ISTEXT(Report!C165)),"",Report!C165/'Sample Setup'!C163)</f>
        <v/>
      </c>
      <c r="J165" s="771"/>
      <c r="K165" s="185">
        <f t="shared" si="4"/>
        <v>1.15E-2</v>
      </c>
      <c r="L165" s="185" t="b">
        <f t="shared" si="5"/>
        <v>0</v>
      </c>
      <c r="M165" s="778"/>
      <c r="N165" s="778"/>
      <c r="AA165" s="377"/>
    </row>
    <row r="166" spans="1:27" ht="15.75" customHeight="1" x14ac:dyDescent="0.25">
      <c r="A166" s="35" t="s">
        <v>293</v>
      </c>
      <c r="B166" s="602">
        <v>1</v>
      </c>
      <c r="C166" s="770">
        <f>IF(ISTEXT(Calculations!AB265),Calculations!AB265,Calculations!AB265*'Sample Setup'!D164)</f>
        <v>2.6196405224279276</v>
      </c>
      <c r="D166" s="770"/>
      <c r="E166" s="738" t="str">
        <f>IF(ISTEXT(Calculations!AB265),"",Calculations!AD265&amp;"/"&amp;Calculations!Y265)</f>
        <v>1/2</v>
      </c>
      <c r="F166" s="738"/>
      <c r="G166" s="603" t="str">
        <f>IF(OR(ISERROR(Calculations!AC265),ISTEXT(Calculations!AC265)),"",Calculations!AC265*'Sample Setup'!D164)</f>
        <v/>
      </c>
      <c r="H166" s="376"/>
      <c r="I166" s="771" t="str">
        <f>IF(OR(ISBLANK('Sample Setup'!C164),ISTEXT(Report!C166)),"",Report!C166/'Sample Setup'!C164)</f>
        <v/>
      </c>
      <c r="J166" s="771"/>
      <c r="K166" s="185">
        <f t="shared" si="4"/>
        <v>2.1500000000000002E-2</v>
      </c>
      <c r="L166" s="185">
        <f t="shared" si="5"/>
        <v>2.6196405224279276</v>
      </c>
      <c r="M166" s="778"/>
      <c r="N166" s="778"/>
      <c r="AA166" s="377"/>
    </row>
    <row r="167" spans="1:27" ht="15.75" customHeight="1" x14ac:dyDescent="0.25">
      <c r="A167" s="35" t="s">
        <v>294</v>
      </c>
      <c r="B167" s="602">
        <v>1</v>
      </c>
      <c r="C167" s="770" t="str">
        <f>IF(ISTEXT(Calculations!AB266),Calculations!AB266,Calculations!AB266*'Sample Setup'!D165)</f>
        <v>Low</v>
      </c>
      <c r="D167" s="770"/>
      <c r="E167" s="738" t="str">
        <f>IF(ISTEXT(Calculations!AB266),"",Calculations!AD266&amp;"/"&amp;Calculations!Y266)</f>
        <v/>
      </c>
      <c r="F167" s="738"/>
      <c r="G167" s="603" t="str">
        <f>IF(OR(ISERROR(Calculations!AC266),ISTEXT(Calculations!AC266)),"",Calculations!AC266*'Sample Setup'!D165)</f>
        <v/>
      </c>
      <c r="H167" s="376"/>
      <c r="I167" s="771" t="str">
        <f>IF(OR(ISBLANK('Sample Setup'!C165),ISTEXT(Report!C167)),"",Report!C167/'Sample Setup'!C165)</f>
        <v/>
      </c>
      <c r="J167" s="771"/>
      <c r="K167" s="185">
        <f t="shared" si="4"/>
        <v>8.5000000000000006E-3</v>
      </c>
      <c r="L167" s="185" t="b">
        <f t="shared" si="5"/>
        <v>0</v>
      </c>
      <c r="M167" s="778"/>
      <c r="N167" s="778"/>
      <c r="AA167" s="377"/>
    </row>
    <row r="168" spans="1:27" ht="15.75" customHeight="1" x14ac:dyDescent="0.25">
      <c r="A168" s="35" t="s">
        <v>295</v>
      </c>
      <c r="B168" s="602">
        <v>1</v>
      </c>
      <c r="C168" s="770" t="str">
        <f>IF(ISTEXT(Calculations!AB267),Calculations!AB267,Calculations!AB267*'Sample Setup'!D166)</f>
        <v>Low</v>
      </c>
      <c r="D168" s="770"/>
      <c r="E168" s="738" t="str">
        <f>IF(ISTEXT(Calculations!AB267),"",Calculations!AD267&amp;"/"&amp;Calculations!Y267)</f>
        <v/>
      </c>
      <c r="F168" s="738"/>
      <c r="G168" s="603" t="str">
        <f>IF(OR(ISERROR(Calculations!AC267),ISTEXT(Calculations!AC267)),"",Calculations!AC267*'Sample Setup'!D166)</f>
        <v/>
      </c>
      <c r="H168" s="376"/>
      <c r="I168" s="771" t="str">
        <f>IF(OR(ISBLANK('Sample Setup'!C166),ISTEXT(Report!C168)),"",Report!C168/'Sample Setup'!C166)</f>
        <v/>
      </c>
      <c r="J168" s="771"/>
      <c r="K168" s="185">
        <f t="shared" si="4"/>
        <v>9.0000000000000011E-3</v>
      </c>
      <c r="L168" s="185" t="b">
        <f t="shared" si="5"/>
        <v>0</v>
      </c>
      <c r="M168" s="778"/>
      <c r="N168" s="778"/>
      <c r="AA168" s="377"/>
    </row>
    <row r="169" spans="1:27" ht="15.75" customHeight="1" x14ac:dyDescent="0.25">
      <c r="A169" s="35" t="s">
        <v>296</v>
      </c>
      <c r="B169" s="602">
        <v>1</v>
      </c>
      <c r="C169" s="770" t="str">
        <f>IF(ISTEXT(Calculations!AB268),Calculations!AB268,Calculations!AB268*'Sample Setup'!D167)</f>
        <v>Low</v>
      </c>
      <c r="D169" s="770"/>
      <c r="E169" s="738" t="str">
        <f>IF(ISTEXT(Calculations!AB268),"",Calculations!AD268&amp;"/"&amp;Calculations!Y268)</f>
        <v/>
      </c>
      <c r="F169" s="738"/>
      <c r="G169" s="603" t="str">
        <f>IF(OR(ISERROR(Calculations!AC268),ISTEXT(Calculations!AC268)),"",Calculations!AC268*'Sample Setup'!D167)</f>
        <v/>
      </c>
      <c r="H169" s="376"/>
      <c r="I169" s="771" t="str">
        <f>IF(OR(ISBLANK('Sample Setup'!C167),ISTEXT(Report!C169)),"",Report!C169/'Sample Setup'!C167)</f>
        <v/>
      </c>
      <c r="J169" s="771"/>
      <c r="K169" s="185">
        <f t="shared" si="4"/>
        <v>8.5000000000000006E-3</v>
      </c>
      <c r="L169" s="185" t="b">
        <f t="shared" si="5"/>
        <v>0</v>
      </c>
      <c r="M169" s="778"/>
      <c r="N169" s="778"/>
      <c r="AA169" s="377"/>
    </row>
    <row r="170" spans="1:27" ht="15.75" customHeight="1" x14ac:dyDescent="0.25">
      <c r="A170" s="35" t="s">
        <v>297</v>
      </c>
      <c r="B170" s="602">
        <v>1</v>
      </c>
      <c r="C170" s="770" t="str">
        <f>IF(ISTEXT(Calculations!AB269),Calculations!AB269,Calculations!AB269*'Sample Setup'!D168)</f>
        <v>Low</v>
      </c>
      <c r="D170" s="770"/>
      <c r="E170" s="738" t="str">
        <f>IF(ISTEXT(Calculations!AB269),"",Calculations!AD269&amp;"/"&amp;Calculations!Y269)</f>
        <v/>
      </c>
      <c r="F170" s="738"/>
      <c r="G170" s="603" t="str">
        <f>IF(OR(ISERROR(Calculations!AC269),ISTEXT(Calculations!AC269)),"",Calculations!AC269*'Sample Setup'!D168)</f>
        <v/>
      </c>
      <c r="H170" s="376"/>
      <c r="I170" s="771" t="str">
        <f>IF(OR(ISBLANK('Sample Setup'!C168),ISTEXT(Report!C170)),"",Report!C170/'Sample Setup'!C168)</f>
        <v/>
      </c>
      <c r="J170" s="771"/>
      <c r="K170" s="185">
        <f t="shared" ref="K170:K233" si="6">AVERAGEIFS($B$15:$AW$22,$B$3:$AW$10,$A170)</f>
        <v>9.5000000000000015E-3</v>
      </c>
      <c r="L170" s="185" t="b">
        <f t="shared" ref="L170:L233" si="7">IF(ISNUMBER(C170),C170)</f>
        <v>0</v>
      </c>
      <c r="M170" s="778"/>
      <c r="N170" s="778"/>
      <c r="AA170" s="377"/>
    </row>
    <row r="171" spans="1:27" ht="15.75" customHeight="1" x14ac:dyDescent="0.25">
      <c r="A171" s="35" t="s">
        <v>298</v>
      </c>
      <c r="B171" s="602">
        <v>1</v>
      </c>
      <c r="C171" s="770" t="str">
        <f>IF(ISTEXT(Calculations!AB270),Calculations!AB270,Calculations!AB270*'Sample Setup'!D169)</f>
        <v>Low</v>
      </c>
      <c r="D171" s="770"/>
      <c r="E171" s="738" t="str">
        <f>IF(ISTEXT(Calculations!AB270),"",Calculations!AD270&amp;"/"&amp;Calculations!Y270)</f>
        <v/>
      </c>
      <c r="F171" s="738"/>
      <c r="G171" s="603" t="str">
        <f>IF(OR(ISERROR(Calculations!AC270),ISTEXT(Calculations!AC270)),"",Calculations!AC270*'Sample Setup'!D169)</f>
        <v/>
      </c>
      <c r="H171" s="376"/>
      <c r="I171" s="771" t="str">
        <f>IF(OR(ISBLANK('Sample Setup'!C169),ISTEXT(Report!C171)),"",Report!C171/'Sample Setup'!C169)</f>
        <v/>
      </c>
      <c r="J171" s="771"/>
      <c r="K171" s="185">
        <f t="shared" si="6"/>
        <v>9.9999999999999985E-3</v>
      </c>
      <c r="L171" s="185" t="b">
        <f t="shared" si="7"/>
        <v>0</v>
      </c>
      <c r="M171" s="778"/>
      <c r="N171" s="778"/>
      <c r="AA171" s="377"/>
    </row>
    <row r="172" spans="1:27" ht="15.75" customHeight="1" x14ac:dyDescent="0.25">
      <c r="A172" s="35" t="s">
        <v>299</v>
      </c>
      <c r="B172" s="602">
        <v>1</v>
      </c>
      <c r="C172" s="770" t="str">
        <f>IF(ISTEXT(Calculations!AB271),Calculations!AB271,Calculations!AB271*'Sample Setup'!D170)</f>
        <v>Low</v>
      </c>
      <c r="D172" s="770"/>
      <c r="E172" s="738" t="str">
        <f>IF(ISTEXT(Calculations!AB271),"",Calculations!AD271&amp;"/"&amp;Calculations!Y271)</f>
        <v/>
      </c>
      <c r="F172" s="738"/>
      <c r="G172" s="603" t="str">
        <f>IF(OR(ISERROR(Calculations!AC271),ISTEXT(Calculations!AC271)),"",Calculations!AC271*'Sample Setup'!D170)</f>
        <v/>
      </c>
      <c r="H172" s="376"/>
      <c r="I172" s="771" t="str">
        <f>IF(OR(ISBLANK('Sample Setup'!C170),ISTEXT(Report!C172)),"",Report!C172/'Sample Setup'!C170)</f>
        <v/>
      </c>
      <c r="J172" s="771"/>
      <c r="K172" s="185">
        <f t="shared" si="6"/>
        <v>1.1500000000000003E-2</v>
      </c>
      <c r="L172" s="185" t="b">
        <f t="shared" si="7"/>
        <v>0</v>
      </c>
      <c r="M172" s="778"/>
      <c r="N172" s="778"/>
      <c r="AA172" s="377"/>
    </row>
    <row r="173" spans="1:27" ht="15.75" customHeight="1" x14ac:dyDescent="0.25">
      <c r="A173" s="35" t="s">
        <v>300</v>
      </c>
      <c r="B173" s="602">
        <v>1</v>
      </c>
      <c r="C173" s="770" t="str">
        <f>IF(ISTEXT(Calculations!AB272),Calculations!AB272,Calculations!AB272*'Sample Setup'!D171)</f>
        <v>Low</v>
      </c>
      <c r="D173" s="770"/>
      <c r="E173" s="738" t="str">
        <f>IF(ISTEXT(Calculations!AB272),"",Calculations!AD272&amp;"/"&amp;Calculations!Y272)</f>
        <v/>
      </c>
      <c r="F173" s="738"/>
      <c r="G173" s="603" t="str">
        <f>IF(OR(ISERROR(Calculations!AC272),ISTEXT(Calculations!AC272)),"",Calculations!AC272*'Sample Setup'!D171)</f>
        <v/>
      </c>
      <c r="H173" s="376"/>
      <c r="I173" s="771" t="str">
        <f>IF(OR(ISBLANK('Sample Setup'!C171),ISTEXT(Report!C173)),"",Report!C173/'Sample Setup'!C171)</f>
        <v/>
      </c>
      <c r="J173" s="771"/>
      <c r="K173" s="185">
        <f t="shared" si="6"/>
        <v>1.1000000000000003E-2</v>
      </c>
      <c r="L173" s="185" t="b">
        <f t="shared" si="7"/>
        <v>0</v>
      </c>
      <c r="M173" s="778"/>
      <c r="N173" s="778"/>
      <c r="AA173" s="377"/>
    </row>
    <row r="174" spans="1:27" ht="15.75" customHeight="1" x14ac:dyDescent="0.25">
      <c r="A174" s="35" t="s">
        <v>301</v>
      </c>
      <c r="B174" s="602">
        <v>1</v>
      </c>
      <c r="C174" s="770" t="str">
        <f>IF(ISTEXT(Calculations!AB273),Calculations!AB273,Calculations!AB273*'Sample Setup'!D172)</f>
        <v>Low</v>
      </c>
      <c r="D174" s="770"/>
      <c r="E174" s="738" t="str">
        <f>IF(ISTEXT(Calculations!AB273),"",Calculations!AD273&amp;"/"&amp;Calculations!Y273)</f>
        <v/>
      </c>
      <c r="F174" s="738"/>
      <c r="G174" s="603" t="str">
        <f>IF(OR(ISERROR(Calculations!AC273),ISTEXT(Calculations!AC273)),"",Calculations!AC273*'Sample Setup'!D172)</f>
        <v/>
      </c>
      <c r="H174" s="376"/>
      <c r="I174" s="771" t="str">
        <f>IF(OR(ISBLANK('Sample Setup'!C172),ISTEXT(Report!C174)),"",Report!C174/'Sample Setup'!C172)</f>
        <v/>
      </c>
      <c r="J174" s="771"/>
      <c r="K174" s="185">
        <f t="shared" si="6"/>
        <v>1.3500000000000009E-2</v>
      </c>
      <c r="L174" s="185" t="b">
        <f t="shared" si="7"/>
        <v>0</v>
      </c>
      <c r="M174" s="778"/>
      <c r="N174" s="778"/>
      <c r="AA174" s="377"/>
    </row>
    <row r="175" spans="1:27" ht="15.75" customHeight="1" x14ac:dyDescent="0.25">
      <c r="A175" s="35" t="s">
        <v>302</v>
      </c>
      <c r="B175" s="602">
        <v>1</v>
      </c>
      <c r="C175" s="770" t="str">
        <f>IF(ISTEXT(Calculations!AB274),Calculations!AB274,Calculations!AB274*'Sample Setup'!D173)</f>
        <v>Low</v>
      </c>
      <c r="D175" s="770"/>
      <c r="E175" s="738" t="str">
        <f>IF(ISTEXT(Calculations!AB274),"",Calculations!AD274&amp;"/"&amp;Calculations!Y274)</f>
        <v/>
      </c>
      <c r="F175" s="738"/>
      <c r="G175" s="603" t="str">
        <f>IF(OR(ISERROR(Calculations!AC274),ISTEXT(Calculations!AC274)),"",Calculations!AC274*'Sample Setup'!D173)</f>
        <v/>
      </c>
      <c r="H175" s="376"/>
      <c r="I175" s="771" t="str">
        <f>IF(OR(ISBLANK('Sample Setup'!C173),ISTEXT(Report!C175)),"",Report!C175/'Sample Setup'!C173)</f>
        <v/>
      </c>
      <c r="J175" s="771"/>
      <c r="K175" s="185">
        <f t="shared" si="6"/>
        <v>9.9999999999999985E-3</v>
      </c>
      <c r="L175" s="185" t="b">
        <f t="shared" si="7"/>
        <v>0</v>
      </c>
      <c r="M175" s="778"/>
      <c r="N175" s="778"/>
      <c r="AA175" s="377"/>
    </row>
    <row r="176" spans="1:27" ht="15.75" customHeight="1" x14ac:dyDescent="0.25">
      <c r="A176" s="35" t="s">
        <v>303</v>
      </c>
      <c r="B176" s="602">
        <v>1</v>
      </c>
      <c r="C176" s="770" t="str">
        <f>IF(ISTEXT(Calculations!AB275),Calculations!AB275,Calculations!AB275*'Sample Setup'!D174)</f>
        <v>Low</v>
      </c>
      <c r="D176" s="770"/>
      <c r="E176" s="738" t="str">
        <f>IF(ISTEXT(Calculations!AB275),"",Calculations!AD275&amp;"/"&amp;Calculations!Y275)</f>
        <v/>
      </c>
      <c r="F176" s="738"/>
      <c r="G176" s="603" t="str">
        <f>IF(OR(ISERROR(Calculations!AC275),ISTEXT(Calculations!AC275)),"",Calculations!AC275*'Sample Setup'!D174)</f>
        <v/>
      </c>
      <c r="H176" s="376"/>
      <c r="I176" s="771" t="str">
        <f>IF(OR(ISBLANK('Sample Setup'!C174),ISTEXT(Report!C176)),"",Report!C176/'Sample Setup'!C174)</f>
        <v/>
      </c>
      <c r="J176" s="771"/>
      <c r="K176" s="185">
        <f t="shared" si="6"/>
        <v>8.9999999999999976E-3</v>
      </c>
      <c r="L176" s="185" t="b">
        <f t="shared" si="7"/>
        <v>0</v>
      </c>
      <c r="M176" s="778"/>
      <c r="N176" s="778"/>
      <c r="AA176" s="377"/>
    </row>
    <row r="177" spans="1:27" ht="15.75" customHeight="1" x14ac:dyDescent="0.25">
      <c r="A177" s="35" t="s">
        <v>304</v>
      </c>
      <c r="B177" s="602">
        <v>1</v>
      </c>
      <c r="C177" s="770" t="str">
        <f>IF(ISTEXT(Calculations!AB276),Calculations!AB276,Calculations!AB276*'Sample Setup'!D175)</f>
        <v>Low</v>
      </c>
      <c r="D177" s="770"/>
      <c r="E177" s="738" t="str">
        <f>IF(ISTEXT(Calculations!AB276),"",Calculations!AD276&amp;"/"&amp;Calculations!Y276)</f>
        <v/>
      </c>
      <c r="F177" s="738"/>
      <c r="G177" s="603" t="str">
        <f>IF(OR(ISERROR(Calculations!AC276),ISTEXT(Calculations!AC276)),"",Calculations!AC276*'Sample Setup'!D175)</f>
        <v/>
      </c>
      <c r="H177" s="376"/>
      <c r="I177" s="771" t="str">
        <f>IF(OR(ISBLANK('Sample Setup'!C175),ISTEXT(Report!C177)),"",Report!C177/'Sample Setup'!C175)</f>
        <v/>
      </c>
      <c r="J177" s="771"/>
      <c r="K177" s="185">
        <f t="shared" si="6"/>
        <v>6.9999999999999993E-3</v>
      </c>
      <c r="L177" s="185" t="b">
        <f t="shared" si="7"/>
        <v>0</v>
      </c>
      <c r="M177" s="778"/>
      <c r="N177" s="778"/>
      <c r="AA177" s="377"/>
    </row>
    <row r="178" spans="1:27" ht="15.75" customHeight="1" x14ac:dyDescent="0.25">
      <c r="A178" s="35" t="s">
        <v>305</v>
      </c>
      <c r="B178" s="602">
        <v>1</v>
      </c>
      <c r="C178" s="770" t="str">
        <f>IF(ISTEXT(Calculations!AB277),Calculations!AB277,Calculations!AB277*'Sample Setup'!D176)</f>
        <v>Low</v>
      </c>
      <c r="D178" s="770"/>
      <c r="E178" s="738" t="str">
        <f>IF(ISTEXT(Calculations!AB277),"",Calculations!AD277&amp;"/"&amp;Calculations!Y277)</f>
        <v/>
      </c>
      <c r="F178" s="738"/>
      <c r="G178" s="603" t="str">
        <f>IF(OR(ISERROR(Calculations!AC277),ISTEXT(Calculations!AC277)),"",Calculations!AC277*'Sample Setup'!D176)</f>
        <v/>
      </c>
      <c r="H178" s="376"/>
      <c r="I178" s="771" t="str">
        <f>IF(OR(ISBLANK('Sample Setup'!C176),ISTEXT(Report!C178)),"",Report!C178/'Sample Setup'!C176)</f>
        <v/>
      </c>
      <c r="J178" s="771"/>
      <c r="K178" s="185">
        <f t="shared" si="6"/>
        <v>1.1000000000000006E-2</v>
      </c>
      <c r="L178" s="185" t="b">
        <f t="shared" si="7"/>
        <v>0</v>
      </c>
      <c r="M178" s="778"/>
      <c r="N178" s="778"/>
      <c r="AA178" s="377"/>
    </row>
    <row r="179" spans="1:27" ht="15.75" customHeight="1" x14ac:dyDescent="0.25">
      <c r="A179" s="35" t="s">
        <v>306</v>
      </c>
      <c r="B179" s="602">
        <v>1</v>
      </c>
      <c r="C179" s="770" t="str">
        <f>IF(ISTEXT(Calculations!AB278),Calculations!AB278,Calculations!AB278*'Sample Setup'!D177)</f>
        <v>Low</v>
      </c>
      <c r="D179" s="770"/>
      <c r="E179" s="738" t="str">
        <f>IF(ISTEXT(Calculations!AB278),"",Calculations!AD278&amp;"/"&amp;Calculations!Y278)</f>
        <v/>
      </c>
      <c r="F179" s="738"/>
      <c r="G179" s="603" t="str">
        <f>IF(OR(ISERROR(Calculations!AC278),ISTEXT(Calculations!AC278)),"",Calculations!AC278*'Sample Setup'!D177)</f>
        <v/>
      </c>
      <c r="H179" s="376"/>
      <c r="I179" s="771" t="str">
        <f>IF(OR(ISBLANK('Sample Setup'!C177),ISTEXT(Report!C179)),"",Report!C179/'Sample Setup'!C177)</f>
        <v/>
      </c>
      <c r="J179" s="771"/>
      <c r="K179" s="185">
        <f t="shared" si="6"/>
        <v>6.9999999999999993E-3</v>
      </c>
      <c r="L179" s="185" t="b">
        <f t="shared" si="7"/>
        <v>0</v>
      </c>
      <c r="M179" s="778"/>
      <c r="N179" s="778"/>
      <c r="AA179" s="377"/>
    </row>
    <row r="180" spans="1:27" ht="15.75" customHeight="1" x14ac:dyDescent="0.25">
      <c r="A180" s="35" t="s">
        <v>307</v>
      </c>
      <c r="B180" s="602">
        <v>1</v>
      </c>
      <c r="C180" s="770" t="str">
        <f>IF(ISTEXT(Calculations!AB279),Calculations!AB279,Calculations!AB279*'Sample Setup'!D178)</f>
        <v>Low</v>
      </c>
      <c r="D180" s="770"/>
      <c r="E180" s="738" t="str">
        <f>IF(ISTEXT(Calculations!AB279),"",Calculations!AD279&amp;"/"&amp;Calculations!Y279)</f>
        <v/>
      </c>
      <c r="F180" s="738"/>
      <c r="G180" s="603" t="str">
        <f>IF(OR(ISERROR(Calculations!AC279),ISTEXT(Calculations!AC279)),"",Calculations!AC279*'Sample Setup'!D178)</f>
        <v/>
      </c>
      <c r="H180" s="376"/>
      <c r="I180" s="771" t="str">
        <f>IF(OR(ISBLANK('Sample Setup'!C178),ISTEXT(Report!C180)),"",Report!C180/'Sample Setup'!C178)</f>
        <v/>
      </c>
      <c r="J180" s="771"/>
      <c r="K180" s="185">
        <f t="shared" si="6"/>
        <v>6.9999999999999993E-3</v>
      </c>
      <c r="L180" s="185" t="b">
        <f t="shared" si="7"/>
        <v>0</v>
      </c>
      <c r="M180" s="778"/>
      <c r="N180" s="778"/>
      <c r="AA180" s="377"/>
    </row>
    <row r="181" spans="1:27" ht="15.75" customHeight="1" x14ac:dyDescent="0.25">
      <c r="A181" s="35" t="s">
        <v>308</v>
      </c>
      <c r="B181" s="602">
        <v>1</v>
      </c>
      <c r="C181" s="770" t="str">
        <f>IF(ISTEXT(Calculations!AB280),Calculations!AB280,Calculations!AB280*'Sample Setup'!D179)</f>
        <v>Low</v>
      </c>
      <c r="D181" s="770"/>
      <c r="E181" s="738" t="str">
        <f>IF(ISTEXT(Calculations!AB280),"",Calculations!AD280&amp;"/"&amp;Calculations!Y280)</f>
        <v/>
      </c>
      <c r="F181" s="738"/>
      <c r="G181" s="603" t="str">
        <f>IF(OR(ISERROR(Calculations!AC280),ISTEXT(Calculations!AC280)),"",Calculations!AC280*'Sample Setup'!D179)</f>
        <v/>
      </c>
      <c r="H181" s="376"/>
      <c r="I181" s="771" t="str">
        <f>IF(OR(ISBLANK('Sample Setup'!C179),ISTEXT(Report!C181)),"",Report!C181/'Sample Setup'!C179)</f>
        <v/>
      </c>
      <c r="J181" s="771"/>
      <c r="K181" s="185">
        <f t="shared" si="6"/>
        <v>8.5000000000000006E-3</v>
      </c>
      <c r="L181" s="185" t="b">
        <f t="shared" si="7"/>
        <v>0</v>
      </c>
      <c r="M181" s="778"/>
      <c r="N181" s="778"/>
      <c r="AA181" s="377"/>
    </row>
    <row r="182" spans="1:27" ht="15.75" customHeight="1" x14ac:dyDescent="0.25">
      <c r="A182" s="35" t="s">
        <v>309</v>
      </c>
      <c r="B182" s="602">
        <v>1</v>
      </c>
      <c r="C182" s="770" t="str">
        <f>IF(ISTEXT(Calculations!AB281),Calculations!AB281,Calculations!AB281*'Sample Setup'!D180)</f>
        <v>Low</v>
      </c>
      <c r="D182" s="770"/>
      <c r="E182" s="738" t="str">
        <f>IF(ISTEXT(Calculations!AB281),"",Calculations!AD281&amp;"/"&amp;Calculations!Y281)</f>
        <v/>
      </c>
      <c r="F182" s="738"/>
      <c r="G182" s="603" t="str">
        <f>IF(OR(ISERROR(Calculations!AC281),ISTEXT(Calculations!AC281)),"",Calculations!AC281*'Sample Setup'!D180)</f>
        <v/>
      </c>
      <c r="H182" s="376"/>
      <c r="I182" s="771" t="str">
        <f>IF(OR(ISBLANK('Sample Setup'!C180),ISTEXT(Report!C182)),"",Report!C182/'Sample Setup'!C180)</f>
        <v/>
      </c>
      <c r="J182" s="771"/>
      <c r="K182" s="185">
        <f t="shared" si="6"/>
        <v>1.1000000000000003E-2</v>
      </c>
      <c r="L182" s="185" t="b">
        <f t="shared" si="7"/>
        <v>0</v>
      </c>
      <c r="M182" s="778"/>
      <c r="N182" s="778"/>
      <c r="AA182" s="377"/>
    </row>
    <row r="183" spans="1:27" ht="15.75" customHeight="1" x14ac:dyDescent="0.25">
      <c r="A183" s="35" t="s">
        <v>310</v>
      </c>
      <c r="B183" s="602">
        <v>1</v>
      </c>
      <c r="C183" s="770" t="str">
        <f>IF(ISTEXT(Calculations!AB282),Calculations!AB282,Calculations!AB282*'Sample Setup'!D181)</f>
        <v>Low</v>
      </c>
      <c r="D183" s="770"/>
      <c r="E183" s="738" t="str">
        <f>IF(ISTEXT(Calculations!AB282),"",Calculations!AD282&amp;"/"&amp;Calculations!Y282)</f>
        <v/>
      </c>
      <c r="F183" s="738"/>
      <c r="G183" s="603" t="str">
        <f>IF(OR(ISERROR(Calculations!AC282),ISTEXT(Calculations!AC282)),"",Calculations!AC282*'Sample Setup'!D181)</f>
        <v/>
      </c>
      <c r="H183" s="376"/>
      <c r="I183" s="771" t="str">
        <f>IF(OR(ISBLANK('Sample Setup'!C181),ISTEXT(Report!C183)),"",Report!C183/'Sample Setup'!C181)</f>
        <v/>
      </c>
      <c r="J183" s="771"/>
      <c r="K183" s="185">
        <f t="shared" si="6"/>
        <v>8.9999999999999976E-3</v>
      </c>
      <c r="L183" s="185" t="b">
        <f t="shared" si="7"/>
        <v>0</v>
      </c>
      <c r="M183" s="778"/>
      <c r="N183" s="778"/>
      <c r="AA183" s="377"/>
    </row>
    <row r="184" spans="1:27" ht="15.75" customHeight="1" x14ac:dyDescent="0.25">
      <c r="A184" s="35" t="s">
        <v>311</v>
      </c>
      <c r="B184" s="602">
        <v>1</v>
      </c>
      <c r="C184" s="770" t="str">
        <f>IF(ISTEXT(Calculations!AB283),Calculations!AB283,Calculations!AB283*'Sample Setup'!D182)</f>
        <v>Low</v>
      </c>
      <c r="D184" s="770"/>
      <c r="E184" s="738" t="str">
        <f>IF(ISTEXT(Calculations!AB283),"",Calculations!AD283&amp;"/"&amp;Calculations!Y283)</f>
        <v/>
      </c>
      <c r="F184" s="738"/>
      <c r="G184" s="603" t="str">
        <f>IF(OR(ISERROR(Calculations!AC283),ISTEXT(Calculations!AC283)),"",Calculations!AC283*'Sample Setup'!D182)</f>
        <v/>
      </c>
      <c r="H184" s="376"/>
      <c r="I184" s="771" t="str">
        <f>IF(OR(ISBLANK('Sample Setup'!C182),ISTEXT(Report!C184)),"",Report!C184/'Sample Setup'!C182)</f>
        <v/>
      </c>
      <c r="J184" s="771"/>
      <c r="K184" s="185">
        <f t="shared" si="6"/>
        <v>9.0000000000000011E-3</v>
      </c>
      <c r="L184" s="185" t="b">
        <f t="shared" si="7"/>
        <v>0</v>
      </c>
      <c r="M184" s="778"/>
      <c r="N184" s="778"/>
      <c r="AA184" s="377"/>
    </row>
    <row r="185" spans="1:27" ht="15.75" customHeight="1" x14ac:dyDescent="0.25">
      <c r="A185" s="35" t="s">
        <v>312</v>
      </c>
      <c r="B185" s="602">
        <v>1</v>
      </c>
      <c r="C185" s="770" t="str">
        <f>IF(ISTEXT(Calculations!AB284),Calculations!AB284,Calculations!AB284*'Sample Setup'!D183)</f>
        <v>Low</v>
      </c>
      <c r="D185" s="770"/>
      <c r="E185" s="738" t="str">
        <f>IF(ISTEXT(Calculations!AB284),"",Calculations!AD284&amp;"/"&amp;Calculations!Y284)</f>
        <v/>
      </c>
      <c r="F185" s="738"/>
      <c r="G185" s="603" t="str">
        <f>IF(OR(ISERROR(Calculations!AC284),ISTEXT(Calculations!AC284)),"",Calculations!AC284*'Sample Setup'!D183)</f>
        <v/>
      </c>
      <c r="H185" s="376"/>
      <c r="I185" s="771" t="str">
        <f>IF(OR(ISBLANK('Sample Setup'!C183),ISTEXT(Report!C185)),"",Report!C185/'Sample Setup'!C183)</f>
        <v/>
      </c>
      <c r="J185" s="771"/>
      <c r="K185" s="185">
        <f t="shared" si="6"/>
        <v>7.4999999999999997E-3</v>
      </c>
      <c r="L185" s="185" t="b">
        <f t="shared" si="7"/>
        <v>0</v>
      </c>
      <c r="M185" s="778"/>
      <c r="N185" s="778"/>
      <c r="AA185" s="377"/>
    </row>
    <row r="186" spans="1:27" ht="15.75" customHeight="1" x14ac:dyDescent="0.25">
      <c r="A186" s="35" t="s">
        <v>313</v>
      </c>
      <c r="B186" s="602">
        <v>1</v>
      </c>
      <c r="C186" s="770" t="str">
        <f>IF(ISTEXT(Calculations!AB285),Calculations!AB285,Calculations!AB285*'Sample Setup'!D184)</f>
        <v>Low</v>
      </c>
      <c r="D186" s="770"/>
      <c r="E186" s="738" t="str">
        <f>IF(ISTEXT(Calculations!AB285),"",Calculations!AD285&amp;"/"&amp;Calculations!Y285)</f>
        <v/>
      </c>
      <c r="F186" s="738"/>
      <c r="G186" s="603" t="str">
        <f>IF(OR(ISERROR(Calculations!AC285),ISTEXT(Calculations!AC285)),"",Calculations!AC285*'Sample Setup'!D184)</f>
        <v/>
      </c>
      <c r="H186" s="376"/>
      <c r="I186" s="771" t="str">
        <f>IF(OR(ISBLANK('Sample Setup'!C184),ISTEXT(Report!C186)),"",Report!C186/'Sample Setup'!C184)</f>
        <v/>
      </c>
      <c r="J186" s="771"/>
      <c r="K186" s="185">
        <f t="shared" si="6"/>
        <v>7.4999999999999997E-3</v>
      </c>
      <c r="L186" s="185" t="b">
        <f t="shared" si="7"/>
        <v>0</v>
      </c>
      <c r="M186" s="778"/>
      <c r="N186" s="778"/>
      <c r="AA186" s="377"/>
    </row>
    <row r="187" spans="1:27" ht="15.75" customHeight="1" x14ac:dyDescent="0.25">
      <c r="A187" s="35" t="s">
        <v>314</v>
      </c>
      <c r="B187" s="602">
        <v>1</v>
      </c>
      <c r="C187" s="770" t="str">
        <f>IF(ISTEXT(Calculations!AB286),Calculations!AB286,Calculations!AB286*'Sample Setup'!D185)</f>
        <v>Low</v>
      </c>
      <c r="D187" s="770"/>
      <c r="E187" s="738" t="str">
        <f>IF(ISTEXT(Calculations!AB286),"",Calculations!AD286&amp;"/"&amp;Calculations!Y286)</f>
        <v/>
      </c>
      <c r="F187" s="738"/>
      <c r="G187" s="603" t="str">
        <f>IF(OR(ISERROR(Calculations!AC286),ISTEXT(Calculations!AC286)),"",Calculations!AC286*'Sample Setup'!D185)</f>
        <v/>
      </c>
      <c r="H187" s="376"/>
      <c r="I187" s="771" t="str">
        <f>IF(OR(ISBLANK('Sample Setup'!C185),ISTEXT(Report!C187)),"",Report!C187/'Sample Setup'!C185)</f>
        <v/>
      </c>
      <c r="J187" s="771"/>
      <c r="K187" s="185">
        <f t="shared" si="6"/>
        <v>6.5000000000000023E-3</v>
      </c>
      <c r="L187" s="185" t="b">
        <f t="shared" si="7"/>
        <v>0</v>
      </c>
      <c r="M187" s="778"/>
      <c r="N187" s="778"/>
      <c r="AA187" s="377"/>
    </row>
    <row r="188" spans="1:27" ht="15.75" customHeight="1" x14ac:dyDescent="0.25">
      <c r="A188" s="35" t="s">
        <v>315</v>
      </c>
      <c r="B188" s="602">
        <v>1</v>
      </c>
      <c r="C188" s="770">
        <f>IF(ISTEXT(Calculations!AB287),Calculations!AB287,Calculations!AB287*'Sample Setup'!D186)</f>
        <v>1.8659192735965175</v>
      </c>
      <c r="D188" s="770"/>
      <c r="E188" s="738" t="str">
        <f>IF(ISTEXT(Calculations!AB287),"",Calculations!AD287&amp;"/"&amp;Calculations!Y287)</f>
        <v>1/2</v>
      </c>
      <c r="F188" s="738"/>
      <c r="G188" s="603" t="str">
        <f>IF(OR(ISERROR(Calculations!AC287),ISTEXT(Calculations!AC287)),"",Calculations!AC287*'Sample Setup'!D186)</f>
        <v/>
      </c>
      <c r="H188" s="376"/>
      <c r="I188" s="771" t="str">
        <f>IF(OR(ISBLANK('Sample Setup'!C186),ISTEXT(Report!C188)),"",Report!C188/'Sample Setup'!C186)</f>
        <v/>
      </c>
      <c r="J188" s="771"/>
      <c r="K188" s="185">
        <f t="shared" si="6"/>
        <v>1.4999999999999996E-2</v>
      </c>
      <c r="L188" s="185">
        <f t="shared" si="7"/>
        <v>1.8659192735965175</v>
      </c>
      <c r="M188" s="778"/>
      <c r="N188" s="778"/>
      <c r="AA188" s="377"/>
    </row>
    <row r="189" spans="1:27" ht="15.75" customHeight="1" x14ac:dyDescent="0.25">
      <c r="A189" s="35" t="s">
        <v>316</v>
      </c>
      <c r="B189" s="602">
        <v>1</v>
      </c>
      <c r="C189" s="770" t="str">
        <f>IF(ISTEXT(Calculations!AB288),Calculations!AB288,Calculations!AB288*'Sample Setup'!D187)</f>
        <v>Low</v>
      </c>
      <c r="D189" s="770"/>
      <c r="E189" s="738" t="str">
        <f>IF(ISTEXT(Calculations!AB288),"",Calculations!AD288&amp;"/"&amp;Calculations!Y288)</f>
        <v/>
      </c>
      <c r="F189" s="738"/>
      <c r="G189" s="603" t="str">
        <f>IF(OR(ISERROR(Calculations!AC288),ISTEXT(Calculations!AC288)),"",Calculations!AC288*'Sample Setup'!D187)</f>
        <v/>
      </c>
      <c r="H189" s="376"/>
      <c r="I189" s="771" t="str">
        <f>IF(OR(ISBLANK('Sample Setup'!C187),ISTEXT(Report!C189)),"",Report!C189/'Sample Setup'!C187)</f>
        <v/>
      </c>
      <c r="J189" s="771"/>
      <c r="K189" s="185">
        <f t="shared" si="6"/>
        <v>7.4999999999999997E-3</v>
      </c>
      <c r="L189" s="185" t="b">
        <f t="shared" si="7"/>
        <v>0</v>
      </c>
      <c r="M189" s="778"/>
      <c r="N189" s="778"/>
      <c r="AA189" s="377"/>
    </row>
    <row r="190" spans="1:27" ht="15.75" customHeight="1" x14ac:dyDescent="0.25">
      <c r="A190" s="35" t="s">
        <v>317</v>
      </c>
      <c r="B190" s="602">
        <v>1</v>
      </c>
      <c r="C190" s="770" t="str">
        <f>IF(ISTEXT(Calculations!AB289),Calculations!AB289,Calculations!AB289*'Sample Setup'!D188)</f>
        <v>Low</v>
      </c>
      <c r="D190" s="770"/>
      <c r="E190" s="738" t="str">
        <f>IF(ISTEXT(Calculations!AB289),"",Calculations!AD289&amp;"/"&amp;Calculations!Y289)</f>
        <v/>
      </c>
      <c r="F190" s="738"/>
      <c r="G190" s="603" t="str">
        <f>IF(OR(ISERROR(Calculations!AC289),ISTEXT(Calculations!AC289)),"",Calculations!AC289*'Sample Setup'!D188)</f>
        <v/>
      </c>
      <c r="H190" s="376"/>
      <c r="I190" s="771" t="str">
        <f>IF(OR(ISBLANK('Sample Setup'!C188),ISTEXT(Report!C190)),"",Report!C190/'Sample Setup'!C188)</f>
        <v/>
      </c>
      <c r="J190" s="771"/>
      <c r="K190" s="185">
        <f t="shared" si="6"/>
        <v>9.5000000000000015E-3</v>
      </c>
      <c r="L190" s="185" t="b">
        <f t="shared" si="7"/>
        <v>0</v>
      </c>
      <c r="M190" s="778"/>
      <c r="N190" s="778"/>
      <c r="AA190" s="377"/>
    </row>
    <row r="191" spans="1:27" ht="15.75" customHeight="1" x14ac:dyDescent="0.25">
      <c r="A191" s="35" t="s">
        <v>318</v>
      </c>
      <c r="B191" s="602">
        <v>1</v>
      </c>
      <c r="C191" s="770" t="str">
        <f>IF(ISTEXT(Calculations!AB290),Calculations!AB290,Calculations!AB290*'Sample Setup'!D189)</f>
        <v>Low</v>
      </c>
      <c r="D191" s="770"/>
      <c r="E191" s="738" t="str">
        <f>IF(ISTEXT(Calculations!AB290),"",Calculations!AD290&amp;"/"&amp;Calculations!Y290)</f>
        <v/>
      </c>
      <c r="F191" s="738"/>
      <c r="G191" s="603" t="str">
        <f>IF(OR(ISERROR(Calculations!AC290),ISTEXT(Calculations!AC290)),"",Calculations!AC290*'Sample Setup'!D189)</f>
        <v/>
      </c>
      <c r="H191" s="376"/>
      <c r="I191" s="771" t="str">
        <f>IF(OR(ISBLANK('Sample Setup'!C189),ISTEXT(Report!C191)),"",Report!C191/'Sample Setup'!C189)</f>
        <v/>
      </c>
      <c r="J191" s="771"/>
      <c r="K191" s="185">
        <f t="shared" si="6"/>
        <v>1.0000000000000002E-2</v>
      </c>
      <c r="L191" s="185" t="b">
        <f t="shared" si="7"/>
        <v>0</v>
      </c>
      <c r="M191" s="778"/>
      <c r="N191" s="778"/>
      <c r="AA191" s="377"/>
    </row>
    <row r="192" spans="1:27" ht="15.75" customHeight="1" x14ac:dyDescent="0.25">
      <c r="A192" s="35" t="s">
        <v>319</v>
      </c>
      <c r="B192" s="602">
        <v>1</v>
      </c>
      <c r="C192" s="770" t="str">
        <f>IF(ISTEXT(Calculations!AB291),Calculations!AB291,Calculations!AB291*'Sample Setup'!D190)</f>
        <v>Low</v>
      </c>
      <c r="D192" s="770"/>
      <c r="E192" s="738" t="str">
        <f>IF(ISTEXT(Calculations!AB291),"",Calculations!AD291&amp;"/"&amp;Calculations!Y291)</f>
        <v/>
      </c>
      <c r="F192" s="738"/>
      <c r="G192" s="603" t="str">
        <f>IF(OR(ISERROR(Calculations!AC291),ISTEXT(Calculations!AC291)),"",Calculations!AC291*'Sample Setup'!D190)</f>
        <v/>
      </c>
      <c r="H192" s="376"/>
      <c r="I192" s="771" t="str">
        <f>IF(OR(ISBLANK('Sample Setup'!C190),ISTEXT(Report!C192)),"",Report!C192/'Sample Setup'!C190)</f>
        <v/>
      </c>
      <c r="J192" s="771"/>
      <c r="K192" s="185">
        <f t="shared" si="6"/>
        <v>7.4999999999999997E-3</v>
      </c>
      <c r="L192" s="185" t="b">
        <f t="shared" si="7"/>
        <v>0</v>
      </c>
      <c r="M192" s="778"/>
      <c r="N192" s="778"/>
      <c r="AA192" s="377"/>
    </row>
    <row r="193" spans="1:27" ht="15.75" customHeight="1" x14ac:dyDescent="0.25">
      <c r="A193" s="35" t="s">
        <v>320</v>
      </c>
      <c r="B193" s="602">
        <v>1</v>
      </c>
      <c r="C193" s="770" t="str">
        <f>IF(ISTEXT(Calculations!AB292),Calculations!AB292,Calculations!AB292*'Sample Setup'!D191)</f>
        <v>Low</v>
      </c>
      <c r="D193" s="770"/>
      <c r="E193" s="738" t="str">
        <f>IF(ISTEXT(Calculations!AB292),"",Calculations!AD292&amp;"/"&amp;Calculations!Y292)</f>
        <v/>
      </c>
      <c r="F193" s="738"/>
      <c r="G193" s="603" t="str">
        <f>IF(OR(ISERROR(Calculations!AC292),ISTEXT(Calculations!AC292)),"",Calculations!AC292*'Sample Setup'!D191)</f>
        <v/>
      </c>
      <c r="H193" s="376"/>
      <c r="I193" s="771" t="str">
        <f>IF(OR(ISBLANK('Sample Setup'!C191),ISTEXT(Report!C193)),"",Report!C193/'Sample Setup'!C191)</f>
        <v/>
      </c>
      <c r="J193" s="771"/>
      <c r="K193" s="185">
        <f t="shared" si="6"/>
        <v>8.0000000000000002E-3</v>
      </c>
      <c r="L193" s="185" t="b">
        <f t="shared" si="7"/>
        <v>0</v>
      </c>
      <c r="M193" s="778"/>
      <c r="N193" s="778"/>
      <c r="AA193" s="377"/>
    </row>
    <row r="194" spans="1:27" ht="15.75" customHeight="1" x14ac:dyDescent="0.25">
      <c r="A194" s="35" t="s">
        <v>321</v>
      </c>
      <c r="B194" s="602">
        <v>1</v>
      </c>
      <c r="C194" s="770" t="str">
        <f>IF(ISTEXT(Calculations!AB293),Calculations!AB293,Calculations!AB293*'Sample Setup'!D192)</f>
        <v>Low</v>
      </c>
      <c r="D194" s="770"/>
      <c r="E194" s="738" t="str">
        <f>IF(ISTEXT(Calculations!AB293),"",Calculations!AD293&amp;"/"&amp;Calculations!Y293)</f>
        <v/>
      </c>
      <c r="F194" s="738"/>
      <c r="G194" s="603" t="str">
        <f>IF(OR(ISERROR(Calculations!AC293),ISTEXT(Calculations!AC293)),"",Calculations!AC293*'Sample Setup'!D192)</f>
        <v/>
      </c>
      <c r="H194" s="376"/>
      <c r="I194" s="771" t="str">
        <f>IF(OR(ISBLANK('Sample Setup'!C192),ISTEXT(Report!C194)),"",Report!C194/'Sample Setup'!C192)</f>
        <v/>
      </c>
      <c r="J194" s="771"/>
      <c r="K194" s="185">
        <f t="shared" si="6"/>
        <v>6.9999999999999958E-3</v>
      </c>
      <c r="L194" s="185" t="b">
        <f t="shared" si="7"/>
        <v>0</v>
      </c>
      <c r="M194" s="778"/>
      <c r="N194" s="778"/>
      <c r="AA194" s="377"/>
    </row>
    <row r="195" spans="1:27" ht="15.75" customHeight="1" x14ac:dyDescent="0.25">
      <c r="A195" s="35" t="s">
        <v>322</v>
      </c>
      <c r="B195" s="602">
        <v>1</v>
      </c>
      <c r="C195" s="770" t="str">
        <f>IF(ISTEXT(Calculations!AB294),Calculations!AB294,Calculations!AB294*'Sample Setup'!D193)</f>
        <v>Low</v>
      </c>
      <c r="D195" s="770"/>
      <c r="E195" s="738" t="str">
        <f>IF(ISTEXT(Calculations!AB294),"",Calculations!AD294&amp;"/"&amp;Calculations!Y294)</f>
        <v/>
      </c>
      <c r="F195" s="738"/>
      <c r="G195" s="603" t="str">
        <f>IF(OR(ISERROR(Calculations!AC294),ISTEXT(Calculations!AC294)),"",Calculations!AC294*'Sample Setup'!D193)</f>
        <v/>
      </c>
      <c r="H195" s="376"/>
      <c r="I195" s="771" t="str">
        <f>IF(OR(ISBLANK('Sample Setup'!C193),ISTEXT(Report!C195)),"",Report!C195/'Sample Setup'!C193)</f>
        <v/>
      </c>
      <c r="J195" s="771"/>
      <c r="K195" s="185">
        <f t="shared" si="6"/>
        <v>6.9999999999999993E-3</v>
      </c>
      <c r="L195" s="185" t="b">
        <f t="shared" si="7"/>
        <v>0</v>
      </c>
      <c r="M195" s="778"/>
      <c r="N195" s="778"/>
      <c r="AA195" s="377"/>
    </row>
    <row r="196" spans="1:27" ht="15.75" customHeight="1" x14ac:dyDescent="0.25">
      <c r="A196" s="35" t="s">
        <v>323</v>
      </c>
      <c r="B196" s="602">
        <v>1</v>
      </c>
      <c r="C196" s="770" t="str">
        <f>IF(ISTEXT(Calculations!AB295),Calculations!AB295,Calculations!AB295*'Sample Setup'!D194)</f>
        <v>Low</v>
      </c>
      <c r="D196" s="770"/>
      <c r="E196" s="738" t="str">
        <f>IF(ISTEXT(Calculations!AB295),"",Calculations!AD295&amp;"/"&amp;Calculations!Y295)</f>
        <v/>
      </c>
      <c r="F196" s="738"/>
      <c r="G196" s="603" t="str">
        <f>IF(OR(ISERROR(Calculations!AC295),ISTEXT(Calculations!AC295)),"",Calculations!AC295*'Sample Setup'!D194)</f>
        <v/>
      </c>
      <c r="H196" s="376"/>
      <c r="I196" s="771" t="str">
        <f>IF(OR(ISBLANK('Sample Setup'!C194),ISTEXT(Report!C196)),"",Report!C196/'Sample Setup'!C194)</f>
        <v/>
      </c>
      <c r="J196" s="771"/>
      <c r="K196" s="185">
        <f t="shared" si="6"/>
        <v>8.0000000000000002E-3</v>
      </c>
      <c r="L196" s="185" t="b">
        <f t="shared" si="7"/>
        <v>0</v>
      </c>
      <c r="M196" s="778"/>
      <c r="N196" s="778"/>
      <c r="AA196" s="377"/>
    </row>
    <row r="197" spans="1:27" ht="15.75" customHeight="1" x14ac:dyDescent="0.25">
      <c r="A197" s="35" t="s">
        <v>324</v>
      </c>
      <c r="B197" s="602">
        <v>1</v>
      </c>
      <c r="C197" s="770" t="str">
        <f>IF(ISTEXT(Calculations!AB296),Calculations!AB296,Calculations!AB296*'Sample Setup'!D195)</f>
        <v>Low</v>
      </c>
      <c r="D197" s="770"/>
      <c r="E197" s="738" t="str">
        <f>IF(ISTEXT(Calculations!AB296),"",Calculations!AD296&amp;"/"&amp;Calculations!Y296)</f>
        <v/>
      </c>
      <c r="F197" s="738"/>
      <c r="G197" s="603" t="str">
        <f>IF(OR(ISERROR(Calculations!AC296),ISTEXT(Calculations!AC296)),"",Calculations!AC296*'Sample Setup'!D195)</f>
        <v/>
      </c>
      <c r="H197" s="376"/>
      <c r="I197" s="771" t="str">
        <f>IF(OR(ISBLANK('Sample Setup'!C195),ISTEXT(Report!C197)),"",Report!C197/'Sample Setup'!C195)</f>
        <v/>
      </c>
      <c r="J197" s="771"/>
      <c r="K197" s="185">
        <f t="shared" si="6"/>
        <v>8.0000000000000002E-3</v>
      </c>
      <c r="L197" s="185" t="b">
        <f t="shared" si="7"/>
        <v>0</v>
      </c>
      <c r="M197" s="778"/>
      <c r="N197" s="778"/>
      <c r="AA197" s="377"/>
    </row>
    <row r="198" spans="1:27" ht="15.75" customHeight="1" x14ac:dyDescent="0.25">
      <c r="A198" s="35" t="s">
        <v>325</v>
      </c>
      <c r="B198" s="602">
        <v>1</v>
      </c>
      <c r="C198" s="770" t="str">
        <f>IF(ISTEXT(Calculations!AB297),Calculations!AB297,Calculations!AB297*'Sample Setup'!D196)</f>
        <v>Low</v>
      </c>
      <c r="D198" s="770"/>
      <c r="E198" s="738" t="str">
        <f>IF(ISTEXT(Calculations!AB297),"",Calculations!AD297&amp;"/"&amp;Calculations!Y297)</f>
        <v/>
      </c>
      <c r="F198" s="738"/>
      <c r="G198" s="603" t="str">
        <f>IF(OR(ISERROR(Calculations!AC297),ISTEXT(Calculations!AC297)),"",Calculations!AC297*'Sample Setup'!D196)</f>
        <v/>
      </c>
      <c r="H198" s="376"/>
      <c r="I198" s="771" t="str">
        <f>IF(OR(ISBLANK('Sample Setup'!C196),ISTEXT(Report!C198)),"",Report!C198/'Sample Setup'!C196)</f>
        <v/>
      </c>
      <c r="J198" s="771"/>
      <c r="K198" s="185">
        <f t="shared" si="6"/>
        <v>1.0500000000000002E-2</v>
      </c>
      <c r="L198" s="185" t="b">
        <f t="shared" si="7"/>
        <v>0</v>
      </c>
      <c r="M198" s="778"/>
      <c r="N198" s="778"/>
      <c r="AA198" s="377"/>
    </row>
    <row r="199" spans="1:27" ht="15.75" customHeight="1" x14ac:dyDescent="0.25">
      <c r="A199" s="35" t="s">
        <v>326</v>
      </c>
      <c r="B199" s="602">
        <v>1</v>
      </c>
      <c r="C199" s="770" t="str">
        <f>IF(ISTEXT(Calculations!AB298),Calculations!AB298,Calculations!AB298*'Sample Setup'!D197)</f>
        <v>Low</v>
      </c>
      <c r="D199" s="770"/>
      <c r="E199" s="738" t="str">
        <f>IF(ISTEXT(Calculations!AB298),"",Calculations!AD298&amp;"/"&amp;Calculations!Y298)</f>
        <v/>
      </c>
      <c r="F199" s="738"/>
      <c r="G199" s="603" t="str">
        <f>IF(OR(ISERROR(Calculations!AC298),ISTEXT(Calculations!AC298)),"",Calculations!AC298*'Sample Setup'!D197)</f>
        <v/>
      </c>
      <c r="H199" s="376"/>
      <c r="I199" s="771" t="str">
        <f>IF(OR(ISBLANK('Sample Setup'!C197),ISTEXT(Report!C199)),"",Report!C199/'Sample Setup'!C197)</f>
        <v/>
      </c>
      <c r="J199" s="771"/>
      <c r="K199" s="185">
        <f t="shared" si="6"/>
        <v>1.2000000000000004E-2</v>
      </c>
      <c r="L199" s="185" t="b">
        <f t="shared" si="7"/>
        <v>0</v>
      </c>
      <c r="M199" s="778"/>
      <c r="N199" s="778"/>
      <c r="AA199" s="377"/>
    </row>
    <row r="200" spans="1:27" ht="15.75" customHeight="1" x14ac:dyDescent="0.25">
      <c r="A200" s="35" t="s">
        <v>327</v>
      </c>
      <c r="B200" s="602">
        <v>1</v>
      </c>
      <c r="C200" s="770" t="str">
        <f>IF(ISTEXT(Calculations!AB299),Calculations!AB299,Calculations!AB299*'Sample Setup'!D198)</f>
        <v>Low</v>
      </c>
      <c r="D200" s="770"/>
      <c r="E200" s="738" t="str">
        <f>IF(ISTEXT(Calculations!AB299),"",Calculations!AD299&amp;"/"&amp;Calculations!Y299)</f>
        <v/>
      </c>
      <c r="F200" s="738"/>
      <c r="G200" s="603" t="str">
        <f>IF(OR(ISERROR(Calculations!AC299),ISTEXT(Calculations!AC299)),"",Calculations!AC299*'Sample Setup'!D198)</f>
        <v/>
      </c>
      <c r="H200" s="376"/>
      <c r="I200" s="771" t="str">
        <f>IF(OR(ISBLANK('Sample Setup'!C198),ISTEXT(Report!C200)),"",Report!C200/'Sample Setup'!C198)</f>
        <v/>
      </c>
      <c r="J200" s="771"/>
      <c r="K200" s="185">
        <f t="shared" si="6"/>
        <v>8.5000000000000006E-3</v>
      </c>
      <c r="L200" s="185" t="b">
        <f t="shared" si="7"/>
        <v>0</v>
      </c>
      <c r="M200" s="778"/>
      <c r="N200" s="778"/>
      <c r="AA200" s="377"/>
    </row>
    <row r="201" spans="1:27" ht="15.75" customHeight="1" x14ac:dyDescent="0.25">
      <c r="A201" s="35" t="s">
        <v>328</v>
      </c>
      <c r="B201" s="602">
        <v>1</v>
      </c>
      <c r="C201" s="770" t="str">
        <f>IF(ISTEXT(Calculations!AB300),Calculations!AB300,Calculations!AB300*'Sample Setup'!D199)</f>
        <v>Low</v>
      </c>
      <c r="D201" s="770"/>
      <c r="E201" s="738" t="str">
        <f>IF(ISTEXT(Calculations!AB300),"",Calculations!AD300&amp;"/"&amp;Calculations!Y300)</f>
        <v/>
      </c>
      <c r="F201" s="738"/>
      <c r="G201" s="603" t="str">
        <f>IF(OR(ISERROR(Calculations!AC300),ISTEXT(Calculations!AC300)),"",Calculations!AC300*'Sample Setup'!D199)</f>
        <v/>
      </c>
      <c r="H201" s="376"/>
      <c r="I201" s="771" t="str">
        <f>IF(OR(ISBLANK('Sample Setup'!C199),ISTEXT(Report!C201)),"",Report!C201/'Sample Setup'!C199)</f>
        <v/>
      </c>
      <c r="J201" s="771"/>
      <c r="K201" s="185">
        <f t="shared" si="6"/>
        <v>1.0499999999999999E-2</v>
      </c>
      <c r="L201" s="185" t="b">
        <f t="shared" si="7"/>
        <v>0</v>
      </c>
      <c r="M201" s="778"/>
      <c r="N201" s="778"/>
      <c r="AA201" s="377"/>
    </row>
    <row r="202" spans="1:27" ht="15.75" customHeight="1" x14ac:dyDescent="0.25">
      <c r="A202" s="35" t="s">
        <v>329</v>
      </c>
      <c r="B202" s="602">
        <v>1</v>
      </c>
      <c r="C202" s="770" t="str">
        <f>IF(ISTEXT(Calculations!AB301),Calculations!AB301,Calculations!AB301*'Sample Setup'!D200)</f>
        <v>Low</v>
      </c>
      <c r="D202" s="770"/>
      <c r="E202" s="738" t="str">
        <f>IF(ISTEXT(Calculations!AB301),"",Calculations!AD301&amp;"/"&amp;Calculations!Y301)</f>
        <v/>
      </c>
      <c r="F202" s="738"/>
      <c r="G202" s="603" t="str">
        <f>IF(OR(ISERROR(Calculations!AC301),ISTEXT(Calculations!AC301)),"",Calculations!AC301*'Sample Setup'!D200)</f>
        <v/>
      </c>
      <c r="H202" s="376"/>
      <c r="I202" s="771" t="str">
        <f>IF(OR(ISBLANK('Sample Setup'!C200),ISTEXT(Report!C202)),"",Report!C202/'Sample Setup'!C200)</f>
        <v/>
      </c>
      <c r="J202" s="771"/>
      <c r="K202" s="185">
        <f t="shared" si="6"/>
        <v>8.0000000000000036E-3</v>
      </c>
      <c r="L202" s="185" t="b">
        <f t="shared" si="7"/>
        <v>0</v>
      </c>
      <c r="M202" s="778"/>
      <c r="N202" s="778"/>
      <c r="AA202" s="377"/>
    </row>
    <row r="203" spans="1:27" ht="15.75" customHeight="1" x14ac:dyDescent="0.25">
      <c r="A203" s="35" t="s">
        <v>330</v>
      </c>
      <c r="B203" s="602">
        <v>1</v>
      </c>
      <c r="C203" s="770" t="str">
        <f>IF(ISTEXT(Calculations!AB302),Calculations!AB302,Calculations!AB302*'Sample Setup'!D201)</f>
        <v>Low</v>
      </c>
      <c r="D203" s="770"/>
      <c r="E203" s="738" t="str">
        <f>IF(ISTEXT(Calculations!AB302),"",Calculations!AD302&amp;"/"&amp;Calculations!Y302)</f>
        <v/>
      </c>
      <c r="F203" s="738"/>
      <c r="G203" s="603" t="str">
        <f>IF(OR(ISERROR(Calculations!AC302),ISTEXT(Calculations!AC302)),"",Calculations!AC302*'Sample Setup'!D201)</f>
        <v/>
      </c>
      <c r="H203" s="376"/>
      <c r="I203" s="771" t="str">
        <f>IF(OR(ISBLANK('Sample Setup'!C201),ISTEXT(Report!C203)),"",Report!C203/'Sample Setup'!C201)</f>
        <v/>
      </c>
      <c r="J203" s="771"/>
      <c r="K203" s="185">
        <f t="shared" si="6"/>
        <v>7.4999999999999963E-3</v>
      </c>
      <c r="L203" s="185" t="b">
        <f t="shared" si="7"/>
        <v>0</v>
      </c>
      <c r="M203" s="778"/>
      <c r="N203" s="778"/>
      <c r="AA203" s="377"/>
    </row>
    <row r="204" spans="1:27" ht="15.75" customHeight="1" x14ac:dyDescent="0.25">
      <c r="A204" s="35" t="s">
        <v>331</v>
      </c>
      <c r="B204" s="602">
        <v>1</v>
      </c>
      <c r="C204" s="770" t="str">
        <f>IF(ISTEXT(Calculations!AB303),Calculations!AB303,Calculations!AB303*'Sample Setup'!D202)</f>
        <v>Low</v>
      </c>
      <c r="D204" s="770"/>
      <c r="E204" s="738" t="str">
        <f>IF(ISTEXT(Calculations!AB303),"",Calculations!AD303&amp;"/"&amp;Calculations!Y303)</f>
        <v/>
      </c>
      <c r="F204" s="738"/>
      <c r="G204" s="603" t="str">
        <f>IF(OR(ISERROR(Calculations!AC303),ISTEXT(Calculations!AC303)),"",Calculations!AC303*'Sample Setup'!D202)</f>
        <v/>
      </c>
      <c r="H204" s="376"/>
      <c r="I204" s="771" t="str">
        <f>IF(OR(ISBLANK('Sample Setup'!C202),ISTEXT(Report!C204)),"",Report!C204/'Sample Setup'!C202)</f>
        <v/>
      </c>
      <c r="J204" s="771"/>
      <c r="K204" s="185">
        <f t="shared" si="6"/>
        <v>1.2000000000000004E-2</v>
      </c>
      <c r="L204" s="185" t="b">
        <f t="shared" si="7"/>
        <v>0</v>
      </c>
      <c r="M204" s="778"/>
      <c r="N204" s="778"/>
      <c r="AA204" s="377"/>
    </row>
    <row r="205" spans="1:27" ht="15.75" customHeight="1" x14ac:dyDescent="0.25">
      <c r="A205" s="35" t="s">
        <v>332</v>
      </c>
      <c r="B205" s="602">
        <v>1</v>
      </c>
      <c r="C205" s="770" t="str">
        <f>IF(ISTEXT(Calculations!AB304),Calculations!AB304,Calculations!AB304*'Sample Setup'!D203)</f>
        <v>Low</v>
      </c>
      <c r="D205" s="770"/>
      <c r="E205" s="738" t="str">
        <f>IF(ISTEXT(Calculations!AB304),"",Calculations!AD304&amp;"/"&amp;Calculations!Y304)</f>
        <v/>
      </c>
      <c r="F205" s="738"/>
      <c r="G205" s="603" t="str">
        <f>IF(OR(ISERROR(Calculations!AC304),ISTEXT(Calculations!AC304)),"",Calculations!AC304*'Sample Setup'!D203)</f>
        <v/>
      </c>
      <c r="H205" s="376"/>
      <c r="I205" s="771" t="str">
        <f>IF(OR(ISBLANK('Sample Setup'!C203),ISTEXT(Report!C205)),"",Report!C205/'Sample Setup'!C203)</f>
        <v/>
      </c>
      <c r="J205" s="771"/>
      <c r="K205" s="185">
        <f t="shared" si="6"/>
        <v>8.5000000000000006E-3</v>
      </c>
      <c r="L205" s="185" t="b">
        <f t="shared" si="7"/>
        <v>0</v>
      </c>
      <c r="M205" s="778"/>
      <c r="N205" s="778"/>
      <c r="AA205" s="377"/>
    </row>
    <row r="206" spans="1:27" ht="15.75" customHeight="1" x14ac:dyDescent="0.25">
      <c r="A206" s="35" t="s">
        <v>333</v>
      </c>
      <c r="B206" s="602">
        <v>1</v>
      </c>
      <c r="C206" s="770" t="str">
        <f>IF(ISTEXT(Calculations!AB305),Calculations!AB305,Calculations!AB305*'Sample Setup'!D204)</f>
        <v>Low</v>
      </c>
      <c r="D206" s="770"/>
      <c r="E206" s="738" t="str">
        <f>IF(ISTEXT(Calculations!AB305),"",Calculations!AD305&amp;"/"&amp;Calculations!Y305)</f>
        <v/>
      </c>
      <c r="F206" s="738"/>
      <c r="G206" s="603" t="str">
        <f>IF(OR(ISERROR(Calculations!AC305),ISTEXT(Calculations!AC305)),"",Calculations!AC305*'Sample Setup'!D204)</f>
        <v/>
      </c>
      <c r="H206" s="376"/>
      <c r="I206" s="771" t="str">
        <f>IF(OR(ISBLANK('Sample Setup'!C204),ISTEXT(Report!C206)),"",Report!C206/'Sample Setup'!C204)</f>
        <v/>
      </c>
      <c r="J206" s="771"/>
      <c r="K206" s="185">
        <f t="shared" si="6"/>
        <v>9.5000000000000015E-3</v>
      </c>
      <c r="L206" s="185" t="b">
        <f t="shared" si="7"/>
        <v>0</v>
      </c>
      <c r="M206" s="778"/>
      <c r="N206" s="778"/>
      <c r="AA206" s="377"/>
    </row>
    <row r="207" spans="1:27" ht="15.75" customHeight="1" x14ac:dyDescent="0.25">
      <c r="A207" s="35" t="s">
        <v>334</v>
      </c>
      <c r="B207" s="602">
        <v>1</v>
      </c>
      <c r="C207" s="770" t="str">
        <f>IF(ISTEXT(Calculations!AB306),Calculations!AB306,Calculations!AB306*'Sample Setup'!D205)</f>
        <v>Low</v>
      </c>
      <c r="D207" s="770"/>
      <c r="E207" s="738" t="str">
        <f>IF(ISTEXT(Calculations!AB306),"",Calculations!AD306&amp;"/"&amp;Calculations!Y306)</f>
        <v/>
      </c>
      <c r="F207" s="738"/>
      <c r="G207" s="603" t="str">
        <f>IF(OR(ISERROR(Calculations!AC306),ISTEXT(Calculations!AC306)),"",Calculations!AC306*'Sample Setup'!D205)</f>
        <v/>
      </c>
      <c r="H207" s="376"/>
      <c r="I207" s="771" t="str">
        <f>IF(OR(ISBLANK('Sample Setup'!C205),ISTEXT(Report!C207)),"",Report!C207/'Sample Setup'!C205)</f>
        <v/>
      </c>
      <c r="J207" s="771"/>
      <c r="K207" s="185">
        <f t="shared" si="6"/>
        <v>9.9999999999999985E-3</v>
      </c>
      <c r="L207" s="185" t="b">
        <f t="shared" si="7"/>
        <v>0</v>
      </c>
      <c r="M207" s="778"/>
      <c r="N207" s="778"/>
    </row>
    <row r="208" spans="1:27" ht="15.75" customHeight="1" x14ac:dyDescent="0.25">
      <c r="A208" s="35" t="s">
        <v>335</v>
      </c>
      <c r="B208" s="602"/>
      <c r="C208" s="770" t="str">
        <f>IF(ISTEXT(Calculations!AB307),Calculations!AB307,Calculations!AB307*'Sample Setup'!D206)</f>
        <v xml:space="preserve"> </v>
      </c>
      <c r="D208" s="770"/>
      <c r="E208" s="738" t="str">
        <f>IF(ISTEXT(Calculations!AB307),"",Calculations!AD307&amp;"/"&amp;Calculations!Y307)</f>
        <v/>
      </c>
      <c r="F208" s="738"/>
      <c r="G208" s="603" t="str">
        <f>IF(OR(ISERROR(Calculations!AC307),ISTEXT(Calculations!AC307)),"",Calculations!AC307*'Sample Setup'!D206)</f>
        <v/>
      </c>
      <c r="H208" s="376" t="str">
        <f t="shared" ref="H208:H240" si="8">IF(ISERROR(G208/C208),"",G208/C208)</f>
        <v/>
      </c>
      <c r="I208" s="771" t="str">
        <f>IF(OR(ISBLANK('Sample Setup'!C206),ISTEXT(Report!C208)),"",Report!C208/'Sample Setup'!C206)</f>
        <v/>
      </c>
      <c r="J208" s="771"/>
      <c r="K208" s="185" t="e">
        <f t="shared" si="6"/>
        <v>#DIV/0!</v>
      </c>
      <c r="L208" s="185" t="b">
        <f t="shared" si="7"/>
        <v>0</v>
      </c>
      <c r="M208" s="778"/>
      <c r="N208" s="778"/>
    </row>
    <row r="209" spans="1:14" ht="15.75" customHeight="1" x14ac:dyDescent="0.25">
      <c r="A209" s="35" t="s">
        <v>336</v>
      </c>
      <c r="B209" s="602"/>
      <c r="C209" s="770" t="str">
        <f>IF(ISTEXT(Calculations!AB308),Calculations!AB308,Calculations!AB308*'Sample Setup'!D207)</f>
        <v xml:space="preserve"> </v>
      </c>
      <c r="D209" s="770"/>
      <c r="E209" s="738" t="str">
        <f>IF(ISTEXT(Calculations!AB308),"",Calculations!AD308&amp;"/"&amp;Calculations!Y308)</f>
        <v/>
      </c>
      <c r="F209" s="738"/>
      <c r="G209" s="603" t="str">
        <f>IF(OR(ISERROR(Calculations!AC308),ISTEXT(Calculations!AC308)),"",Calculations!AC308*'Sample Setup'!D207)</f>
        <v/>
      </c>
      <c r="H209" s="376" t="str">
        <f t="shared" si="8"/>
        <v/>
      </c>
      <c r="I209" s="771" t="str">
        <f>IF(OR(ISBLANK('Sample Setup'!C207),ISTEXT(Report!C209)),"",Report!C209/'Sample Setup'!C207)</f>
        <v/>
      </c>
      <c r="J209" s="771"/>
      <c r="K209" s="185" t="e">
        <f t="shared" si="6"/>
        <v>#DIV/0!</v>
      </c>
      <c r="L209" s="185" t="b">
        <f t="shared" si="7"/>
        <v>0</v>
      </c>
      <c r="M209" s="778"/>
      <c r="N209" s="778"/>
    </row>
    <row r="210" spans="1:14" ht="15.75" customHeight="1" x14ac:dyDescent="0.25">
      <c r="A210" s="35" t="s">
        <v>337</v>
      </c>
      <c r="B210" s="602"/>
      <c r="C210" s="770" t="str">
        <f>IF(ISTEXT(Calculations!AB309),Calculations!AB309,Calculations!AB309*'Sample Setup'!D208)</f>
        <v xml:space="preserve"> </v>
      </c>
      <c r="D210" s="770"/>
      <c r="E210" s="738" t="str">
        <f>IF(ISTEXT(Calculations!AB309),"",Calculations!AD309&amp;"/"&amp;Calculations!Y309)</f>
        <v/>
      </c>
      <c r="F210" s="738"/>
      <c r="G210" s="603" t="str">
        <f>IF(OR(ISERROR(Calculations!AC309),ISTEXT(Calculations!AC309)),"",Calculations!AC309*'Sample Setup'!D208)</f>
        <v/>
      </c>
      <c r="H210" s="376" t="str">
        <f t="shared" si="8"/>
        <v/>
      </c>
      <c r="I210" s="771" t="str">
        <f>IF(OR(ISBLANK('Sample Setup'!C208),ISTEXT(Report!C210)),"",Report!C210/'Sample Setup'!C208)</f>
        <v/>
      </c>
      <c r="J210" s="771"/>
      <c r="K210" s="185" t="e">
        <f t="shared" si="6"/>
        <v>#DIV/0!</v>
      </c>
      <c r="L210" s="185" t="b">
        <f t="shared" si="7"/>
        <v>0</v>
      </c>
      <c r="M210" s="778"/>
      <c r="N210" s="778"/>
    </row>
    <row r="211" spans="1:14" ht="15.75" customHeight="1" x14ac:dyDescent="0.25">
      <c r="A211" s="35" t="s">
        <v>338</v>
      </c>
      <c r="B211" s="602"/>
      <c r="C211" s="770" t="str">
        <f>IF(ISTEXT(Calculations!AB310),Calculations!AB310,Calculations!AB310*'Sample Setup'!D209)</f>
        <v xml:space="preserve"> </v>
      </c>
      <c r="D211" s="770"/>
      <c r="E211" s="738" t="str">
        <f>IF(ISTEXT(Calculations!AB310),"",Calculations!AD310&amp;"/"&amp;Calculations!Y310)</f>
        <v/>
      </c>
      <c r="F211" s="738"/>
      <c r="G211" s="603" t="str">
        <f>IF(OR(ISERROR(Calculations!AC310),ISTEXT(Calculations!AC310)),"",Calculations!AC310*'Sample Setup'!D209)</f>
        <v/>
      </c>
      <c r="H211" s="376" t="str">
        <f t="shared" si="8"/>
        <v/>
      </c>
      <c r="I211" s="771" t="str">
        <f>IF(OR(ISBLANK('Sample Setup'!C209),ISTEXT(Report!C211)),"",Report!C211/'Sample Setup'!C209)</f>
        <v/>
      </c>
      <c r="J211" s="771"/>
      <c r="K211" s="185" t="e">
        <f t="shared" si="6"/>
        <v>#DIV/0!</v>
      </c>
      <c r="L211" s="185" t="b">
        <f t="shared" si="7"/>
        <v>0</v>
      </c>
      <c r="M211" s="778"/>
      <c r="N211" s="778"/>
    </row>
    <row r="212" spans="1:14" ht="15.75" customHeight="1" x14ac:dyDescent="0.25">
      <c r="A212" s="35" t="s">
        <v>339</v>
      </c>
      <c r="B212" s="602"/>
      <c r="C212" s="770" t="str">
        <f>IF(ISTEXT(Calculations!AB311),Calculations!AB311,Calculations!AB311*'Sample Setup'!D210)</f>
        <v xml:space="preserve"> </v>
      </c>
      <c r="D212" s="770"/>
      <c r="E212" s="738" t="str">
        <f>IF(ISTEXT(Calculations!AB311),"",Calculations!AD311&amp;"/"&amp;Calculations!Y311)</f>
        <v/>
      </c>
      <c r="F212" s="738"/>
      <c r="G212" s="603" t="str">
        <f>IF(OR(ISERROR(Calculations!AC311),ISTEXT(Calculations!AC311)),"",Calculations!AC311*'Sample Setup'!D210)</f>
        <v/>
      </c>
      <c r="H212" s="376" t="str">
        <f t="shared" si="8"/>
        <v/>
      </c>
      <c r="I212" s="771" t="str">
        <f>IF(OR(ISBLANK('Sample Setup'!C210),ISTEXT(Report!C212)),"",Report!C212/'Sample Setup'!C210)</f>
        <v/>
      </c>
      <c r="J212" s="771"/>
      <c r="K212" s="185" t="e">
        <f t="shared" si="6"/>
        <v>#DIV/0!</v>
      </c>
      <c r="L212" s="185" t="b">
        <f t="shared" si="7"/>
        <v>0</v>
      </c>
      <c r="M212" s="778"/>
      <c r="N212" s="778"/>
    </row>
    <row r="213" spans="1:14" ht="15.75" customHeight="1" x14ac:dyDescent="0.25">
      <c r="A213" s="35" t="s">
        <v>340</v>
      </c>
      <c r="B213" s="602"/>
      <c r="C213" s="770" t="str">
        <f>IF(ISTEXT(Calculations!AB312),Calculations!AB312,Calculations!AB312*'Sample Setup'!D211)</f>
        <v xml:space="preserve"> </v>
      </c>
      <c r="D213" s="770"/>
      <c r="E213" s="738" t="str">
        <f>IF(ISTEXT(Calculations!AB312),"",Calculations!AD312&amp;"/"&amp;Calculations!Y312)</f>
        <v/>
      </c>
      <c r="F213" s="738"/>
      <c r="G213" s="603" t="str">
        <f>IF(OR(ISERROR(Calculations!AC312),ISTEXT(Calculations!AC312)),"",Calculations!AC312*'Sample Setup'!D211)</f>
        <v/>
      </c>
      <c r="H213" s="376" t="str">
        <f t="shared" si="8"/>
        <v/>
      </c>
      <c r="I213" s="771" t="str">
        <f>IF(OR(ISBLANK('Sample Setup'!C211),ISTEXT(Report!C213)),"",Report!C213/'Sample Setup'!C211)</f>
        <v/>
      </c>
      <c r="J213" s="771"/>
      <c r="K213" s="185" t="e">
        <f t="shared" si="6"/>
        <v>#DIV/0!</v>
      </c>
      <c r="L213" s="185" t="b">
        <f t="shared" si="7"/>
        <v>0</v>
      </c>
      <c r="M213" s="778"/>
      <c r="N213" s="778"/>
    </row>
    <row r="214" spans="1:14" ht="15.75" customHeight="1" x14ac:dyDescent="0.25">
      <c r="A214" s="35" t="s">
        <v>341</v>
      </c>
      <c r="B214" s="602"/>
      <c r="C214" s="770" t="str">
        <f>IF(ISTEXT(Calculations!AB313),Calculations!AB313,Calculations!AB313*'Sample Setup'!D212)</f>
        <v xml:space="preserve"> </v>
      </c>
      <c r="D214" s="770"/>
      <c r="E214" s="738" t="str">
        <f>IF(ISTEXT(Calculations!AB313),"",Calculations!AD313&amp;"/"&amp;Calculations!Y313)</f>
        <v/>
      </c>
      <c r="F214" s="738"/>
      <c r="G214" s="603" t="str">
        <f>IF(OR(ISERROR(Calculations!AC313),ISTEXT(Calculations!AC313)),"",Calculations!AC313*'Sample Setup'!D212)</f>
        <v/>
      </c>
      <c r="H214" s="376" t="str">
        <f t="shared" si="8"/>
        <v/>
      </c>
      <c r="I214" s="771" t="str">
        <f>IF(OR(ISBLANK('Sample Setup'!C212),ISTEXT(Report!C214)),"",Report!C214/'Sample Setup'!C212)</f>
        <v/>
      </c>
      <c r="J214" s="771"/>
      <c r="K214" s="185" t="e">
        <f t="shared" si="6"/>
        <v>#DIV/0!</v>
      </c>
      <c r="L214" s="185" t="b">
        <f t="shared" si="7"/>
        <v>0</v>
      </c>
      <c r="M214" s="778"/>
      <c r="N214" s="778"/>
    </row>
    <row r="215" spans="1:14" ht="15.75" customHeight="1" x14ac:dyDescent="0.25">
      <c r="A215" s="35" t="s">
        <v>342</v>
      </c>
      <c r="B215" s="602"/>
      <c r="C215" s="770" t="str">
        <f>IF(ISTEXT(Calculations!AB314),Calculations!AB314,Calculations!AB314*'Sample Setup'!D213)</f>
        <v xml:space="preserve"> </v>
      </c>
      <c r="D215" s="770"/>
      <c r="E215" s="738" t="str">
        <f>IF(ISTEXT(Calculations!AB314),"",Calculations!AD314&amp;"/"&amp;Calculations!Y314)</f>
        <v/>
      </c>
      <c r="F215" s="738"/>
      <c r="G215" s="603" t="str">
        <f>IF(OR(ISERROR(Calculations!AC314),ISTEXT(Calculations!AC314)),"",Calculations!AC314*'Sample Setup'!D213)</f>
        <v/>
      </c>
      <c r="H215" s="376" t="str">
        <f t="shared" si="8"/>
        <v/>
      </c>
      <c r="I215" s="771" t="str">
        <f>IF(OR(ISBLANK('Sample Setup'!C213),ISTEXT(Report!C215)),"",Report!C215/'Sample Setup'!C213)</f>
        <v/>
      </c>
      <c r="J215" s="771"/>
      <c r="K215" s="185" t="e">
        <f t="shared" si="6"/>
        <v>#DIV/0!</v>
      </c>
      <c r="L215" s="185" t="b">
        <f t="shared" si="7"/>
        <v>0</v>
      </c>
      <c r="M215" s="778"/>
      <c r="N215" s="778"/>
    </row>
    <row r="216" spans="1:14" ht="15.75" customHeight="1" x14ac:dyDescent="0.25">
      <c r="A216" s="35" t="s">
        <v>343</v>
      </c>
      <c r="B216" s="602"/>
      <c r="C216" s="770" t="str">
        <f>IF(ISTEXT(Calculations!AB315),Calculations!AB315,Calculations!AB315*'Sample Setup'!D214)</f>
        <v xml:space="preserve"> </v>
      </c>
      <c r="D216" s="770"/>
      <c r="E216" s="738" t="str">
        <f>IF(ISTEXT(Calculations!AB315),"",Calculations!AD315&amp;"/"&amp;Calculations!Y315)</f>
        <v/>
      </c>
      <c r="F216" s="738"/>
      <c r="G216" s="603" t="str">
        <f>IF(OR(ISERROR(Calculations!AC315),ISTEXT(Calculations!AC315)),"",Calculations!AC315*'Sample Setup'!D214)</f>
        <v/>
      </c>
      <c r="H216" s="376" t="str">
        <f t="shared" si="8"/>
        <v/>
      </c>
      <c r="I216" s="771" t="str">
        <f>IF(OR(ISBLANK('Sample Setup'!C214),ISTEXT(Report!C216)),"",Report!C216/'Sample Setup'!C214)</f>
        <v/>
      </c>
      <c r="J216" s="771"/>
      <c r="K216" s="185" t="e">
        <f t="shared" si="6"/>
        <v>#DIV/0!</v>
      </c>
      <c r="L216" s="185" t="b">
        <f t="shared" si="7"/>
        <v>0</v>
      </c>
      <c r="M216" s="778"/>
      <c r="N216" s="778"/>
    </row>
    <row r="217" spans="1:14" ht="15.75" customHeight="1" x14ac:dyDescent="0.25">
      <c r="A217" s="35" t="s">
        <v>344</v>
      </c>
      <c r="B217" s="602"/>
      <c r="C217" s="770" t="str">
        <f>IF(ISTEXT(Calculations!AB316),Calculations!AB316,Calculations!AB316*'Sample Setup'!D215)</f>
        <v xml:space="preserve"> </v>
      </c>
      <c r="D217" s="770"/>
      <c r="E217" s="738" t="str">
        <f>IF(ISTEXT(Calculations!AB316),"",Calculations!AD316&amp;"/"&amp;Calculations!Y316)</f>
        <v/>
      </c>
      <c r="F217" s="738"/>
      <c r="G217" s="603" t="str">
        <f>IF(OR(ISERROR(Calculations!AC316),ISTEXT(Calculations!AC316)),"",Calculations!AC316*'Sample Setup'!D215)</f>
        <v/>
      </c>
      <c r="H217" s="376" t="str">
        <f t="shared" si="8"/>
        <v/>
      </c>
      <c r="I217" s="771" t="str">
        <f>IF(OR(ISBLANK('Sample Setup'!C215),ISTEXT(Report!C217)),"",Report!C217/'Sample Setup'!C215)</f>
        <v/>
      </c>
      <c r="J217" s="771"/>
      <c r="K217" s="185" t="e">
        <f t="shared" si="6"/>
        <v>#DIV/0!</v>
      </c>
      <c r="L217" s="185" t="b">
        <f t="shared" si="7"/>
        <v>0</v>
      </c>
      <c r="M217" s="778"/>
      <c r="N217" s="778"/>
    </row>
    <row r="218" spans="1:14" ht="15.75" customHeight="1" x14ac:dyDescent="0.25">
      <c r="A218" s="35" t="s">
        <v>345</v>
      </c>
      <c r="B218" s="602"/>
      <c r="C218" s="770" t="str">
        <f>IF(ISTEXT(Calculations!AB317),Calculations!AB317,Calculations!AB317*'Sample Setup'!D216)</f>
        <v xml:space="preserve"> </v>
      </c>
      <c r="D218" s="770"/>
      <c r="E218" s="738" t="str">
        <f>IF(ISTEXT(Calculations!AB317),"",Calculations!AD317&amp;"/"&amp;Calculations!Y317)</f>
        <v/>
      </c>
      <c r="F218" s="738"/>
      <c r="G218" s="603" t="str">
        <f>IF(OR(ISERROR(Calculations!AC317),ISTEXT(Calculations!AC317)),"",Calculations!AC317*'Sample Setup'!D216)</f>
        <v/>
      </c>
      <c r="H218" s="376" t="str">
        <f t="shared" si="8"/>
        <v/>
      </c>
      <c r="I218" s="771" t="str">
        <f>IF(OR(ISBLANK('Sample Setup'!C216),ISTEXT(Report!C218)),"",Report!C218/'Sample Setup'!C216)</f>
        <v/>
      </c>
      <c r="J218" s="771"/>
      <c r="K218" s="185" t="e">
        <f t="shared" si="6"/>
        <v>#DIV/0!</v>
      </c>
      <c r="L218" s="185" t="b">
        <f t="shared" si="7"/>
        <v>0</v>
      </c>
      <c r="M218" s="778"/>
      <c r="N218" s="778"/>
    </row>
    <row r="219" spans="1:14" ht="15.75" customHeight="1" x14ac:dyDescent="0.25">
      <c r="A219" s="35" t="s">
        <v>346</v>
      </c>
      <c r="B219" s="602"/>
      <c r="C219" s="770" t="str">
        <f>IF(ISTEXT(Calculations!AB318),Calculations!AB318,Calculations!AB318*'Sample Setup'!D217)</f>
        <v xml:space="preserve"> </v>
      </c>
      <c r="D219" s="770"/>
      <c r="E219" s="738" t="str">
        <f>IF(ISTEXT(Calculations!AB318),"",Calculations!AD318&amp;"/"&amp;Calculations!Y318)</f>
        <v/>
      </c>
      <c r="F219" s="738"/>
      <c r="G219" s="603" t="str">
        <f>IF(OR(ISERROR(Calculations!AC318),ISTEXT(Calculations!AC318)),"",Calculations!AC318*'Sample Setup'!D217)</f>
        <v/>
      </c>
      <c r="H219" s="376" t="str">
        <f t="shared" si="8"/>
        <v/>
      </c>
      <c r="I219" s="771" t="str">
        <f>IF(OR(ISBLANK('Sample Setup'!C217),ISTEXT(Report!C219)),"",Report!C219/'Sample Setup'!C217)</f>
        <v/>
      </c>
      <c r="J219" s="771"/>
      <c r="K219" s="185" t="e">
        <f t="shared" si="6"/>
        <v>#DIV/0!</v>
      </c>
      <c r="L219" s="185" t="b">
        <f t="shared" si="7"/>
        <v>0</v>
      </c>
      <c r="M219" s="778"/>
      <c r="N219" s="778"/>
    </row>
    <row r="220" spans="1:14" ht="15.75" customHeight="1" x14ac:dyDescent="0.25">
      <c r="A220" s="35" t="s">
        <v>347</v>
      </c>
      <c r="B220" s="602"/>
      <c r="C220" s="770" t="str">
        <f>IF(ISTEXT(Calculations!AB319),Calculations!AB319,Calculations!AB319*'Sample Setup'!D218)</f>
        <v xml:space="preserve"> </v>
      </c>
      <c r="D220" s="770"/>
      <c r="E220" s="738" t="str">
        <f>IF(ISTEXT(Calculations!AB319),"",Calculations!AD319&amp;"/"&amp;Calculations!Y319)</f>
        <v/>
      </c>
      <c r="F220" s="738"/>
      <c r="G220" s="603" t="str">
        <f>IF(OR(ISERROR(Calculations!AC319),ISTEXT(Calculations!AC319)),"",Calculations!AC319*'Sample Setup'!D218)</f>
        <v/>
      </c>
      <c r="H220" s="376" t="str">
        <f t="shared" si="8"/>
        <v/>
      </c>
      <c r="I220" s="771" t="str">
        <f>IF(OR(ISBLANK('Sample Setup'!C218),ISTEXT(Report!C220)),"",Report!C220/'Sample Setup'!C218)</f>
        <v/>
      </c>
      <c r="J220" s="771"/>
      <c r="K220" s="185" t="e">
        <f t="shared" si="6"/>
        <v>#DIV/0!</v>
      </c>
      <c r="L220" s="185" t="b">
        <f t="shared" si="7"/>
        <v>0</v>
      </c>
      <c r="M220" s="778"/>
      <c r="N220" s="778"/>
    </row>
    <row r="221" spans="1:14" ht="15.75" customHeight="1" x14ac:dyDescent="0.25">
      <c r="A221" s="35" t="s">
        <v>348</v>
      </c>
      <c r="B221" s="602"/>
      <c r="C221" s="770" t="str">
        <f>IF(ISTEXT(Calculations!AB320),Calculations!AB320,Calculations!AB320*'Sample Setup'!D219)</f>
        <v xml:space="preserve"> </v>
      </c>
      <c r="D221" s="770"/>
      <c r="E221" s="738" t="str">
        <f>IF(ISTEXT(Calculations!AB320),"",Calculations!AD320&amp;"/"&amp;Calculations!Y320)</f>
        <v/>
      </c>
      <c r="F221" s="738"/>
      <c r="G221" s="603" t="str">
        <f>IF(OR(ISERROR(Calculations!AC320),ISTEXT(Calculations!AC320)),"",Calculations!AC320*'Sample Setup'!D219)</f>
        <v/>
      </c>
      <c r="H221" s="376" t="str">
        <f t="shared" si="8"/>
        <v/>
      </c>
      <c r="I221" s="771" t="str">
        <f>IF(OR(ISBLANK('Sample Setup'!C219),ISTEXT(Report!C221)),"",Report!C221/'Sample Setup'!C219)</f>
        <v/>
      </c>
      <c r="J221" s="771"/>
      <c r="K221" s="185" t="e">
        <f t="shared" si="6"/>
        <v>#DIV/0!</v>
      </c>
      <c r="L221" s="185" t="b">
        <f t="shared" si="7"/>
        <v>0</v>
      </c>
      <c r="M221" s="778"/>
      <c r="N221" s="778"/>
    </row>
    <row r="222" spans="1:14" ht="15.75" customHeight="1" x14ac:dyDescent="0.25">
      <c r="A222" s="35" t="s">
        <v>349</v>
      </c>
      <c r="B222" s="602"/>
      <c r="C222" s="770" t="str">
        <f>IF(ISTEXT(Calculations!AB321),Calculations!AB321,Calculations!AB321*'Sample Setup'!D220)</f>
        <v xml:space="preserve"> </v>
      </c>
      <c r="D222" s="770"/>
      <c r="E222" s="738" t="str">
        <f>IF(ISTEXT(Calculations!AB321),"",Calculations!AD321&amp;"/"&amp;Calculations!Y321)</f>
        <v/>
      </c>
      <c r="F222" s="738"/>
      <c r="G222" s="603" t="str">
        <f>IF(OR(ISERROR(Calculations!AC321),ISTEXT(Calculations!AC321)),"",Calculations!AC321*'Sample Setup'!D220)</f>
        <v/>
      </c>
      <c r="H222" s="376" t="str">
        <f t="shared" si="8"/>
        <v/>
      </c>
      <c r="I222" s="771" t="str">
        <f>IF(OR(ISBLANK('Sample Setup'!C220),ISTEXT(Report!C222)),"",Report!C222/'Sample Setup'!C220)</f>
        <v/>
      </c>
      <c r="J222" s="771"/>
      <c r="K222" s="185" t="e">
        <f t="shared" si="6"/>
        <v>#DIV/0!</v>
      </c>
      <c r="L222" s="185" t="b">
        <f t="shared" si="7"/>
        <v>0</v>
      </c>
      <c r="M222" s="778"/>
      <c r="N222" s="778"/>
    </row>
    <row r="223" spans="1:14" ht="15.75" customHeight="1" x14ac:dyDescent="0.25">
      <c r="A223" s="35" t="s">
        <v>350</v>
      </c>
      <c r="B223" s="602"/>
      <c r="C223" s="770" t="str">
        <f>IF(ISTEXT(Calculations!AB322),Calculations!AB322,Calculations!AB322*'Sample Setup'!D221)</f>
        <v xml:space="preserve"> </v>
      </c>
      <c r="D223" s="770"/>
      <c r="E223" s="738" t="str">
        <f>IF(ISTEXT(Calculations!AB322),"",Calculations!AD322&amp;"/"&amp;Calculations!Y322)</f>
        <v/>
      </c>
      <c r="F223" s="738"/>
      <c r="G223" s="603" t="str">
        <f>IF(OR(ISERROR(Calculations!AC322),ISTEXT(Calculations!AC322)),"",Calculations!AC322*'Sample Setup'!D221)</f>
        <v/>
      </c>
      <c r="H223" s="376" t="str">
        <f t="shared" si="8"/>
        <v/>
      </c>
      <c r="I223" s="771" t="str">
        <f>IF(OR(ISBLANK('Sample Setup'!C221),ISTEXT(Report!C223)),"",Report!C223/'Sample Setup'!C221)</f>
        <v/>
      </c>
      <c r="J223" s="771"/>
      <c r="K223" s="185" t="e">
        <f t="shared" si="6"/>
        <v>#DIV/0!</v>
      </c>
      <c r="L223" s="185" t="b">
        <f t="shared" si="7"/>
        <v>0</v>
      </c>
      <c r="M223" s="778"/>
      <c r="N223" s="778"/>
    </row>
    <row r="224" spans="1:14" ht="15.75" customHeight="1" x14ac:dyDescent="0.25">
      <c r="A224" s="35" t="s">
        <v>351</v>
      </c>
      <c r="B224" s="602"/>
      <c r="C224" s="770" t="str">
        <f>IF(ISTEXT(Calculations!AB323),Calculations!AB323,Calculations!AB323*'Sample Setup'!D222)</f>
        <v xml:space="preserve"> </v>
      </c>
      <c r="D224" s="770"/>
      <c r="E224" s="738" t="str">
        <f>IF(ISTEXT(Calculations!AB323),"",Calculations!AD323&amp;"/"&amp;Calculations!Y323)</f>
        <v/>
      </c>
      <c r="F224" s="738"/>
      <c r="G224" s="603" t="str">
        <f>IF(OR(ISERROR(Calculations!AC323),ISTEXT(Calculations!AC323)),"",Calculations!AC323*'Sample Setup'!D222)</f>
        <v/>
      </c>
      <c r="H224" s="376" t="str">
        <f t="shared" si="8"/>
        <v/>
      </c>
      <c r="I224" s="771" t="str">
        <f>IF(OR(ISBLANK('Sample Setup'!C222),ISTEXT(Report!C224)),"",Report!C224/'Sample Setup'!C222)</f>
        <v/>
      </c>
      <c r="J224" s="771"/>
      <c r="K224" s="185" t="e">
        <f t="shared" si="6"/>
        <v>#DIV/0!</v>
      </c>
      <c r="L224" s="185" t="b">
        <f t="shared" si="7"/>
        <v>0</v>
      </c>
      <c r="M224" s="778"/>
      <c r="N224" s="778"/>
    </row>
    <row r="225" spans="1:14" ht="15.75" customHeight="1" x14ac:dyDescent="0.25">
      <c r="A225" s="35" t="s">
        <v>352</v>
      </c>
      <c r="B225" s="602"/>
      <c r="C225" s="770" t="str">
        <f>IF(ISTEXT(Calculations!AB324),Calculations!AB324,Calculations!AB324*'Sample Setup'!D223)</f>
        <v xml:space="preserve"> </v>
      </c>
      <c r="D225" s="770"/>
      <c r="E225" s="738" t="str">
        <f>IF(ISTEXT(Calculations!AB324),"",Calculations!AD324&amp;"/"&amp;Calculations!Y324)</f>
        <v/>
      </c>
      <c r="F225" s="738"/>
      <c r="G225" s="603" t="str">
        <f>IF(OR(ISERROR(Calculations!AC324),ISTEXT(Calculations!AC324)),"",Calculations!AC324*'Sample Setup'!D223)</f>
        <v/>
      </c>
      <c r="H225" s="376" t="str">
        <f t="shared" si="8"/>
        <v/>
      </c>
      <c r="I225" s="771" t="str">
        <f>IF(OR(ISBLANK('Sample Setup'!C223),ISTEXT(Report!C225)),"",Report!C225/'Sample Setup'!C223)</f>
        <v/>
      </c>
      <c r="J225" s="771"/>
      <c r="K225" s="185" t="e">
        <f t="shared" si="6"/>
        <v>#DIV/0!</v>
      </c>
      <c r="L225" s="185" t="b">
        <f t="shared" si="7"/>
        <v>0</v>
      </c>
      <c r="M225" s="778"/>
      <c r="N225" s="778"/>
    </row>
    <row r="226" spans="1:14" ht="15.75" customHeight="1" x14ac:dyDescent="0.25">
      <c r="A226" s="35" t="s">
        <v>353</v>
      </c>
      <c r="B226" s="602"/>
      <c r="C226" s="770" t="str">
        <f>IF(ISTEXT(Calculations!AB325),Calculations!AB325,Calculations!AB325*'Sample Setup'!D224)</f>
        <v xml:space="preserve"> </v>
      </c>
      <c r="D226" s="770"/>
      <c r="E226" s="738" t="str">
        <f>IF(ISTEXT(Calculations!AB325),"",Calculations!AD325&amp;"/"&amp;Calculations!Y325)</f>
        <v/>
      </c>
      <c r="F226" s="738"/>
      <c r="G226" s="603" t="str">
        <f>IF(OR(ISERROR(Calculations!AC325),ISTEXT(Calculations!AC325)),"",Calculations!AC325*'Sample Setup'!D224)</f>
        <v/>
      </c>
      <c r="H226" s="376" t="str">
        <f t="shared" si="8"/>
        <v/>
      </c>
      <c r="I226" s="771" t="str">
        <f>IF(OR(ISBLANK('Sample Setup'!C224),ISTEXT(Report!C226)),"",Report!C226/'Sample Setup'!C224)</f>
        <v/>
      </c>
      <c r="J226" s="771"/>
      <c r="K226" s="185" t="e">
        <f t="shared" si="6"/>
        <v>#DIV/0!</v>
      </c>
      <c r="L226" s="185" t="b">
        <f t="shared" si="7"/>
        <v>0</v>
      </c>
      <c r="M226" s="778"/>
      <c r="N226" s="778"/>
    </row>
    <row r="227" spans="1:14" ht="15.75" customHeight="1" x14ac:dyDescent="0.25">
      <c r="A227" s="35" t="s">
        <v>354</v>
      </c>
      <c r="B227" s="602"/>
      <c r="C227" s="770" t="str">
        <f>IF(ISTEXT(Calculations!AB326),Calculations!AB326,Calculations!AB326*'Sample Setup'!D225)</f>
        <v xml:space="preserve"> </v>
      </c>
      <c r="D227" s="770"/>
      <c r="E227" s="738" t="str">
        <f>IF(ISTEXT(Calculations!AB326),"",Calculations!AD326&amp;"/"&amp;Calculations!Y326)</f>
        <v/>
      </c>
      <c r="F227" s="738"/>
      <c r="G227" s="603" t="str">
        <f>IF(OR(ISERROR(Calculations!AC326),ISTEXT(Calculations!AC326)),"",Calculations!AC326*'Sample Setup'!D225)</f>
        <v/>
      </c>
      <c r="H227" s="376" t="str">
        <f t="shared" si="8"/>
        <v/>
      </c>
      <c r="I227" s="771" t="str">
        <f>IF(OR(ISBLANK('Sample Setup'!C225),ISTEXT(Report!C227)),"",Report!C227/'Sample Setup'!C225)</f>
        <v/>
      </c>
      <c r="J227" s="771"/>
      <c r="K227" s="185" t="e">
        <f t="shared" si="6"/>
        <v>#DIV/0!</v>
      </c>
      <c r="L227" s="185" t="b">
        <f t="shared" si="7"/>
        <v>0</v>
      </c>
      <c r="M227" s="778"/>
      <c r="N227" s="778"/>
    </row>
    <row r="228" spans="1:14" ht="15.75" customHeight="1" x14ac:dyDescent="0.25">
      <c r="A228" s="35" t="s">
        <v>355</v>
      </c>
      <c r="B228" s="602"/>
      <c r="C228" s="770" t="str">
        <f>IF(ISTEXT(Calculations!AB327),Calculations!AB327,Calculations!AB327*'Sample Setup'!D226)</f>
        <v xml:space="preserve"> </v>
      </c>
      <c r="D228" s="770"/>
      <c r="E228" s="738" t="str">
        <f>IF(ISTEXT(Calculations!AB327),"",Calculations!AD327&amp;"/"&amp;Calculations!Y327)</f>
        <v/>
      </c>
      <c r="F228" s="738"/>
      <c r="G228" s="603" t="str">
        <f>IF(OR(ISERROR(Calculations!AC327),ISTEXT(Calculations!AC327)),"",Calculations!AC327*'Sample Setup'!D226)</f>
        <v/>
      </c>
      <c r="H228" s="376" t="str">
        <f t="shared" si="8"/>
        <v/>
      </c>
      <c r="I228" s="771" t="str">
        <f>IF(OR(ISBLANK('Sample Setup'!C226),ISTEXT(Report!C228)),"",Report!C228/'Sample Setup'!C226)</f>
        <v/>
      </c>
      <c r="J228" s="771"/>
      <c r="K228" s="185" t="e">
        <f t="shared" si="6"/>
        <v>#DIV/0!</v>
      </c>
      <c r="L228" s="185" t="b">
        <f t="shared" si="7"/>
        <v>0</v>
      </c>
      <c r="M228" s="778"/>
      <c r="N228" s="778"/>
    </row>
    <row r="229" spans="1:14" ht="15.75" customHeight="1" x14ac:dyDescent="0.25">
      <c r="A229" s="35" t="s">
        <v>356</v>
      </c>
      <c r="B229" s="602"/>
      <c r="C229" s="770" t="str">
        <f>IF(ISTEXT(Calculations!AB328),Calculations!AB328,Calculations!AB328*'Sample Setup'!D227)</f>
        <v xml:space="preserve"> </v>
      </c>
      <c r="D229" s="770"/>
      <c r="E229" s="738" t="str">
        <f>IF(ISTEXT(Calculations!AB328),"",Calculations!AD328&amp;"/"&amp;Calculations!Y328)</f>
        <v/>
      </c>
      <c r="F229" s="738"/>
      <c r="G229" s="603" t="str">
        <f>IF(OR(ISERROR(Calculations!AC328),ISTEXT(Calculations!AC328)),"",Calculations!AC328*'Sample Setup'!D227)</f>
        <v/>
      </c>
      <c r="H229" s="376" t="str">
        <f t="shared" si="8"/>
        <v/>
      </c>
      <c r="I229" s="771" t="str">
        <f>IF(OR(ISBLANK('Sample Setup'!C227),ISTEXT(Report!C229)),"",Report!C229/'Sample Setup'!C227)</f>
        <v/>
      </c>
      <c r="J229" s="771"/>
      <c r="K229" s="185" t="e">
        <f t="shared" si="6"/>
        <v>#DIV/0!</v>
      </c>
      <c r="L229" s="185" t="b">
        <f t="shared" si="7"/>
        <v>0</v>
      </c>
      <c r="M229" s="778"/>
      <c r="N229" s="778"/>
    </row>
    <row r="230" spans="1:14" ht="15.75" customHeight="1" x14ac:dyDescent="0.25">
      <c r="A230" s="35" t="s">
        <v>357</v>
      </c>
      <c r="B230" s="602"/>
      <c r="C230" s="770" t="str">
        <f>IF(ISTEXT(Calculations!AB329),Calculations!AB329,Calculations!AB329*'Sample Setup'!D228)</f>
        <v xml:space="preserve"> </v>
      </c>
      <c r="D230" s="770"/>
      <c r="E230" s="738" t="str">
        <f>IF(ISTEXT(Calculations!AB329),"",Calculations!AD329&amp;"/"&amp;Calculations!Y329)</f>
        <v/>
      </c>
      <c r="F230" s="738"/>
      <c r="G230" s="603" t="str">
        <f>IF(OR(ISERROR(Calculations!AC329),ISTEXT(Calculations!AC329)),"",Calculations!AC329*'Sample Setup'!D228)</f>
        <v/>
      </c>
      <c r="H230" s="376" t="str">
        <f t="shared" si="8"/>
        <v/>
      </c>
      <c r="I230" s="771" t="str">
        <f>IF(OR(ISBLANK('Sample Setup'!C228),ISTEXT(Report!C230)),"",Report!C230/'Sample Setup'!C228)</f>
        <v/>
      </c>
      <c r="J230" s="771"/>
      <c r="K230" s="185" t="e">
        <f t="shared" si="6"/>
        <v>#DIV/0!</v>
      </c>
      <c r="L230" s="185" t="b">
        <f t="shared" si="7"/>
        <v>0</v>
      </c>
      <c r="M230" s="778"/>
      <c r="N230" s="778"/>
    </row>
    <row r="231" spans="1:14" ht="15.75" customHeight="1" x14ac:dyDescent="0.25">
      <c r="A231" s="35" t="s">
        <v>358</v>
      </c>
      <c r="B231" s="602"/>
      <c r="C231" s="770" t="str">
        <f>IF(ISTEXT(Calculations!AB330),Calculations!AB330,Calculations!AB330*'Sample Setup'!D229)</f>
        <v xml:space="preserve"> </v>
      </c>
      <c r="D231" s="770"/>
      <c r="E231" s="738" t="str">
        <f>IF(ISTEXT(Calculations!AB330),"",Calculations!AD330&amp;"/"&amp;Calculations!Y330)</f>
        <v/>
      </c>
      <c r="F231" s="738"/>
      <c r="G231" s="603" t="str">
        <f>IF(OR(ISERROR(Calculations!AC330),ISTEXT(Calculations!AC330)),"",Calculations!AC330*'Sample Setup'!D229)</f>
        <v/>
      </c>
      <c r="H231" s="376" t="str">
        <f t="shared" si="8"/>
        <v/>
      </c>
      <c r="I231" s="771" t="str">
        <f>IF(OR(ISBLANK('Sample Setup'!C229),ISTEXT(Report!C231)),"",Report!C231/'Sample Setup'!C229)</f>
        <v/>
      </c>
      <c r="J231" s="771"/>
      <c r="K231" s="185" t="e">
        <f t="shared" si="6"/>
        <v>#DIV/0!</v>
      </c>
      <c r="L231" s="185" t="b">
        <f t="shared" si="7"/>
        <v>0</v>
      </c>
      <c r="M231" s="778"/>
      <c r="N231" s="778"/>
    </row>
    <row r="232" spans="1:14" ht="15.75" customHeight="1" x14ac:dyDescent="0.25">
      <c r="A232" s="35" t="s">
        <v>359</v>
      </c>
      <c r="B232" s="602"/>
      <c r="C232" s="770" t="str">
        <f>IF(ISTEXT(Calculations!AB331),Calculations!AB331,Calculations!AB331*'Sample Setup'!D230)</f>
        <v xml:space="preserve"> </v>
      </c>
      <c r="D232" s="770"/>
      <c r="E232" s="738" t="str">
        <f>IF(ISTEXT(Calculations!AB331),"",Calculations!AD331&amp;"/"&amp;Calculations!Y331)</f>
        <v/>
      </c>
      <c r="F232" s="738"/>
      <c r="G232" s="603" t="str">
        <f>IF(OR(ISERROR(Calculations!AC331),ISTEXT(Calculations!AC331)),"",Calculations!AC331*'Sample Setup'!D230)</f>
        <v/>
      </c>
      <c r="H232" s="376" t="str">
        <f t="shared" si="8"/>
        <v/>
      </c>
      <c r="I232" s="771" t="str">
        <f>IF(OR(ISBLANK('Sample Setup'!C230),ISTEXT(Report!C232)),"",Report!C232/'Sample Setup'!C230)</f>
        <v/>
      </c>
      <c r="J232" s="771"/>
      <c r="K232" s="185" t="e">
        <f t="shared" si="6"/>
        <v>#DIV/0!</v>
      </c>
      <c r="L232" s="185" t="b">
        <f t="shared" si="7"/>
        <v>0</v>
      </c>
      <c r="M232" s="778"/>
      <c r="N232" s="778"/>
    </row>
    <row r="233" spans="1:14" ht="15.75" customHeight="1" x14ac:dyDescent="0.25">
      <c r="A233" s="35" t="s">
        <v>360</v>
      </c>
      <c r="B233" s="602"/>
      <c r="C233" s="770" t="str">
        <f>IF(ISTEXT(Calculations!AB332),Calculations!AB332,Calculations!AB332*'Sample Setup'!D231)</f>
        <v xml:space="preserve"> </v>
      </c>
      <c r="D233" s="770"/>
      <c r="E233" s="738" t="str">
        <f>IF(ISTEXT(Calculations!AB332),"",Calculations!AD332&amp;"/"&amp;Calculations!Y332)</f>
        <v/>
      </c>
      <c r="F233" s="738"/>
      <c r="G233" s="603" t="str">
        <f>IF(OR(ISERROR(Calculations!AC332),ISTEXT(Calculations!AC332)),"",Calculations!AC332*'Sample Setup'!D231)</f>
        <v/>
      </c>
      <c r="H233" s="376" t="str">
        <f t="shared" si="8"/>
        <v/>
      </c>
      <c r="I233" s="771" t="str">
        <f>IF(OR(ISBLANK('Sample Setup'!C231),ISTEXT(Report!C233)),"",Report!C233/'Sample Setup'!C231)</f>
        <v/>
      </c>
      <c r="J233" s="771"/>
      <c r="K233" s="185" t="e">
        <f t="shared" si="6"/>
        <v>#DIV/0!</v>
      </c>
      <c r="L233" s="185" t="b">
        <f t="shared" si="7"/>
        <v>0</v>
      </c>
      <c r="M233" s="778"/>
      <c r="N233" s="778"/>
    </row>
    <row r="234" spans="1:14" ht="15.75" customHeight="1" x14ac:dyDescent="0.25">
      <c r="A234" s="35" t="s">
        <v>361</v>
      </c>
      <c r="B234" s="602"/>
      <c r="C234" s="770" t="str">
        <f>IF(ISTEXT(Calculations!AB333),Calculations!AB333,Calculations!AB333*'Sample Setup'!D232)</f>
        <v xml:space="preserve"> </v>
      </c>
      <c r="D234" s="770"/>
      <c r="E234" s="738" t="str">
        <f>IF(ISTEXT(Calculations!AB333),"",Calculations!AD333&amp;"/"&amp;Calculations!Y333)</f>
        <v/>
      </c>
      <c r="F234" s="738"/>
      <c r="G234" s="603" t="str">
        <f>IF(OR(ISERROR(Calculations!AC333),ISTEXT(Calculations!AC333)),"",Calculations!AC333*'Sample Setup'!D232)</f>
        <v/>
      </c>
      <c r="H234" s="376" t="str">
        <f t="shared" si="8"/>
        <v/>
      </c>
      <c r="I234" s="771" t="str">
        <f>IF(OR(ISBLANK('Sample Setup'!C232),ISTEXT(Report!C234)),"",Report!C234/'Sample Setup'!C232)</f>
        <v/>
      </c>
      <c r="J234" s="771"/>
      <c r="K234" s="185" t="e">
        <f t="shared" ref="K234:K240" si="9">AVERAGEIFS($B$15:$AW$22,$B$3:$AW$10,$A234)</f>
        <v>#DIV/0!</v>
      </c>
      <c r="L234" s="185" t="b">
        <f t="shared" ref="L234:L240" si="10">IF(ISNUMBER(C234),C234)</f>
        <v>0</v>
      </c>
      <c r="M234" s="778"/>
      <c r="N234" s="778"/>
    </row>
    <row r="235" spans="1:14" ht="15.75" customHeight="1" x14ac:dyDescent="0.25">
      <c r="A235" s="35" t="s">
        <v>362</v>
      </c>
      <c r="B235" s="602"/>
      <c r="C235" s="770" t="str">
        <f>IF(ISTEXT(Calculations!AB334),Calculations!AB334,Calculations!AB334*'Sample Setup'!D233)</f>
        <v xml:space="preserve"> </v>
      </c>
      <c r="D235" s="770"/>
      <c r="E235" s="738" t="str">
        <f>IF(ISTEXT(Calculations!AB334),"",Calculations!AD334&amp;"/"&amp;Calculations!Y334)</f>
        <v/>
      </c>
      <c r="F235" s="738"/>
      <c r="G235" s="603" t="str">
        <f>IF(OR(ISERROR(Calculations!AC334),ISTEXT(Calculations!AC334)),"",Calculations!AC334*'Sample Setup'!D233)</f>
        <v/>
      </c>
      <c r="H235" s="376" t="str">
        <f t="shared" si="8"/>
        <v/>
      </c>
      <c r="I235" s="771" t="str">
        <f>IF(OR(ISBLANK('Sample Setup'!C233),ISTEXT(Report!C235)),"",Report!C235/'Sample Setup'!C233)</f>
        <v/>
      </c>
      <c r="J235" s="771"/>
      <c r="K235" s="185" t="e">
        <f t="shared" si="9"/>
        <v>#DIV/0!</v>
      </c>
      <c r="L235" s="185" t="b">
        <f t="shared" si="10"/>
        <v>0</v>
      </c>
      <c r="M235" s="778"/>
      <c r="N235" s="778"/>
    </row>
    <row r="236" spans="1:14" ht="15.75" customHeight="1" x14ac:dyDescent="0.25">
      <c r="A236" s="35" t="s">
        <v>363</v>
      </c>
      <c r="B236" s="602"/>
      <c r="C236" s="770" t="str">
        <f>IF(ISTEXT(Calculations!AB335),Calculations!AB335,Calculations!AB335*'Sample Setup'!D234)</f>
        <v xml:space="preserve"> </v>
      </c>
      <c r="D236" s="770"/>
      <c r="E236" s="738" t="str">
        <f>IF(ISTEXT(Calculations!AB335),"",Calculations!AD335&amp;"/"&amp;Calculations!Y335)</f>
        <v/>
      </c>
      <c r="F236" s="738"/>
      <c r="G236" s="603" t="str">
        <f>IF(OR(ISERROR(Calculations!AC335),ISTEXT(Calculations!AC335)),"",Calculations!AC335*'Sample Setup'!D234)</f>
        <v/>
      </c>
      <c r="H236" s="376" t="str">
        <f t="shared" si="8"/>
        <v/>
      </c>
      <c r="I236" s="771" t="str">
        <f>IF(OR(ISBLANK('Sample Setup'!C234),ISTEXT(Report!C236)),"",Report!C236/'Sample Setup'!C234)</f>
        <v/>
      </c>
      <c r="J236" s="771"/>
      <c r="K236" s="185" t="e">
        <f t="shared" si="9"/>
        <v>#DIV/0!</v>
      </c>
      <c r="L236" s="185" t="b">
        <f t="shared" si="10"/>
        <v>0</v>
      </c>
      <c r="M236" s="778"/>
      <c r="N236" s="778"/>
    </row>
    <row r="237" spans="1:14" ht="15.75" customHeight="1" x14ac:dyDescent="0.25">
      <c r="A237" s="35" t="s">
        <v>364</v>
      </c>
      <c r="B237" s="602"/>
      <c r="C237" s="770" t="str">
        <f>IF(ISTEXT(Calculations!AB336),Calculations!AB336,Calculations!AB336*'Sample Setup'!D235)</f>
        <v xml:space="preserve"> </v>
      </c>
      <c r="D237" s="770"/>
      <c r="E237" s="738" t="str">
        <f>IF(ISTEXT(Calculations!AB336),"",Calculations!AD336&amp;"/"&amp;Calculations!Y336)</f>
        <v/>
      </c>
      <c r="F237" s="738"/>
      <c r="G237" s="603" t="str">
        <f>IF(OR(ISERROR(Calculations!AC336),ISTEXT(Calculations!AC336)),"",Calculations!AC336*'Sample Setup'!D235)</f>
        <v/>
      </c>
      <c r="H237" s="376" t="str">
        <f t="shared" si="8"/>
        <v/>
      </c>
      <c r="I237" s="771" t="str">
        <f>IF(OR(ISBLANK('Sample Setup'!C235),ISTEXT(Report!C237)),"",Report!C237/'Sample Setup'!C235)</f>
        <v/>
      </c>
      <c r="J237" s="771"/>
      <c r="K237" s="185" t="e">
        <f t="shared" si="9"/>
        <v>#DIV/0!</v>
      </c>
      <c r="L237" s="185" t="b">
        <f t="shared" si="10"/>
        <v>0</v>
      </c>
      <c r="M237" s="778"/>
      <c r="N237" s="778"/>
    </row>
    <row r="238" spans="1:14" ht="15.75" customHeight="1" x14ac:dyDescent="0.25">
      <c r="A238" s="35" t="s">
        <v>365</v>
      </c>
      <c r="B238" s="602"/>
      <c r="C238" s="770" t="str">
        <f>IF(ISTEXT(Calculations!AB337),Calculations!AB337,Calculations!AB337*'Sample Setup'!D236)</f>
        <v xml:space="preserve"> </v>
      </c>
      <c r="D238" s="770"/>
      <c r="E238" s="738" t="str">
        <f>IF(ISTEXT(Calculations!AB337),"",Calculations!AD337&amp;"/"&amp;Calculations!Y337)</f>
        <v/>
      </c>
      <c r="F238" s="738"/>
      <c r="G238" s="603" t="str">
        <f>IF(OR(ISERROR(Calculations!AC337),ISTEXT(Calculations!AC337)),"",Calculations!AC337*'Sample Setup'!D236)</f>
        <v/>
      </c>
      <c r="H238" s="376" t="str">
        <f t="shared" si="8"/>
        <v/>
      </c>
      <c r="I238" s="771" t="str">
        <f>IF(OR(ISBLANK('Sample Setup'!C236),ISTEXT(Report!C238)),"",Report!C238/'Sample Setup'!C236)</f>
        <v/>
      </c>
      <c r="J238" s="771"/>
      <c r="K238" s="185" t="e">
        <f t="shared" si="9"/>
        <v>#DIV/0!</v>
      </c>
      <c r="L238" s="185" t="b">
        <f t="shared" si="10"/>
        <v>0</v>
      </c>
      <c r="M238" s="778"/>
      <c r="N238" s="778"/>
    </row>
    <row r="239" spans="1:14" ht="15.75" customHeight="1" x14ac:dyDescent="0.25">
      <c r="A239" s="35" t="s">
        <v>366</v>
      </c>
      <c r="B239" s="602"/>
      <c r="C239" s="770" t="str">
        <f>IF(ISTEXT(Calculations!AB338),Calculations!AB338,Calculations!AB338*'Sample Setup'!D237)</f>
        <v xml:space="preserve"> </v>
      </c>
      <c r="D239" s="770"/>
      <c r="E239" s="738" t="str">
        <f>IF(ISTEXT(Calculations!AB338),"",Calculations!AD338&amp;"/"&amp;Calculations!Y338)</f>
        <v/>
      </c>
      <c r="F239" s="738"/>
      <c r="G239" s="603" t="str">
        <f>IF(OR(ISERROR(Calculations!AC338),ISTEXT(Calculations!AC338)),"",Calculations!AC338*'Sample Setup'!D237)</f>
        <v/>
      </c>
      <c r="H239" s="376" t="str">
        <f t="shared" si="8"/>
        <v/>
      </c>
      <c r="I239" s="771" t="str">
        <f>IF(OR(ISBLANK('Sample Setup'!C237),ISTEXT(Report!C239)),"",Report!C239/'Sample Setup'!C237)</f>
        <v/>
      </c>
      <c r="J239" s="771"/>
      <c r="K239" s="185" t="e">
        <f t="shared" si="9"/>
        <v>#DIV/0!</v>
      </c>
      <c r="L239" s="185" t="b">
        <f t="shared" si="10"/>
        <v>0</v>
      </c>
      <c r="M239" s="778"/>
      <c r="N239" s="778"/>
    </row>
    <row r="240" spans="1:14" ht="15.75" customHeight="1" x14ac:dyDescent="0.25">
      <c r="A240" s="35" t="s">
        <v>367</v>
      </c>
      <c r="B240" s="602"/>
      <c r="C240" s="770" t="str">
        <f>IF(ISTEXT(Calculations!AB339),Calculations!AB339,Calculations!AB339*'Sample Setup'!D238)</f>
        <v xml:space="preserve"> </v>
      </c>
      <c r="D240" s="770"/>
      <c r="E240" s="738" t="str">
        <f>IF(ISTEXT(Calculations!AB339),"",Calculations!AD339&amp;"/"&amp;Calculations!Y339)</f>
        <v/>
      </c>
      <c r="F240" s="738"/>
      <c r="G240" s="603" t="str">
        <f>IF(OR(ISERROR(Calculations!AC339),ISTEXT(Calculations!AC339)),"",Calculations!AC339*'Sample Setup'!D238)</f>
        <v/>
      </c>
      <c r="H240" s="376" t="str">
        <f t="shared" si="8"/>
        <v/>
      </c>
      <c r="I240" s="771" t="str">
        <f>IF(OR(ISBLANK('Sample Setup'!C238),ISTEXT(Report!C240)),"",Report!C240/'Sample Setup'!C238)</f>
        <v/>
      </c>
      <c r="J240" s="771"/>
      <c r="K240" s="185" t="e">
        <f t="shared" si="9"/>
        <v>#DIV/0!</v>
      </c>
      <c r="L240" s="185" t="b">
        <f t="shared" si="10"/>
        <v>0</v>
      </c>
      <c r="M240" s="778"/>
      <c r="N240" s="778"/>
    </row>
  </sheetData>
  <mergeCells count="820">
    <mergeCell ref="AL13:AW13"/>
    <mergeCell ref="A12:AW12"/>
    <mergeCell ref="AL25:AW25"/>
    <mergeCell ref="M236:N236"/>
    <mergeCell ref="M237:N237"/>
    <mergeCell ref="M238:N238"/>
    <mergeCell ref="M239:N239"/>
    <mergeCell ref="M240:N240"/>
    <mergeCell ref="M225:N225"/>
    <mergeCell ref="M226:N226"/>
    <mergeCell ref="M227:N227"/>
    <mergeCell ref="M228:N228"/>
    <mergeCell ref="M229:N229"/>
    <mergeCell ref="M230:N230"/>
    <mergeCell ref="M231:N231"/>
    <mergeCell ref="M232:N232"/>
    <mergeCell ref="M233:N233"/>
    <mergeCell ref="M218:N218"/>
    <mergeCell ref="M219:N219"/>
    <mergeCell ref="M220:N220"/>
    <mergeCell ref="M221:N221"/>
    <mergeCell ref="M222:N222"/>
    <mergeCell ref="M223:N223"/>
    <mergeCell ref="M224:N224"/>
    <mergeCell ref="M234:N234"/>
    <mergeCell ref="M235:N235"/>
    <mergeCell ref="M209:N209"/>
    <mergeCell ref="M210:N210"/>
    <mergeCell ref="M211:N211"/>
    <mergeCell ref="M212:N212"/>
    <mergeCell ref="M213:N213"/>
    <mergeCell ref="M214:N214"/>
    <mergeCell ref="M215:N215"/>
    <mergeCell ref="M216:N216"/>
    <mergeCell ref="M217:N217"/>
    <mergeCell ref="M200:N200"/>
    <mergeCell ref="M201:N201"/>
    <mergeCell ref="M202:N202"/>
    <mergeCell ref="M203:N203"/>
    <mergeCell ref="M204:N204"/>
    <mergeCell ref="M205:N205"/>
    <mergeCell ref="M206:N206"/>
    <mergeCell ref="M207:N207"/>
    <mergeCell ref="M208:N208"/>
    <mergeCell ref="M191:N191"/>
    <mergeCell ref="M192:N192"/>
    <mergeCell ref="M193:N193"/>
    <mergeCell ref="M194:N194"/>
    <mergeCell ref="M195:N195"/>
    <mergeCell ref="M196:N196"/>
    <mergeCell ref="M197:N197"/>
    <mergeCell ref="M198:N198"/>
    <mergeCell ref="M199:N199"/>
    <mergeCell ref="M182:N182"/>
    <mergeCell ref="M183:N183"/>
    <mergeCell ref="M184:N184"/>
    <mergeCell ref="M185:N185"/>
    <mergeCell ref="M186:N186"/>
    <mergeCell ref="M187:N187"/>
    <mergeCell ref="M188:N188"/>
    <mergeCell ref="M189:N189"/>
    <mergeCell ref="M190:N190"/>
    <mergeCell ref="M173:N173"/>
    <mergeCell ref="M174:N174"/>
    <mergeCell ref="M175:N175"/>
    <mergeCell ref="M176:N176"/>
    <mergeCell ref="M177:N177"/>
    <mergeCell ref="M178:N178"/>
    <mergeCell ref="M179:N179"/>
    <mergeCell ref="M180:N180"/>
    <mergeCell ref="M181:N181"/>
    <mergeCell ref="M164:N164"/>
    <mergeCell ref="M165:N165"/>
    <mergeCell ref="M166:N166"/>
    <mergeCell ref="M167:N167"/>
    <mergeCell ref="M168:N168"/>
    <mergeCell ref="M169:N169"/>
    <mergeCell ref="M170:N170"/>
    <mergeCell ref="M171:N171"/>
    <mergeCell ref="M172:N172"/>
    <mergeCell ref="M155:N155"/>
    <mergeCell ref="M156:N156"/>
    <mergeCell ref="M157:N157"/>
    <mergeCell ref="M158:N158"/>
    <mergeCell ref="M159:N159"/>
    <mergeCell ref="M160:N160"/>
    <mergeCell ref="M161:N161"/>
    <mergeCell ref="M162:N162"/>
    <mergeCell ref="M163:N163"/>
    <mergeCell ref="M146:N146"/>
    <mergeCell ref="M147:N147"/>
    <mergeCell ref="M148:N148"/>
    <mergeCell ref="M149:N149"/>
    <mergeCell ref="M150:N150"/>
    <mergeCell ref="M151:N151"/>
    <mergeCell ref="M152:N152"/>
    <mergeCell ref="M153:N153"/>
    <mergeCell ref="M154:N154"/>
    <mergeCell ref="M137:N137"/>
    <mergeCell ref="M138:N138"/>
    <mergeCell ref="M139:N139"/>
    <mergeCell ref="M140:N140"/>
    <mergeCell ref="M141:N141"/>
    <mergeCell ref="M142:N142"/>
    <mergeCell ref="M143:N143"/>
    <mergeCell ref="M144:N144"/>
    <mergeCell ref="M145:N145"/>
    <mergeCell ref="M128:N128"/>
    <mergeCell ref="M129:N129"/>
    <mergeCell ref="M130:N130"/>
    <mergeCell ref="M131:N131"/>
    <mergeCell ref="M132:N132"/>
    <mergeCell ref="M133:N133"/>
    <mergeCell ref="M134:N134"/>
    <mergeCell ref="M135:N135"/>
    <mergeCell ref="M136:N136"/>
    <mergeCell ref="M119:N119"/>
    <mergeCell ref="M120:N120"/>
    <mergeCell ref="M121:N121"/>
    <mergeCell ref="M122:N122"/>
    <mergeCell ref="M123:N123"/>
    <mergeCell ref="M124:N124"/>
    <mergeCell ref="M125:N125"/>
    <mergeCell ref="M126:N126"/>
    <mergeCell ref="M127:N127"/>
    <mergeCell ref="M110:N110"/>
    <mergeCell ref="M111:N111"/>
    <mergeCell ref="M112:N112"/>
    <mergeCell ref="M113:N113"/>
    <mergeCell ref="M114:N114"/>
    <mergeCell ref="M115:N115"/>
    <mergeCell ref="M116:N116"/>
    <mergeCell ref="M117:N117"/>
    <mergeCell ref="M118:N118"/>
    <mergeCell ref="M101:N101"/>
    <mergeCell ref="M102:N102"/>
    <mergeCell ref="M103:N103"/>
    <mergeCell ref="M104:N104"/>
    <mergeCell ref="M105:N105"/>
    <mergeCell ref="M106:N106"/>
    <mergeCell ref="M107:N107"/>
    <mergeCell ref="M108:N108"/>
    <mergeCell ref="M109:N109"/>
    <mergeCell ref="M92:N92"/>
    <mergeCell ref="M93:N93"/>
    <mergeCell ref="M94:N94"/>
    <mergeCell ref="M95:N95"/>
    <mergeCell ref="M96:N96"/>
    <mergeCell ref="M97:N97"/>
    <mergeCell ref="M98:N98"/>
    <mergeCell ref="M99:N99"/>
    <mergeCell ref="M100:N100"/>
    <mergeCell ref="M83:N83"/>
    <mergeCell ref="M84:N84"/>
    <mergeCell ref="M85:N85"/>
    <mergeCell ref="M86:N86"/>
    <mergeCell ref="M87:N87"/>
    <mergeCell ref="M88:N88"/>
    <mergeCell ref="M89:N89"/>
    <mergeCell ref="M90:N90"/>
    <mergeCell ref="M91:N91"/>
    <mergeCell ref="M74:N74"/>
    <mergeCell ref="M75:N75"/>
    <mergeCell ref="M76:N76"/>
    <mergeCell ref="M77:N77"/>
    <mergeCell ref="M78:N78"/>
    <mergeCell ref="M79:N79"/>
    <mergeCell ref="M80:N80"/>
    <mergeCell ref="M81:N81"/>
    <mergeCell ref="M82:N82"/>
    <mergeCell ref="M65:N65"/>
    <mergeCell ref="M66:N66"/>
    <mergeCell ref="M67:N67"/>
    <mergeCell ref="M68:N68"/>
    <mergeCell ref="M69:N69"/>
    <mergeCell ref="M70:N70"/>
    <mergeCell ref="M71:N71"/>
    <mergeCell ref="M72:N72"/>
    <mergeCell ref="M73:N73"/>
    <mergeCell ref="M56:N56"/>
    <mergeCell ref="M57:N57"/>
    <mergeCell ref="M58:N58"/>
    <mergeCell ref="M59:N59"/>
    <mergeCell ref="M60:N60"/>
    <mergeCell ref="M61:N61"/>
    <mergeCell ref="M62:N62"/>
    <mergeCell ref="M63:N63"/>
    <mergeCell ref="M64:N64"/>
    <mergeCell ref="M47:N47"/>
    <mergeCell ref="M48:N48"/>
    <mergeCell ref="M49:N49"/>
    <mergeCell ref="M50:N50"/>
    <mergeCell ref="M51:N51"/>
    <mergeCell ref="M52:N52"/>
    <mergeCell ref="M53:N53"/>
    <mergeCell ref="M54:N54"/>
    <mergeCell ref="M55:N55"/>
    <mergeCell ref="C44:D44"/>
    <mergeCell ref="E46:F46"/>
    <mergeCell ref="Z13:AK13"/>
    <mergeCell ref="A39:N39"/>
    <mergeCell ref="B13:M13"/>
    <mergeCell ref="N13:Y13"/>
    <mergeCell ref="Q40:Y40"/>
    <mergeCell ref="R41:Y41"/>
    <mergeCell ref="R42:Y42"/>
    <mergeCell ref="I44:J44"/>
    <mergeCell ref="E44:F44"/>
    <mergeCell ref="M40:N40"/>
    <mergeCell ref="M41:N41"/>
    <mergeCell ref="M42:N42"/>
    <mergeCell ref="M43:N43"/>
    <mergeCell ref="M44:N44"/>
    <mergeCell ref="M45:N45"/>
    <mergeCell ref="M46:N46"/>
    <mergeCell ref="I43:J43"/>
    <mergeCell ref="E43:F43"/>
    <mergeCell ref="R43:Y43"/>
    <mergeCell ref="I42:J42"/>
    <mergeCell ref="C43:D43"/>
    <mergeCell ref="A1:AK1"/>
    <mergeCell ref="B25:M25"/>
    <mergeCell ref="N25:Y25"/>
    <mergeCell ref="Z25:AK25"/>
    <mergeCell ref="A24:AK24"/>
    <mergeCell ref="C40:D40"/>
    <mergeCell ref="I40:J40"/>
    <mergeCell ref="C42:D42"/>
    <mergeCell ref="C41:D41"/>
    <mergeCell ref="E40:F40"/>
    <mergeCell ref="E42:F42"/>
    <mergeCell ref="E41:F41"/>
    <mergeCell ref="I41:J41"/>
    <mergeCell ref="C47:D47"/>
    <mergeCell ref="E48:F48"/>
    <mergeCell ref="C48:D48"/>
    <mergeCell ref="C45:D45"/>
    <mergeCell ref="E49:F49"/>
    <mergeCell ref="C50:D50"/>
    <mergeCell ref="E47:F47"/>
    <mergeCell ref="C46:D46"/>
    <mergeCell ref="I50:J50"/>
    <mergeCell ref="E50:F50"/>
    <mergeCell ref="I47:J47"/>
    <mergeCell ref="C49:D49"/>
    <mergeCell ref="I48:J48"/>
    <mergeCell ref="I45:J45"/>
    <mergeCell ref="I46:J46"/>
    <mergeCell ref="E45:F45"/>
    <mergeCell ref="I54:J54"/>
    <mergeCell ref="I51:J51"/>
    <mergeCell ref="E53:F53"/>
    <mergeCell ref="E52:F52"/>
    <mergeCell ref="E51:F51"/>
    <mergeCell ref="I49:J49"/>
    <mergeCell ref="I52:J52"/>
    <mergeCell ref="I53:J53"/>
    <mergeCell ref="C52:D52"/>
    <mergeCell ref="E54:F54"/>
    <mergeCell ref="C53:D53"/>
    <mergeCell ref="C51:D51"/>
    <mergeCell ref="C54:D54"/>
    <mergeCell ref="C55:D55"/>
    <mergeCell ref="C58:D58"/>
    <mergeCell ref="I55:J55"/>
    <mergeCell ref="E56:F56"/>
    <mergeCell ref="I57:J57"/>
    <mergeCell ref="E57:F57"/>
    <mergeCell ref="I58:J58"/>
    <mergeCell ref="C57:D57"/>
    <mergeCell ref="E58:F58"/>
    <mergeCell ref="C56:D56"/>
    <mergeCell ref="I56:J56"/>
    <mergeCell ref="E55:F55"/>
    <mergeCell ref="I67:J67"/>
    <mergeCell ref="C66:D66"/>
    <mergeCell ref="E66:F66"/>
    <mergeCell ref="C64:D64"/>
    <mergeCell ref="E64:F64"/>
    <mergeCell ref="I62:J62"/>
    <mergeCell ref="C67:D67"/>
    <mergeCell ref="E67:F67"/>
    <mergeCell ref="I66:J66"/>
    <mergeCell ref="I65:J65"/>
    <mergeCell ref="C62:D62"/>
    <mergeCell ref="E62:F62"/>
    <mergeCell ref="C61:D61"/>
    <mergeCell ref="E61:F61"/>
    <mergeCell ref="C59:D59"/>
    <mergeCell ref="I59:J59"/>
    <mergeCell ref="E59:F59"/>
    <mergeCell ref="C63:D63"/>
    <mergeCell ref="E63:F63"/>
    <mergeCell ref="C65:D65"/>
    <mergeCell ref="E65:F65"/>
    <mergeCell ref="I64:J64"/>
    <mergeCell ref="I63:J63"/>
    <mergeCell ref="I61:J61"/>
    <mergeCell ref="C60:D60"/>
    <mergeCell ref="E60:F60"/>
    <mergeCell ref="I60:J60"/>
    <mergeCell ref="C69:D69"/>
    <mergeCell ref="E69:F69"/>
    <mergeCell ref="I68:J68"/>
    <mergeCell ref="I69:J69"/>
    <mergeCell ref="C68:D68"/>
    <mergeCell ref="C70:D70"/>
    <mergeCell ref="I72:J72"/>
    <mergeCell ref="I73:J73"/>
    <mergeCell ref="E71:F71"/>
    <mergeCell ref="I70:J70"/>
    <mergeCell ref="I71:J71"/>
    <mergeCell ref="E68:F68"/>
    <mergeCell ref="E70:F70"/>
    <mergeCell ref="C71:D71"/>
    <mergeCell ref="C74:D74"/>
    <mergeCell ref="E74:F74"/>
    <mergeCell ref="C75:D75"/>
    <mergeCell ref="E75:F75"/>
    <mergeCell ref="C72:D72"/>
    <mergeCell ref="E72:F72"/>
    <mergeCell ref="C73:D73"/>
    <mergeCell ref="E73:F73"/>
    <mergeCell ref="I74:J74"/>
    <mergeCell ref="I75:J75"/>
    <mergeCell ref="C76:D76"/>
    <mergeCell ref="E76:F76"/>
    <mergeCell ref="C77:D77"/>
    <mergeCell ref="E77:F77"/>
    <mergeCell ref="I76:J76"/>
    <mergeCell ref="I77:J77"/>
    <mergeCell ref="C78:D78"/>
    <mergeCell ref="E78:F78"/>
    <mergeCell ref="C79:D79"/>
    <mergeCell ref="E79:F79"/>
    <mergeCell ref="I78:J78"/>
    <mergeCell ref="I79:J79"/>
    <mergeCell ref="C80:D80"/>
    <mergeCell ref="E80:F80"/>
    <mergeCell ref="C81:D81"/>
    <mergeCell ref="E81:F81"/>
    <mergeCell ref="I80:J80"/>
    <mergeCell ref="I81:J81"/>
    <mergeCell ref="C82:D82"/>
    <mergeCell ref="E82:F82"/>
    <mergeCell ref="C83:D83"/>
    <mergeCell ref="E83:F83"/>
    <mergeCell ref="I82:J82"/>
    <mergeCell ref="I83:J83"/>
    <mergeCell ref="E85:F85"/>
    <mergeCell ref="I84:J84"/>
    <mergeCell ref="I85:J85"/>
    <mergeCell ref="I87:J87"/>
    <mergeCell ref="C84:D84"/>
    <mergeCell ref="E84:F84"/>
    <mergeCell ref="C85:D85"/>
    <mergeCell ref="I86:J86"/>
    <mergeCell ref="C89:D89"/>
    <mergeCell ref="E89:F89"/>
    <mergeCell ref="I89:J89"/>
    <mergeCell ref="C88:D88"/>
    <mergeCell ref="E88:F88"/>
    <mergeCell ref="C86:D86"/>
    <mergeCell ref="E86:F86"/>
    <mergeCell ref="C87:D87"/>
    <mergeCell ref="E87:F87"/>
    <mergeCell ref="I88:J88"/>
    <mergeCell ref="C90:D90"/>
    <mergeCell ref="E90:F90"/>
    <mergeCell ref="I90:J90"/>
    <mergeCell ref="C91:D91"/>
    <mergeCell ref="E91:F91"/>
    <mergeCell ref="I91:J91"/>
    <mergeCell ref="C92:D92"/>
    <mergeCell ref="E92:F92"/>
    <mergeCell ref="I92:J92"/>
    <mergeCell ref="C93:D93"/>
    <mergeCell ref="E93:F93"/>
    <mergeCell ref="I93:J93"/>
    <mergeCell ref="C94:D94"/>
    <mergeCell ref="E94:F94"/>
    <mergeCell ref="I94:J94"/>
    <mergeCell ref="C95:D95"/>
    <mergeCell ref="E95:F95"/>
    <mergeCell ref="I95:J95"/>
    <mergeCell ref="C96:D96"/>
    <mergeCell ref="E96:F96"/>
    <mergeCell ref="I96:J96"/>
    <mergeCell ref="C97:D97"/>
    <mergeCell ref="E97:F97"/>
    <mergeCell ref="I97:J97"/>
    <mergeCell ref="C98:D98"/>
    <mergeCell ref="E98:F98"/>
    <mergeCell ref="I98:J98"/>
    <mergeCell ref="C99:D99"/>
    <mergeCell ref="E99:F99"/>
    <mergeCell ref="I99:J99"/>
    <mergeCell ref="C100:D100"/>
    <mergeCell ref="E100:F100"/>
    <mergeCell ref="I100:J100"/>
    <mergeCell ref="C101:D101"/>
    <mergeCell ref="E101:F101"/>
    <mergeCell ref="I101:J101"/>
    <mergeCell ref="C104:D104"/>
    <mergeCell ref="E104:F104"/>
    <mergeCell ref="I104:J104"/>
    <mergeCell ref="C102:D102"/>
    <mergeCell ref="E102:F102"/>
    <mergeCell ref="I102:J102"/>
    <mergeCell ref="C103:D103"/>
    <mergeCell ref="E103:F103"/>
    <mergeCell ref="I103:J103"/>
    <mergeCell ref="C105:D105"/>
    <mergeCell ref="E105:F105"/>
    <mergeCell ref="I105:J105"/>
    <mergeCell ref="C106:D106"/>
    <mergeCell ref="E106:F106"/>
    <mergeCell ref="I106:J106"/>
    <mergeCell ref="C107:D107"/>
    <mergeCell ref="E107:F107"/>
    <mergeCell ref="I107:J107"/>
    <mergeCell ref="C108:D108"/>
    <mergeCell ref="E108:F108"/>
    <mergeCell ref="I108:J108"/>
    <mergeCell ref="C109:D109"/>
    <mergeCell ref="E109:F109"/>
    <mergeCell ref="I109:J109"/>
    <mergeCell ref="C110:D110"/>
    <mergeCell ref="E110:F110"/>
    <mergeCell ref="I110:J110"/>
    <mergeCell ref="C111:D111"/>
    <mergeCell ref="E111:F111"/>
    <mergeCell ref="I111:J111"/>
    <mergeCell ref="C112:D112"/>
    <mergeCell ref="E112:F112"/>
    <mergeCell ref="I112:J112"/>
    <mergeCell ref="C113:D113"/>
    <mergeCell ref="E113:F113"/>
    <mergeCell ref="I113:J113"/>
    <mergeCell ref="C114:D114"/>
    <mergeCell ref="E114:F114"/>
    <mergeCell ref="I114:J114"/>
    <mergeCell ref="C115:D115"/>
    <mergeCell ref="E115:F115"/>
    <mergeCell ref="I115:J115"/>
    <mergeCell ref="C116:D116"/>
    <mergeCell ref="E116:F116"/>
    <mergeCell ref="I116:J116"/>
    <mergeCell ref="C117:D117"/>
    <mergeCell ref="E117:F117"/>
    <mergeCell ref="I117:J117"/>
    <mergeCell ref="C118:D118"/>
    <mergeCell ref="E118:F118"/>
    <mergeCell ref="I118:J118"/>
    <mergeCell ref="C119:D119"/>
    <mergeCell ref="E119:F119"/>
    <mergeCell ref="I119:J119"/>
    <mergeCell ref="C120:D120"/>
    <mergeCell ref="E120:F120"/>
    <mergeCell ref="I120:J120"/>
    <mergeCell ref="C121:D121"/>
    <mergeCell ref="E121:F121"/>
    <mergeCell ref="I121:J121"/>
    <mergeCell ref="C122:D122"/>
    <mergeCell ref="E122:F122"/>
    <mergeCell ref="I122:J122"/>
    <mergeCell ref="C123:D123"/>
    <mergeCell ref="E123:F123"/>
    <mergeCell ref="I123:J123"/>
    <mergeCell ref="C124:D124"/>
    <mergeCell ref="E124:F124"/>
    <mergeCell ref="I124:J124"/>
    <mergeCell ref="C125:D125"/>
    <mergeCell ref="E125:F125"/>
    <mergeCell ref="I125:J125"/>
    <mergeCell ref="C126:D126"/>
    <mergeCell ref="E126:F126"/>
    <mergeCell ref="I126:J126"/>
    <mergeCell ref="C127:D127"/>
    <mergeCell ref="E127:F127"/>
    <mergeCell ref="I127:J127"/>
    <mergeCell ref="C128:D128"/>
    <mergeCell ref="E128:F128"/>
    <mergeCell ref="I128:J128"/>
    <mergeCell ref="C129:D129"/>
    <mergeCell ref="E129:F129"/>
    <mergeCell ref="I129:J129"/>
    <mergeCell ref="C130:D130"/>
    <mergeCell ref="E130:F130"/>
    <mergeCell ref="I130:J130"/>
    <mergeCell ref="C131:D131"/>
    <mergeCell ref="E131:F131"/>
    <mergeCell ref="I131:J131"/>
    <mergeCell ref="C132:D132"/>
    <mergeCell ref="E132:F132"/>
    <mergeCell ref="I132:J132"/>
    <mergeCell ref="C133:D133"/>
    <mergeCell ref="E133:F133"/>
    <mergeCell ref="I133:J133"/>
    <mergeCell ref="C134:D134"/>
    <mergeCell ref="E134:F134"/>
    <mergeCell ref="I134:J134"/>
    <mergeCell ref="C135:D135"/>
    <mergeCell ref="E135:F135"/>
    <mergeCell ref="I135:J135"/>
    <mergeCell ref="C136:D136"/>
    <mergeCell ref="E136:F136"/>
    <mergeCell ref="I136:J136"/>
    <mergeCell ref="C137:D137"/>
    <mergeCell ref="E137:F137"/>
    <mergeCell ref="I137:J137"/>
    <mergeCell ref="C138:D138"/>
    <mergeCell ref="E138:F138"/>
    <mergeCell ref="I138:J138"/>
    <mergeCell ref="C139:D139"/>
    <mergeCell ref="E139:F139"/>
    <mergeCell ref="I139:J139"/>
    <mergeCell ref="C140:D140"/>
    <mergeCell ref="E140:F140"/>
    <mergeCell ref="I140:J140"/>
    <mergeCell ref="C141:D141"/>
    <mergeCell ref="E141:F141"/>
    <mergeCell ref="I141:J141"/>
    <mergeCell ref="C142:D142"/>
    <mergeCell ref="E142:F142"/>
    <mergeCell ref="I142:J142"/>
    <mergeCell ref="C143:D143"/>
    <mergeCell ref="E143:F143"/>
    <mergeCell ref="I143:J143"/>
    <mergeCell ref="C144:D144"/>
    <mergeCell ref="E144:F144"/>
    <mergeCell ref="I144:J144"/>
    <mergeCell ref="C145:D145"/>
    <mergeCell ref="E145:F145"/>
    <mergeCell ref="I145:J145"/>
    <mergeCell ref="C146:D146"/>
    <mergeCell ref="E146:F146"/>
    <mergeCell ref="I146:J146"/>
    <mergeCell ref="C147:D147"/>
    <mergeCell ref="E147:F147"/>
    <mergeCell ref="I147:J147"/>
    <mergeCell ref="C148:D148"/>
    <mergeCell ref="E148:F148"/>
    <mergeCell ref="I148:J148"/>
    <mergeCell ref="C149:D149"/>
    <mergeCell ref="E149:F149"/>
    <mergeCell ref="I149:J149"/>
    <mergeCell ref="C150:D150"/>
    <mergeCell ref="E150:F150"/>
    <mergeCell ref="I150:J150"/>
    <mergeCell ref="C151:D151"/>
    <mergeCell ref="E151:F151"/>
    <mergeCell ref="I151:J151"/>
    <mergeCell ref="C152:D152"/>
    <mergeCell ref="E152:F152"/>
    <mergeCell ref="I152:J152"/>
    <mergeCell ref="C153:D153"/>
    <mergeCell ref="E153:F153"/>
    <mergeCell ref="I153:J153"/>
    <mergeCell ref="C154:D154"/>
    <mergeCell ref="E154:F154"/>
    <mergeCell ref="I154:J154"/>
    <mergeCell ref="C155:D155"/>
    <mergeCell ref="E155:F155"/>
    <mergeCell ref="I155:J155"/>
    <mergeCell ref="C156:D156"/>
    <mergeCell ref="E156:F156"/>
    <mergeCell ref="I156:J156"/>
    <mergeCell ref="C157:D157"/>
    <mergeCell ref="E157:F157"/>
    <mergeCell ref="I157:J157"/>
    <mergeCell ref="C158:D158"/>
    <mergeCell ref="E158:F158"/>
    <mergeCell ref="I158:J158"/>
    <mergeCell ref="C159:D159"/>
    <mergeCell ref="E159:F159"/>
    <mergeCell ref="I159:J159"/>
    <mergeCell ref="C160:D160"/>
    <mergeCell ref="E160:F160"/>
    <mergeCell ref="I160:J160"/>
    <mergeCell ref="C161:D161"/>
    <mergeCell ref="E161:F161"/>
    <mergeCell ref="I161:J161"/>
    <mergeCell ref="C162:D162"/>
    <mergeCell ref="E162:F162"/>
    <mergeCell ref="I162:J162"/>
    <mergeCell ref="C163:D163"/>
    <mergeCell ref="E163:F163"/>
    <mergeCell ref="I163:J163"/>
    <mergeCell ref="C164:D164"/>
    <mergeCell ref="E164:F164"/>
    <mergeCell ref="I164:J164"/>
    <mergeCell ref="C165:D165"/>
    <mergeCell ref="E165:F165"/>
    <mergeCell ref="I165:J165"/>
    <mergeCell ref="C166:D166"/>
    <mergeCell ref="E166:F166"/>
    <mergeCell ref="I166:J166"/>
    <mergeCell ref="C167:D167"/>
    <mergeCell ref="E167:F167"/>
    <mergeCell ref="I167:J167"/>
    <mergeCell ref="C168:D168"/>
    <mergeCell ref="E168:F168"/>
    <mergeCell ref="I168:J168"/>
    <mergeCell ref="C169:D169"/>
    <mergeCell ref="E169:F169"/>
    <mergeCell ref="I169:J169"/>
    <mergeCell ref="C170:D170"/>
    <mergeCell ref="E170:F170"/>
    <mergeCell ref="I170:J170"/>
    <mergeCell ref="C171:D171"/>
    <mergeCell ref="E171:F171"/>
    <mergeCell ref="I171:J171"/>
    <mergeCell ref="C172:D172"/>
    <mergeCell ref="E172:F172"/>
    <mergeCell ref="I172:J172"/>
    <mergeCell ref="C173:D173"/>
    <mergeCell ref="E173:F173"/>
    <mergeCell ref="I173:J173"/>
    <mergeCell ref="C174:D174"/>
    <mergeCell ref="E174:F174"/>
    <mergeCell ref="I174:J174"/>
    <mergeCell ref="C175:D175"/>
    <mergeCell ref="E175:F175"/>
    <mergeCell ref="I175:J175"/>
    <mergeCell ref="C176:D176"/>
    <mergeCell ref="E176:F176"/>
    <mergeCell ref="I176:J176"/>
    <mergeCell ref="C177:D177"/>
    <mergeCell ref="E177:F177"/>
    <mergeCell ref="I177:J177"/>
    <mergeCell ref="C178:D178"/>
    <mergeCell ref="E178:F178"/>
    <mergeCell ref="I178:J178"/>
    <mergeCell ref="C179:D179"/>
    <mergeCell ref="E179:F179"/>
    <mergeCell ref="I179:J179"/>
    <mergeCell ref="C180:D180"/>
    <mergeCell ref="E180:F180"/>
    <mergeCell ref="I180:J180"/>
    <mergeCell ref="C181:D181"/>
    <mergeCell ref="E181:F181"/>
    <mergeCell ref="I181:J181"/>
    <mergeCell ref="C182:D182"/>
    <mergeCell ref="E182:F182"/>
    <mergeCell ref="I182:J182"/>
    <mergeCell ref="C183:D183"/>
    <mergeCell ref="E183:F183"/>
    <mergeCell ref="I183:J183"/>
    <mergeCell ref="C184:D184"/>
    <mergeCell ref="E184:F184"/>
    <mergeCell ref="I184:J184"/>
    <mergeCell ref="C185:D185"/>
    <mergeCell ref="E185:F185"/>
    <mergeCell ref="I185:J185"/>
    <mergeCell ref="C186:D186"/>
    <mergeCell ref="E186:F186"/>
    <mergeCell ref="I186:J186"/>
    <mergeCell ref="C187:D187"/>
    <mergeCell ref="E187:F187"/>
    <mergeCell ref="I187:J187"/>
    <mergeCell ref="C188:D188"/>
    <mergeCell ref="E188:F188"/>
    <mergeCell ref="I188:J188"/>
    <mergeCell ref="C189:D189"/>
    <mergeCell ref="E189:F189"/>
    <mergeCell ref="I189:J189"/>
    <mergeCell ref="C190:D190"/>
    <mergeCell ref="E190:F190"/>
    <mergeCell ref="I190:J190"/>
    <mergeCell ref="C191:D191"/>
    <mergeCell ref="E191:F191"/>
    <mergeCell ref="I191:J191"/>
    <mergeCell ref="C192:D192"/>
    <mergeCell ref="E192:F192"/>
    <mergeCell ref="I192:J192"/>
    <mergeCell ref="C193:D193"/>
    <mergeCell ref="E193:F193"/>
    <mergeCell ref="I193:J193"/>
    <mergeCell ref="C194:D194"/>
    <mergeCell ref="E194:F194"/>
    <mergeCell ref="I194:J194"/>
    <mergeCell ref="C195:D195"/>
    <mergeCell ref="E195:F195"/>
    <mergeCell ref="I195:J195"/>
    <mergeCell ref="C196:D196"/>
    <mergeCell ref="E196:F196"/>
    <mergeCell ref="I196:J196"/>
    <mergeCell ref="C197:D197"/>
    <mergeCell ref="E197:F197"/>
    <mergeCell ref="I197:J197"/>
    <mergeCell ref="C198:D198"/>
    <mergeCell ref="E198:F198"/>
    <mergeCell ref="I198:J198"/>
    <mergeCell ref="C199:D199"/>
    <mergeCell ref="E199:F199"/>
    <mergeCell ref="I199:J199"/>
    <mergeCell ref="C200:D200"/>
    <mergeCell ref="E200:F200"/>
    <mergeCell ref="I200:J200"/>
    <mergeCell ref="C201:D201"/>
    <mergeCell ref="E201:F201"/>
    <mergeCell ref="I201:J201"/>
    <mergeCell ref="C202:D202"/>
    <mergeCell ref="E202:F202"/>
    <mergeCell ref="I202:J202"/>
    <mergeCell ref="C203:D203"/>
    <mergeCell ref="E203:F203"/>
    <mergeCell ref="I203:J203"/>
    <mergeCell ref="C204:D204"/>
    <mergeCell ref="E204:F204"/>
    <mergeCell ref="I204:J204"/>
    <mergeCell ref="C205:D205"/>
    <mergeCell ref="E205:F205"/>
    <mergeCell ref="I205:J205"/>
    <mergeCell ref="C206:D206"/>
    <mergeCell ref="E206:F206"/>
    <mergeCell ref="I206:J206"/>
    <mergeCell ref="C207:D207"/>
    <mergeCell ref="E207:F207"/>
    <mergeCell ref="I207:J207"/>
    <mergeCell ref="C208:D208"/>
    <mergeCell ref="E208:F208"/>
    <mergeCell ref="I208:J208"/>
    <mergeCell ref="C209:D209"/>
    <mergeCell ref="E209:F209"/>
    <mergeCell ref="I209:J209"/>
    <mergeCell ref="C210:D210"/>
    <mergeCell ref="E210:F210"/>
    <mergeCell ref="I210:J210"/>
    <mergeCell ref="C211:D211"/>
    <mergeCell ref="E211:F211"/>
    <mergeCell ref="I211:J211"/>
    <mergeCell ref="C212:D212"/>
    <mergeCell ref="E212:F212"/>
    <mergeCell ref="I212:J212"/>
    <mergeCell ref="C213:D213"/>
    <mergeCell ref="E213:F213"/>
    <mergeCell ref="I213:J213"/>
    <mergeCell ref="C214:D214"/>
    <mergeCell ref="E214:F214"/>
    <mergeCell ref="I214:J214"/>
    <mergeCell ref="C215:D215"/>
    <mergeCell ref="E215:F215"/>
    <mergeCell ref="I215:J215"/>
    <mergeCell ref="C216:D216"/>
    <mergeCell ref="E216:F216"/>
    <mergeCell ref="I216:J216"/>
    <mergeCell ref="C217:D217"/>
    <mergeCell ref="E217:F217"/>
    <mergeCell ref="I217:J217"/>
    <mergeCell ref="C218:D218"/>
    <mergeCell ref="E218:F218"/>
    <mergeCell ref="I218:J218"/>
    <mergeCell ref="C219:D219"/>
    <mergeCell ref="E219:F219"/>
    <mergeCell ref="I219:J219"/>
    <mergeCell ref="C220:D220"/>
    <mergeCell ref="E220:F220"/>
    <mergeCell ref="I220:J220"/>
    <mergeCell ref="C221:D221"/>
    <mergeCell ref="E221:F221"/>
    <mergeCell ref="I221:J221"/>
    <mergeCell ref="C222:D222"/>
    <mergeCell ref="E222:F222"/>
    <mergeCell ref="I222:J222"/>
    <mergeCell ref="C223:D223"/>
    <mergeCell ref="E223:F223"/>
    <mergeCell ref="I223:J223"/>
    <mergeCell ref="C224:D224"/>
    <mergeCell ref="E224:F224"/>
    <mergeCell ref="I224:J224"/>
    <mergeCell ref="C225:D225"/>
    <mergeCell ref="E225:F225"/>
    <mergeCell ref="I225:J225"/>
    <mergeCell ref="C226:D226"/>
    <mergeCell ref="E226:F226"/>
    <mergeCell ref="I226:J226"/>
    <mergeCell ref="C227:D227"/>
    <mergeCell ref="E227:F227"/>
    <mergeCell ref="I227:J227"/>
    <mergeCell ref="C228:D228"/>
    <mergeCell ref="E228:F228"/>
    <mergeCell ref="I228:J228"/>
    <mergeCell ref="C229:D229"/>
    <mergeCell ref="E229:F229"/>
    <mergeCell ref="I229:J229"/>
    <mergeCell ref="C230:D230"/>
    <mergeCell ref="E230:F230"/>
    <mergeCell ref="I230:J230"/>
    <mergeCell ref="C231:D231"/>
    <mergeCell ref="E231:F231"/>
    <mergeCell ref="I231:J231"/>
    <mergeCell ref="C232:D232"/>
    <mergeCell ref="E232:F232"/>
    <mergeCell ref="I232:J232"/>
    <mergeCell ref="C233:D233"/>
    <mergeCell ref="E233:F233"/>
    <mergeCell ref="I233:J233"/>
    <mergeCell ref="C234:D234"/>
    <mergeCell ref="E234:F234"/>
    <mergeCell ref="I234:J234"/>
    <mergeCell ref="C235:D235"/>
    <mergeCell ref="E235:F235"/>
    <mergeCell ref="I235:J235"/>
    <mergeCell ref="C236:D236"/>
    <mergeCell ref="E236:F236"/>
    <mergeCell ref="I236:J236"/>
    <mergeCell ref="C240:D240"/>
    <mergeCell ref="E240:F240"/>
    <mergeCell ref="I240:J240"/>
    <mergeCell ref="C237:D237"/>
    <mergeCell ref="E237:F237"/>
    <mergeCell ref="I237:J237"/>
    <mergeCell ref="C238:D238"/>
    <mergeCell ref="E238:F238"/>
    <mergeCell ref="I238:J238"/>
    <mergeCell ref="C239:D239"/>
    <mergeCell ref="E239:F239"/>
    <mergeCell ref="I239:J239"/>
  </mergeCells>
  <phoneticPr fontId="5" type="noConversion"/>
  <conditionalFormatting sqref="B15:AW22">
    <cfRule type="expression" dxfId="169" priority="5" stopIfTrue="1">
      <formula>NOT(ISERROR(SEARCH("U",B3)))</formula>
    </cfRule>
    <cfRule type="expression" dxfId="168" priority="6" stopIfTrue="1">
      <formula>NOT(ISERROR(SEARCH("Neg",B3)))</formula>
    </cfRule>
    <cfRule type="expression" dxfId="167" priority="7" stopIfTrue="1">
      <formula>NOT(ISERROR(SEARCH("S",B3)))</formula>
    </cfRule>
  </conditionalFormatting>
  <conditionalFormatting sqref="C41:D240">
    <cfRule type="expression" dxfId="166" priority="3" stopIfTrue="1">
      <formula>NOT(ISERROR(SEARCH("Low",C41)))</formula>
    </cfRule>
    <cfRule type="expression" dxfId="165" priority="4" stopIfTrue="1">
      <formula>NOT(ISERROR(SEARCH("High",C41)))</formula>
    </cfRule>
  </conditionalFormatting>
  <conditionalFormatting sqref="B36:AK37 B28:AW35">
    <cfRule type="expression" dxfId="164" priority="11" stopIfTrue="1">
      <formula>NOT(ISERROR(SEARCH("High",B28)))</formula>
    </cfRule>
    <cfRule type="expression" dxfId="163" priority="12" stopIfTrue="1">
      <formula>NOT(ISERROR(SEARCH("Low",B28)))</formula>
    </cfRule>
  </conditionalFormatting>
  <conditionalFormatting sqref="B3:AW10">
    <cfRule type="expression" dxfId="162" priority="8" stopIfTrue="1">
      <formula>NOT(ISERROR(SEARCH("S",B3)))</formula>
    </cfRule>
    <cfRule type="expression" dxfId="161" priority="9" stopIfTrue="1">
      <formula>NOT(ISERROR(SEARCH("Neg",B3)))</formula>
    </cfRule>
    <cfRule type="expression" dxfId="160" priority="10" stopIfTrue="1">
      <formula>NOT(ISERROR(SEARCH("U",B3)))</formula>
    </cfRule>
  </conditionalFormatting>
  <printOptions horizontalCentered="1"/>
  <pageMargins left="0.2" right="0.2" top="0.5" bottom="0.5" header="0.3" footer="0.3"/>
  <pageSetup scale="37" fitToHeight="0" orientation="landscape" horizontalDpi="200" verticalDpi="200" r:id="rId1"/>
  <headerFooter>
    <oddHeader>&amp;L&amp;Z&amp;F&amp;C&amp;A&amp;R&amp;P/&amp;N</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W124"/>
  <sheetViews>
    <sheetView topLeftCell="A75" zoomScale="80" zoomScaleNormal="80" workbookViewId="0">
      <selection activeCell="A112" sqref="A112:G116"/>
    </sheetView>
  </sheetViews>
  <sheetFormatPr defaultColWidth="9.140625" defaultRowHeight="15" x14ac:dyDescent="0.25"/>
  <cols>
    <col min="1" max="1" width="24.28515625" style="122" bestFit="1" customWidth="1"/>
    <col min="2" max="2" width="13.7109375" style="122" customWidth="1"/>
    <col min="3" max="3" width="16.7109375" style="122" bestFit="1" customWidth="1"/>
    <col min="4" max="4" width="11.42578125" style="122" bestFit="1" customWidth="1"/>
    <col min="5" max="5" width="10.42578125" style="122" bestFit="1" customWidth="1"/>
    <col min="6" max="6" width="17" style="122" bestFit="1" customWidth="1"/>
    <col min="7" max="7" width="15.85546875" style="122" customWidth="1"/>
    <col min="8" max="8" width="17.42578125" style="122" bestFit="1" customWidth="1"/>
    <col min="9" max="9" width="16" style="122" bestFit="1" customWidth="1"/>
    <col min="10" max="10" width="19.28515625" style="122" bestFit="1" customWidth="1"/>
    <col min="11" max="11" width="13.42578125" style="122" bestFit="1" customWidth="1"/>
    <col min="12" max="13" width="9.140625" style="122"/>
    <col min="14" max="58" width="9.28515625" style="122" customWidth="1"/>
    <col min="59" max="16384" width="9.140625" style="122"/>
  </cols>
  <sheetData>
    <row r="1" spans="1:49" x14ac:dyDescent="0.25">
      <c r="A1" s="797" t="s">
        <v>609</v>
      </c>
      <c r="B1" s="797"/>
      <c r="C1" s="484" t="str">
        <f>Internal!C3</f>
        <v>GDF-15</v>
      </c>
      <c r="F1" s="584" t="s">
        <v>610</v>
      </c>
      <c r="H1" s="193" t="s">
        <v>611</v>
      </c>
      <c r="I1" s="587">
        <f ca="1">TODAY()</f>
        <v>43340</v>
      </c>
      <c r="K1" s="193" t="s">
        <v>612</v>
      </c>
      <c r="L1" s="244" t="str">
        <f>Imported_Template!H5</f>
        <v>BM</v>
      </c>
    </row>
    <row r="2" spans="1:49" x14ac:dyDescent="0.25">
      <c r="A2" s="795" t="s">
        <v>1361</v>
      </c>
      <c r="B2" s="795"/>
      <c r="C2" s="585" t="str">
        <f>Imported_Template!H6</f>
        <v>Lot 55</v>
      </c>
      <c r="D2" s="585" t="str">
        <f>Imported_Template!I6</f>
        <v>Lot 56</v>
      </c>
      <c r="E2" s="26"/>
      <c r="F2" s="242" t="str">
        <f>Internal!C9</f>
        <v>232Aug2018 batch</v>
      </c>
      <c r="G2" s="26"/>
      <c r="H2" s="586" t="s">
        <v>723</v>
      </c>
      <c r="I2" s="588">
        <f ca="1">NOW()</f>
        <v>43340.56172928241</v>
      </c>
      <c r="J2" s="26"/>
      <c r="K2" s="26"/>
      <c r="L2" s="189"/>
    </row>
    <row r="3" spans="1:49" x14ac:dyDescent="0.25">
      <c r="A3" s="795" t="s">
        <v>613</v>
      </c>
      <c r="B3" s="795"/>
      <c r="C3" s="484">
        <v>164</v>
      </c>
      <c r="D3" s="26"/>
      <c r="E3" s="26"/>
      <c r="F3" s="26"/>
      <c r="G3" s="26"/>
      <c r="H3" s="769" t="s">
        <v>614</v>
      </c>
      <c r="I3" s="769"/>
      <c r="J3" s="26"/>
      <c r="K3" s="769" t="s">
        <v>615</v>
      </c>
      <c r="L3" s="769"/>
    </row>
    <row r="4" spans="1:49" x14ac:dyDescent="0.25">
      <c r="A4" s="795" t="s">
        <v>616</v>
      </c>
      <c r="B4" s="795"/>
      <c r="C4" s="242"/>
      <c r="D4" s="26"/>
      <c r="E4" s="26"/>
      <c r="F4" s="26"/>
      <c r="G4" s="26"/>
      <c r="H4" s="161" t="s">
        <v>107</v>
      </c>
      <c r="I4" s="480" t="str">
        <f>'Sample Setup'!G7</f>
        <v>pg/mL</v>
      </c>
      <c r="J4" s="26"/>
      <c r="K4" s="161" t="s">
        <v>697</v>
      </c>
      <c r="L4" s="245">
        <f>'Sample Setup'!C41</f>
        <v>12</v>
      </c>
    </row>
    <row r="5" spans="1:49" x14ac:dyDescent="0.25">
      <c r="A5" s="796" t="s">
        <v>617</v>
      </c>
      <c r="B5" s="796"/>
      <c r="C5" s="502">
        <f>Master!J18</f>
        <v>10</v>
      </c>
      <c r="D5" s="26"/>
      <c r="E5" s="26"/>
      <c r="F5" s="26"/>
      <c r="G5" s="26"/>
      <c r="H5" s="161" t="s">
        <v>618</v>
      </c>
      <c r="I5" s="485">
        <f>'Sample Setup'!B4</f>
        <v>1000</v>
      </c>
      <c r="J5" s="26"/>
      <c r="K5" s="161" t="s">
        <v>699</v>
      </c>
      <c r="L5" s="245">
        <f>'Sample Setup'!C40</f>
        <v>300</v>
      </c>
    </row>
    <row r="6" spans="1:49" x14ac:dyDescent="0.25">
      <c r="A6" s="797" t="s">
        <v>619</v>
      </c>
      <c r="B6" s="797"/>
      <c r="C6" s="798" t="s">
        <v>1383</v>
      </c>
      <c r="D6" s="798"/>
      <c r="E6" s="798"/>
      <c r="F6" s="798"/>
      <c r="G6" s="26"/>
      <c r="H6" s="161" t="s">
        <v>620</v>
      </c>
      <c r="I6" s="485">
        <f>'Sample Setup'!B21</f>
        <v>3</v>
      </c>
      <c r="K6" s="161" t="s">
        <v>621</v>
      </c>
      <c r="L6" s="245">
        <f>'Sample Setup'!C39</f>
        <v>60</v>
      </c>
    </row>
    <row r="7" spans="1:49" x14ac:dyDescent="0.25">
      <c r="A7" s="154"/>
      <c r="B7" s="154"/>
      <c r="C7" s="26"/>
      <c r="D7" s="26"/>
      <c r="E7" s="26"/>
      <c r="F7" s="26"/>
      <c r="G7" s="26"/>
      <c r="K7" s="26"/>
      <c r="L7" s="169"/>
    </row>
    <row r="8" spans="1:49" x14ac:dyDescent="0.25">
      <c r="A8" s="481" t="s">
        <v>696</v>
      </c>
      <c r="B8" s="482"/>
      <c r="C8" s="483" t="s">
        <v>622</v>
      </c>
      <c r="D8" s="799"/>
      <c r="E8" s="799"/>
      <c r="F8" s="799"/>
      <c r="G8" s="799"/>
      <c r="H8" s="799"/>
      <c r="I8" s="799"/>
      <c r="J8" s="799"/>
      <c r="K8" s="26"/>
      <c r="L8" s="26"/>
    </row>
    <row r="9" spans="1:49" x14ac:dyDescent="0.25">
      <c r="A9" s="417"/>
      <c r="B9" s="417"/>
      <c r="C9" s="26"/>
      <c r="D9" s="26"/>
      <c r="E9" s="26"/>
      <c r="F9" s="26"/>
      <c r="G9" s="26"/>
      <c r="H9" s="26"/>
      <c r="I9" s="26"/>
      <c r="J9" s="26"/>
      <c r="K9" s="26"/>
      <c r="L9" s="26"/>
      <c r="M9" s="25"/>
      <c r="N9" s="26"/>
      <c r="O9" s="26"/>
      <c r="P9" s="26"/>
      <c r="Q9" s="26"/>
      <c r="R9" s="26"/>
      <c r="S9" s="26"/>
      <c r="T9" s="26"/>
      <c r="U9" s="26"/>
      <c r="V9" s="26"/>
      <c r="W9" s="26"/>
      <c r="X9" s="26"/>
      <c r="Y9" s="26"/>
      <c r="Z9" s="26"/>
    </row>
    <row r="10" spans="1:49" x14ac:dyDescent="0.25">
      <c r="A10" s="418" t="s">
        <v>516</v>
      </c>
      <c r="B10" s="25" t="s">
        <v>371</v>
      </c>
      <c r="C10" s="25"/>
      <c r="D10" s="25"/>
      <c r="E10" s="25"/>
      <c r="F10" s="25"/>
      <c r="G10" s="25"/>
      <c r="H10" s="25"/>
      <c r="I10" s="25"/>
      <c r="J10" s="25"/>
      <c r="K10" s="25"/>
      <c r="L10" s="25"/>
      <c r="M10" s="25"/>
      <c r="N10" s="26"/>
      <c r="O10" s="26"/>
      <c r="P10" s="26"/>
      <c r="Q10" s="26"/>
      <c r="R10" s="26"/>
      <c r="S10" s="26"/>
      <c r="T10" s="26"/>
      <c r="U10" s="26"/>
      <c r="V10" s="26"/>
      <c r="W10" s="26"/>
      <c r="X10" s="26"/>
      <c r="Y10" s="26"/>
      <c r="Z10" s="26"/>
    </row>
    <row r="11" spans="1:49" x14ac:dyDescent="0.25">
      <c r="A11" s="153"/>
      <c r="B11" s="153">
        <v>1</v>
      </c>
      <c r="C11" s="153">
        <v>2</v>
      </c>
      <c r="D11" s="153">
        <v>3</v>
      </c>
      <c r="E11" s="153">
        <v>4</v>
      </c>
      <c r="F11" s="153">
        <v>5</v>
      </c>
      <c r="G11" s="153">
        <v>6</v>
      </c>
      <c r="H11" s="153">
        <v>7</v>
      </c>
      <c r="I11" s="153">
        <v>8</v>
      </c>
      <c r="J11" s="153">
        <v>9</v>
      </c>
      <c r="K11" s="153">
        <v>10</v>
      </c>
      <c r="L11" s="153">
        <v>11</v>
      </c>
      <c r="M11" s="153">
        <v>12</v>
      </c>
      <c r="N11" s="153">
        <v>13</v>
      </c>
      <c r="O11" s="153">
        <v>14</v>
      </c>
      <c r="P11" s="153">
        <v>15</v>
      </c>
      <c r="Q11" s="153">
        <v>16</v>
      </c>
      <c r="R11" s="153">
        <v>17</v>
      </c>
      <c r="S11" s="153">
        <v>18</v>
      </c>
      <c r="T11" s="153">
        <v>19</v>
      </c>
      <c r="U11" s="153">
        <v>20</v>
      </c>
      <c r="V11" s="153">
        <v>21</v>
      </c>
      <c r="W11" s="153">
        <v>22</v>
      </c>
      <c r="X11" s="153">
        <v>23</v>
      </c>
      <c r="Y11" s="153">
        <v>24</v>
      </c>
      <c r="Z11" s="153">
        <v>25</v>
      </c>
      <c r="AA11" s="153">
        <v>26</v>
      </c>
      <c r="AB11" s="153">
        <v>27</v>
      </c>
      <c r="AC11" s="153">
        <v>28</v>
      </c>
      <c r="AD11" s="153">
        <v>29</v>
      </c>
      <c r="AE11" s="153">
        <v>30</v>
      </c>
      <c r="AF11" s="153">
        <v>31</v>
      </c>
      <c r="AG11" s="153">
        <v>32</v>
      </c>
      <c r="AH11" s="153">
        <v>33</v>
      </c>
      <c r="AI11" s="153">
        <v>34</v>
      </c>
      <c r="AJ11" s="153">
        <v>35</v>
      </c>
      <c r="AK11" s="153">
        <v>36</v>
      </c>
      <c r="AL11" s="153">
        <v>37</v>
      </c>
      <c r="AM11" s="153">
        <v>38</v>
      </c>
      <c r="AN11" s="153">
        <v>39</v>
      </c>
      <c r="AO11" s="153">
        <v>40</v>
      </c>
      <c r="AP11" s="153">
        <v>41</v>
      </c>
      <c r="AQ11" s="153">
        <v>42</v>
      </c>
      <c r="AR11" s="153">
        <v>43</v>
      </c>
      <c r="AS11" s="153">
        <v>44</v>
      </c>
      <c r="AT11" s="153">
        <v>45</v>
      </c>
      <c r="AU11" s="153">
        <v>46</v>
      </c>
      <c r="AV11" s="153">
        <v>47</v>
      </c>
      <c r="AW11" s="153">
        <v>48</v>
      </c>
    </row>
    <row r="12" spans="1:49" x14ac:dyDescent="0.25">
      <c r="A12" s="153" t="s">
        <v>21</v>
      </c>
      <c r="B12" s="373" t="s">
        <v>29</v>
      </c>
      <c r="C12" s="379" t="s">
        <v>621</v>
      </c>
      <c r="D12" s="380" t="s">
        <v>649</v>
      </c>
      <c r="E12" s="380" t="s">
        <v>650</v>
      </c>
      <c r="F12" s="380" t="s">
        <v>651</v>
      </c>
      <c r="G12" s="381" t="s">
        <v>652</v>
      </c>
      <c r="H12" s="380" t="s">
        <v>1012</v>
      </c>
      <c r="I12" s="380" t="s">
        <v>1013</v>
      </c>
      <c r="J12" s="380" t="s">
        <v>1014</v>
      </c>
      <c r="K12" s="381" t="s">
        <v>1015</v>
      </c>
      <c r="L12" s="380" t="s">
        <v>1016</v>
      </c>
      <c r="M12" s="380" t="s">
        <v>1017</v>
      </c>
      <c r="N12" s="380" t="s">
        <v>1018</v>
      </c>
      <c r="O12" s="380" t="s">
        <v>1019</v>
      </c>
      <c r="P12" s="381" t="s">
        <v>1020</v>
      </c>
      <c r="Q12" s="380" t="s">
        <v>1021</v>
      </c>
      <c r="R12" s="380" t="s">
        <v>1022</v>
      </c>
      <c r="S12" s="380" t="s">
        <v>1023</v>
      </c>
      <c r="T12" s="381" t="s">
        <v>648</v>
      </c>
      <c r="U12" s="380" t="s">
        <v>647</v>
      </c>
      <c r="V12" s="380" t="s">
        <v>646</v>
      </c>
      <c r="W12" s="380" t="s">
        <v>645</v>
      </c>
      <c r="X12" s="380" t="s">
        <v>644</v>
      </c>
      <c r="Y12" s="373" t="s">
        <v>228</v>
      </c>
      <c r="Z12" s="373" t="s">
        <v>29</v>
      </c>
      <c r="AA12" s="379" t="s">
        <v>621</v>
      </c>
      <c r="AB12" s="380" t="s">
        <v>1024</v>
      </c>
      <c r="AC12" s="380" t="s">
        <v>1025</v>
      </c>
      <c r="AD12" s="380" t="s">
        <v>1026</v>
      </c>
      <c r="AE12" s="381" t="s">
        <v>1027</v>
      </c>
      <c r="AF12" s="380" t="s">
        <v>1028</v>
      </c>
      <c r="AG12" s="380" t="s">
        <v>1029</v>
      </c>
      <c r="AH12" s="380" t="s">
        <v>1030</v>
      </c>
      <c r="AI12" s="381" t="s">
        <v>1031</v>
      </c>
      <c r="AJ12" s="380" t="s">
        <v>1032</v>
      </c>
      <c r="AK12" s="380" t="s">
        <v>1033</v>
      </c>
      <c r="AL12" s="380" t="s">
        <v>1034</v>
      </c>
      <c r="AM12" s="380" t="s">
        <v>1035</v>
      </c>
      <c r="AN12" s="381" t="s">
        <v>1036</v>
      </c>
      <c r="AO12" s="380" t="s">
        <v>1037</v>
      </c>
      <c r="AP12" s="380" t="s">
        <v>1038</v>
      </c>
      <c r="AQ12" s="380" t="s">
        <v>1039</v>
      </c>
      <c r="AR12" s="381" t="s">
        <v>1040</v>
      </c>
      <c r="AS12" s="380" t="s">
        <v>1041</v>
      </c>
      <c r="AT12" s="380" t="s">
        <v>1042</v>
      </c>
      <c r="AU12" s="380" t="s">
        <v>1043</v>
      </c>
      <c r="AV12" s="380" t="s">
        <v>1044</v>
      </c>
      <c r="AW12" s="373" t="s">
        <v>228</v>
      </c>
    </row>
    <row r="13" spans="1:49" x14ac:dyDescent="0.25">
      <c r="A13" s="153" t="s">
        <v>22</v>
      </c>
      <c r="B13" s="373" t="s">
        <v>30</v>
      </c>
      <c r="C13" s="379" t="s">
        <v>621</v>
      </c>
      <c r="D13" s="380" t="s">
        <v>653</v>
      </c>
      <c r="E13" s="380" t="s">
        <v>654</v>
      </c>
      <c r="F13" s="380" t="s">
        <v>655</v>
      </c>
      <c r="G13" s="381" t="s">
        <v>656</v>
      </c>
      <c r="H13" s="380" t="s">
        <v>1045</v>
      </c>
      <c r="I13" s="380" t="s">
        <v>1046</v>
      </c>
      <c r="J13" s="380" t="s">
        <v>1047</v>
      </c>
      <c r="K13" s="381" t="s">
        <v>1048</v>
      </c>
      <c r="L13" s="380" t="s">
        <v>1049</v>
      </c>
      <c r="M13" s="380" t="s">
        <v>1050</v>
      </c>
      <c r="N13" s="380" t="s">
        <v>1051</v>
      </c>
      <c r="O13" s="380" t="s">
        <v>1052</v>
      </c>
      <c r="P13" s="381" t="s">
        <v>1053</v>
      </c>
      <c r="Q13" s="380" t="s">
        <v>1054</v>
      </c>
      <c r="R13" s="380" t="s">
        <v>1055</v>
      </c>
      <c r="S13" s="380" t="s">
        <v>1056</v>
      </c>
      <c r="T13" s="381" t="s">
        <v>643</v>
      </c>
      <c r="U13" s="380" t="s">
        <v>642</v>
      </c>
      <c r="V13" s="380" t="s">
        <v>641</v>
      </c>
      <c r="W13" s="380" t="s">
        <v>640</v>
      </c>
      <c r="X13" s="380" t="s">
        <v>639</v>
      </c>
      <c r="Y13" s="373" t="s">
        <v>35</v>
      </c>
      <c r="Z13" s="373" t="s">
        <v>30</v>
      </c>
      <c r="AA13" s="379" t="s">
        <v>621</v>
      </c>
      <c r="AB13" s="380" t="s">
        <v>1057</v>
      </c>
      <c r="AC13" s="380" t="s">
        <v>1058</v>
      </c>
      <c r="AD13" s="380" t="s">
        <v>1059</v>
      </c>
      <c r="AE13" s="381" t="s">
        <v>1060</v>
      </c>
      <c r="AF13" s="380" t="s">
        <v>1061</v>
      </c>
      <c r="AG13" s="380" t="s">
        <v>1062</v>
      </c>
      <c r="AH13" s="380" t="s">
        <v>1063</v>
      </c>
      <c r="AI13" s="381" t="s">
        <v>1064</v>
      </c>
      <c r="AJ13" s="380" t="s">
        <v>1065</v>
      </c>
      <c r="AK13" s="380" t="s">
        <v>1066</v>
      </c>
      <c r="AL13" s="380" t="s">
        <v>1067</v>
      </c>
      <c r="AM13" s="380" t="s">
        <v>1068</v>
      </c>
      <c r="AN13" s="381" t="s">
        <v>1069</v>
      </c>
      <c r="AO13" s="380" t="s">
        <v>1070</v>
      </c>
      <c r="AP13" s="380" t="s">
        <v>1071</v>
      </c>
      <c r="AQ13" s="380" t="s">
        <v>1072</v>
      </c>
      <c r="AR13" s="381" t="s">
        <v>1073</v>
      </c>
      <c r="AS13" s="380" t="s">
        <v>1074</v>
      </c>
      <c r="AT13" s="380" t="s">
        <v>1075</v>
      </c>
      <c r="AU13" s="380" t="s">
        <v>1076</v>
      </c>
      <c r="AV13" s="380" t="s">
        <v>1077</v>
      </c>
      <c r="AW13" s="373" t="s">
        <v>35</v>
      </c>
    </row>
    <row r="14" spans="1:49" x14ac:dyDescent="0.25">
      <c r="A14" s="153" t="s">
        <v>23</v>
      </c>
      <c r="B14" s="373" t="s">
        <v>31</v>
      </c>
      <c r="C14" s="171" t="s">
        <v>907</v>
      </c>
      <c r="D14" s="380" t="s">
        <v>623</v>
      </c>
      <c r="E14" s="380" t="s">
        <v>624</v>
      </c>
      <c r="F14" s="380" t="s">
        <v>625</v>
      </c>
      <c r="G14" s="381" t="s">
        <v>626</v>
      </c>
      <c r="H14" s="380" t="s">
        <v>1078</v>
      </c>
      <c r="I14" s="380" t="s">
        <v>1079</v>
      </c>
      <c r="J14" s="380" t="s">
        <v>1080</v>
      </c>
      <c r="K14" s="381" t="s">
        <v>1081</v>
      </c>
      <c r="L14" s="380" t="s">
        <v>1082</v>
      </c>
      <c r="M14" s="380" t="s">
        <v>1083</v>
      </c>
      <c r="N14" s="380" t="s">
        <v>1084</v>
      </c>
      <c r="O14" s="380" t="s">
        <v>1085</v>
      </c>
      <c r="P14" s="381" t="s">
        <v>1086</v>
      </c>
      <c r="Q14" s="380" t="s">
        <v>1087</v>
      </c>
      <c r="R14" s="380" t="s">
        <v>1088</v>
      </c>
      <c r="S14" s="380" t="s">
        <v>1089</v>
      </c>
      <c r="T14" s="381" t="s">
        <v>638</v>
      </c>
      <c r="U14" s="380" t="s">
        <v>637</v>
      </c>
      <c r="V14" s="380" t="s">
        <v>636</v>
      </c>
      <c r="W14" s="380" t="s">
        <v>635</v>
      </c>
      <c r="X14" s="351" t="s">
        <v>908</v>
      </c>
      <c r="Y14" s="373" t="s">
        <v>34</v>
      </c>
      <c r="Z14" s="373" t="s">
        <v>31</v>
      </c>
      <c r="AA14" s="171" t="s">
        <v>907</v>
      </c>
      <c r="AB14" s="380" t="s">
        <v>1090</v>
      </c>
      <c r="AC14" s="380" t="s">
        <v>1091</v>
      </c>
      <c r="AD14" s="380" t="s">
        <v>1092</v>
      </c>
      <c r="AE14" s="381" t="s">
        <v>1093</v>
      </c>
      <c r="AF14" s="380" t="s">
        <v>1094</v>
      </c>
      <c r="AG14" s="380" t="s">
        <v>1095</v>
      </c>
      <c r="AH14" s="380" t="s">
        <v>1096</v>
      </c>
      <c r="AI14" s="381" t="s">
        <v>1097</v>
      </c>
      <c r="AJ14" s="380" t="s">
        <v>1098</v>
      </c>
      <c r="AK14" s="380" t="s">
        <v>1099</v>
      </c>
      <c r="AL14" s="380" t="s">
        <v>1100</v>
      </c>
      <c r="AM14" s="380" t="s">
        <v>1101</v>
      </c>
      <c r="AN14" s="381" t="s">
        <v>1102</v>
      </c>
      <c r="AO14" s="380" t="s">
        <v>1103</v>
      </c>
      <c r="AP14" s="380" t="s">
        <v>1104</v>
      </c>
      <c r="AQ14" s="380" t="s">
        <v>1105</v>
      </c>
      <c r="AR14" s="381" t="s">
        <v>1106</v>
      </c>
      <c r="AS14" s="380" t="s">
        <v>1107</v>
      </c>
      <c r="AT14" s="380" t="s">
        <v>1108</v>
      </c>
      <c r="AU14" s="380" t="s">
        <v>1109</v>
      </c>
      <c r="AV14" s="351" t="s">
        <v>908</v>
      </c>
      <c r="AW14" s="373" t="s">
        <v>34</v>
      </c>
    </row>
    <row r="15" spans="1:49" x14ac:dyDescent="0.25">
      <c r="A15" s="153" t="s">
        <v>24</v>
      </c>
      <c r="B15" s="373" t="s">
        <v>32</v>
      </c>
      <c r="C15" s="171" t="s">
        <v>907</v>
      </c>
      <c r="D15" s="380" t="s">
        <v>627</v>
      </c>
      <c r="E15" s="380" t="s">
        <v>628</v>
      </c>
      <c r="F15" s="380" t="s">
        <v>629</v>
      </c>
      <c r="G15" s="381" t="s">
        <v>630</v>
      </c>
      <c r="H15" s="380" t="s">
        <v>1110</v>
      </c>
      <c r="I15" s="380" t="s">
        <v>1111</v>
      </c>
      <c r="J15" s="380" t="s">
        <v>1112</v>
      </c>
      <c r="K15" s="381" t="s">
        <v>1113</v>
      </c>
      <c r="L15" s="380" t="s">
        <v>1114</v>
      </c>
      <c r="M15" s="380" t="s">
        <v>1115</v>
      </c>
      <c r="N15" s="380" t="s">
        <v>1116</v>
      </c>
      <c r="O15" s="380" t="s">
        <v>1117</v>
      </c>
      <c r="P15" s="381" t="s">
        <v>1118</v>
      </c>
      <c r="Q15" s="380" t="s">
        <v>1119</v>
      </c>
      <c r="R15" s="380" t="s">
        <v>1120</v>
      </c>
      <c r="S15" s="380" t="s">
        <v>1121</v>
      </c>
      <c r="T15" s="381" t="s">
        <v>634</v>
      </c>
      <c r="U15" s="380" t="s">
        <v>633</v>
      </c>
      <c r="V15" s="380" t="s">
        <v>632</v>
      </c>
      <c r="W15" s="380" t="s">
        <v>631</v>
      </c>
      <c r="X15" s="351" t="s">
        <v>908</v>
      </c>
      <c r="Y15" s="373" t="s">
        <v>33</v>
      </c>
      <c r="Z15" s="373" t="s">
        <v>32</v>
      </c>
      <c r="AA15" s="171" t="s">
        <v>907</v>
      </c>
      <c r="AB15" s="380" t="s">
        <v>1122</v>
      </c>
      <c r="AC15" s="380" t="s">
        <v>1123</v>
      </c>
      <c r="AD15" s="380" t="s">
        <v>1124</v>
      </c>
      <c r="AE15" s="381" t="s">
        <v>1125</v>
      </c>
      <c r="AF15" s="380" t="s">
        <v>1126</v>
      </c>
      <c r="AG15" s="380" t="s">
        <v>1127</v>
      </c>
      <c r="AH15" s="380" t="s">
        <v>1128</v>
      </c>
      <c r="AI15" s="381" t="s">
        <v>1129</v>
      </c>
      <c r="AJ15" s="380" t="s">
        <v>1130</v>
      </c>
      <c r="AK15" s="380" t="s">
        <v>1131</v>
      </c>
      <c r="AL15" s="380" t="s">
        <v>1132</v>
      </c>
      <c r="AM15" s="380" t="s">
        <v>1133</v>
      </c>
      <c r="AN15" s="381" t="s">
        <v>1134</v>
      </c>
      <c r="AO15" s="380" t="s">
        <v>1135</v>
      </c>
      <c r="AP15" s="380" t="s">
        <v>1136</v>
      </c>
      <c r="AQ15" s="380" t="s">
        <v>1137</v>
      </c>
      <c r="AR15" s="381" t="s">
        <v>1138</v>
      </c>
      <c r="AS15" s="380" t="s">
        <v>1139</v>
      </c>
      <c r="AT15" s="380" t="s">
        <v>1140</v>
      </c>
      <c r="AU15" s="380" t="s">
        <v>1141</v>
      </c>
      <c r="AV15" s="351" t="s">
        <v>908</v>
      </c>
      <c r="AW15" s="373" t="s">
        <v>33</v>
      </c>
    </row>
    <row r="16" spans="1:49" x14ac:dyDescent="0.25">
      <c r="A16" s="153" t="s">
        <v>25</v>
      </c>
      <c r="B16" s="373" t="s">
        <v>33</v>
      </c>
      <c r="C16" s="351" t="s">
        <v>908</v>
      </c>
      <c r="D16" s="380" t="s">
        <v>631</v>
      </c>
      <c r="E16" s="380" t="s">
        <v>632</v>
      </c>
      <c r="F16" s="380" t="s">
        <v>633</v>
      </c>
      <c r="G16" s="381" t="s">
        <v>634</v>
      </c>
      <c r="H16" s="380" t="s">
        <v>1121</v>
      </c>
      <c r="I16" s="380" t="s">
        <v>1120</v>
      </c>
      <c r="J16" s="380" t="s">
        <v>1119</v>
      </c>
      <c r="K16" s="381" t="s">
        <v>1118</v>
      </c>
      <c r="L16" s="380" t="s">
        <v>1117</v>
      </c>
      <c r="M16" s="380" t="s">
        <v>1116</v>
      </c>
      <c r="N16" s="380" t="s">
        <v>1115</v>
      </c>
      <c r="O16" s="380" t="s">
        <v>1114</v>
      </c>
      <c r="P16" s="381" t="s">
        <v>1113</v>
      </c>
      <c r="Q16" s="380" t="s">
        <v>1112</v>
      </c>
      <c r="R16" s="380" t="s">
        <v>1111</v>
      </c>
      <c r="S16" s="380" t="s">
        <v>1110</v>
      </c>
      <c r="T16" s="381" t="s">
        <v>630</v>
      </c>
      <c r="U16" s="380" t="s">
        <v>629</v>
      </c>
      <c r="V16" s="380" t="s">
        <v>628</v>
      </c>
      <c r="W16" s="380" t="s">
        <v>627</v>
      </c>
      <c r="X16" s="171" t="s">
        <v>907</v>
      </c>
      <c r="Y16" s="373" t="s">
        <v>32</v>
      </c>
      <c r="Z16" s="373" t="s">
        <v>33</v>
      </c>
      <c r="AA16" s="351" t="s">
        <v>908</v>
      </c>
      <c r="AB16" s="380" t="s">
        <v>1141</v>
      </c>
      <c r="AC16" s="380" t="s">
        <v>1140</v>
      </c>
      <c r="AD16" s="380" t="s">
        <v>1139</v>
      </c>
      <c r="AE16" s="381" t="s">
        <v>1138</v>
      </c>
      <c r="AF16" s="380" t="s">
        <v>1137</v>
      </c>
      <c r="AG16" s="380" t="s">
        <v>1136</v>
      </c>
      <c r="AH16" s="380" t="s">
        <v>1135</v>
      </c>
      <c r="AI16" s="381" t="s">
        <v>1134</v>
      </c>
      <c r="AJ16" s="380" t="s">
        <v>1133</v>
      </c>
      <c r="AK16" s="380" t="s">
        <v>1132</v>
      </c>
      <c r="AL16" s="380" t="s">
        <v>1131</v>
      </c>
      <c r="AM16" s="380" t="s">
        <v>1130</v>
      </c>
      <c r="AN16" s="381" t="s">
        <v>1129</v>
      </c>
      <c r="AO16" s="380" t="s">
        <v>1128</v>
      </c>
      <c r="AP16" s="380" t="s">
        <v>1127</v>
      </c>
      <c r="AQ16" s="380" t="s">
        <v>1126</v>
      </c>
      <c r="AR16" s="381" t="s">
        <v>1125</v>
      </c>
      <c r="AS16" s="380" t="s">
        <v>1124</v>
      </c>
      <c r="AT16" s="380" t="s">
        <v>1123</v>
      </c>
      <c r="AU16" s="380" t="s">
        <v>1122</v>
      </c>
      <c r="AV16" s="171" t="s">
        <v>907</v>
      </c>
      <c r="AW16" s="373" t="s">
        <v>32</v>
      </c>
    </row>
    <row r="17" spans="1:49" x14ac:dyDescent="0.25">
      <c r="A17" s="153" t="s">
        <v>26</v>
      </c>
      <c r="B17" s="373" t="s">
        <v>34</v>
      </c>
      <c r="C17" s="351" t="s">
        <v>908</v>
      </c>
      <c r="D17" s="380" t="s">
        <v>635</v>
      </c>
      <c r="E17" s="380" t="s">
        <v>636</v>
      </c>
      <c r="F17" s="380" t="s">
        <v>637</v>
      </c>
      <c r="G17" s="381" t="s">
        <v>638</v>
      </c>
      <c r="H17" s="380" t="s">
        <v>1089</v>
      </c>
      <c r="I17" s="380" t="s">
        <v>1088</v>
      </c>
      <c r="J17" s="380" t="s">
        <v>1087</v>
      </c>
      <c r="K17" s="381" t="s">
        <v>1086</v>
      </c>
      <c r="L17" s="380" t="s">
        <v>1085</v>
      </c>
      <c r="M17" s="380" t="s">
        <v>1084</v>
      </c>
      <c r="N17" s="380" t="s">
        <v>1083</v>
      </c>
      <c r="O17" s="380" t="s">
        <v>1082</v>
      </c>
      <c r="P17" s="381" t="s">
        <v>1081</v>
      </c>
      <c r="Q17" s="380" t="s">
        <v>1080</v>
      </c>
      <c r="R17" s="380" t="s">
        <v>1079</v>
      </c>
      <c r="S17" s="380" t="s">
        <v>1078</v>
      </c>
      <c r="T17" s="381" t="s">
        <v>626</v>
      </c>
      <c r="U17" s="380" t="s">
        <v>625</v>
      </c>
      <c r="V17" s="380" t="s">
        <v>624</v>
      </c>
      <c r="W17" s="380" t="s">
        <v>623</v>
      </c>
      <c r="X17" s="171" t="s">
        <v>907</v>
      </c>
      <c r="Y17" s="373" t="s">
        <v>31</v>
      </c>
      <c r="Z17" s="373" t="s">
        <v>34</v>
      </c>
      <c r="AA17" s="351" t="s">
        <v>908</v>
      </c>
      <c r="AB17" s="380" t="s">
        <v>1109</v>
      </c>
      <c r="AC17" s="380" t="s">
        <v>1108</v>
      </c>
      <c r="AD17" s="380" t="s">
        <v>1107</v>
      </c>
      <c r="AE17" s="381" t="s">
        <v>1106</v>
      </c>
      <c r="AF17" s="380" t="s">
        <v>1105</v>
      </c>
      <c r="AG17" s="380" t="s">
        <v>1104</v>
      </c>
      <c r="AH17" s="380" t="s">
        <v>1103</v>
      </c>
      <c r="AI17" s="381" t="s">
        <v>1102</v>
      </c>
      <c r="AJ17" s="380" t="s">
        <v>1101</v>
      </c>
      <c r="AK17" s="380" t="s">
        <v>1100</v>
      </c>
      <c r="AL17" s="380" t="s">
        <v>1099</v>
      </c>
      <c r="AM17" s="380" t="s">
        <v>1098</v>
      </c>
      <c r="AN17" s="381" t="s">
        <v>1097</v>
      </c>
      <c r="AO17" s="380" t="s">
        <v>1096</v>
      </c>
      <c r="AP17" s="380" t="s">
        <v>1095</v>
      </c>
      <c r="AQ17" s="380" t="s">
        <v>1094</v>
      </c>
      <c r="AR17" s="381" t="s">
        <v>1093</v>
      </c>
      <c r="AS17" s="380" t="s">
        <v>1092</v>
      </c>
      <c r="AT17" s="380" t="s">
        <v>1091</v>
      </c>
      <c r="AU17" s="380" t="s">
        <v>1090</v>
      </c>
      <c r="AV17" s="171" t="s">
        <v>907</v>
      </c>
      <c r="AW17" s="373" t="s">
        <v>31</v>
      </c>
    </row>
    <row r="18" spans="1:49" x14ac:dyDescent="0.25">
      <c r="A18" s="153" t="s">
        <v>27</v>
      </c>
      <c r="B18" s="373" t="s">
        <v>35</v>
      </c>
      <c r="C18" s="380" t="s">
        <v>639</v>
      </c>
      <c r="D18" s="380" t="s">
        <v>640</v>
      </c>
      <c r="E18" s="380" t="s">
        <v>641</v>
      </c>
      <c r="F18" s="380" t="s">
        <v>642</v>
      </c>
      <c r="G18" s="381" t="s">
        <v>643</v>
      </c>
      <c r="H18" s="380" t="s">
        <v>1056</v>
      </c>
      <c r="I18" s="380" t="s">
        <v>1055</v>
      </c>
      <c r="J18" s="380" t="s">
        <v>1054</v>
      </c>
      <c r="K18" s="381" t="s">
        <v>1053</v>
      </c>
      <c r="L18" s="380" t="s">
        <v>1052</v>
      </c>
      <c r="M18" s="380" t="s">
        <v>1051</v>
      </c>
      <c r="N18" s="380" t="s">
        <v>1050</v>
      </c>
      <c r="O18" s="380" t="s">
        <v>1049</v>
      </c>
      <c r="P18" s="381" t="s">
        <v>1048</v>
      </c>
      <c r="Q18" s="380" t="s">
        <v>1047</v>
      </c>
      <c r="R18" s="380" t="s">
        <v>1046</v>
      </c>
      <c r="S18" s="380" t="s">
        <v>1045</v>
      </c>
      <c r="T18" s="381" t="s">
        <v>656</v>
      </c>
      <c r="U18" s="380" t="s">
        <v>655</v>
      </c>
      <c r="V18" s="380" t="s">
        <v>654</v>
      </c>
      <c r="W18" s="380" t="s">
        <v>653</v>
      </c>
      <c r="X18" s="379" t="s">
        <v>621</v>
      </c>
      <c r="Y18" s="373" t="s">
        <v>30</v>
      </c>
      <c r="Z18" s="373" t="s">
        <v>35</v>
      </c>
      <c r="AA18" s="380" t="s">
        <v>1077</v>
      </c>
      <c r="AB18" s="380" t="s">
        <v>1076</v>
      </c>
      <c r="AC18" s="380" t="s">
        <v>1075</v>
      </c>
      <c r="AD18" s="380" t="s">
        <v>1074</v>
      </c>
      <c r="AE18" s="381" t="s">
        <v>1073</v>
      </c>
      <c r="AF18" s="380" t="s">
        <v>1072</v>
      </c>
      <c r="AG18" s="380" t="s">
        <v>1071</v>
      </c>
      <c r="AH18" s="380" t="s">
        <v>1070</v>
      </c>
      <c r="AI18" s="381" t="s">
        <v>1069</v>
      </c>
      <c r="AJ18" s="380" t="s">
        <v>1068</v>
      </c>
      <c r="AK18" s="380" t="s">
        <v>1067</v>
      </c>
      <c r="AL18" s="380" t="s">
        <v>1066</v>
      </c>
      <c r="AM18" s="380" t="s">
        <v>1065</v>
      </c>
      <c r="AN18" s="381" t="s">
        <v>1064</v>
      </c>
      <c r="AO18" s="380" t="s">
        <v>1063</v>
      </c>
      <c r="AP18" s="380" t="s">
        <v>1062</v>
      </c>
      <c r="AQ18" s="380" t="s">
        <v>1061</v>
      </c>
      <c r="AR18" s="381" t="s">
        <v>1060</v>
      </c>
      <c r="AS18" s="380" t="s">
        <v>1059</v>
      </c>
      <c r="AT18" s="380" t="s">
        <v>1058</v>
      </c>
      <c r="AU18" s="380" t="s">
        <v>1057</v>
      </c>
      <c r="AV18" s="379" t="s">
        <v>621</v>
      </c>
      <c r="AW18" s="373" t="s">
        <v>30</v>
      </c>
    </row>
    <row r="19" spans="1:49" x14ac:dyDescent="0.25">
      <c r="A19" s="153" t="s">
        <v>28</v>
      </c>
      <c r="B19" s="373" t="s">
        <v>228</v>
      </c>
      <c r="C19" s="380" t="s">
        <v>644</v>
      </c>
      <c r="D19" s="380" t="s">
        <v>645</v>
      </c>
      <c r="E19" s="380" t="s">
        <v>646</v>
      </c>
      <c r="F19" s="380" t="s">
        <v>647</v>
      </c>
      <c r="G19" s="381" t="s">
        <v>648</v>
      </c>
      <c r="H19" s="380" t="s">
        <v>1023</v>
      </c>
      <c r="I19" s="380" t="s">
        <v>1022</v>
      </c>
      <c r="J19" s="380" t="s">
        <v>1021</v>
      </c>
      <c r="K19" s="381" t="s">
        <v>1020</v>
      </c>
      <c r="L19" s="380" t="s">
        <v>1019</v>
      </c>
      <c r="M19" s="380" t="s">
        <v>1018</v>
      </c>
      <c r="N19" s="380" t="s">
        <v>1017</v>
      </c>
      <c r="O19" s="380" t="s">
        <v>1016</v>
      </c>
      <c r="P19" s="381" t="s">
        <v>1015</v>
      </c>
      <c r="Q19" s="380" t="s">
        <v>1014</v>
      </c>
      <c r="R19" s="380" t="s">
        <v>1013</v>
      </c>
      <c r="S19" s="380" t="s">
        <v>1012</v>
      </c>
      <c r="T19" s="381" t="s">
        <v>652</v>
      </c>
      <c r="U19" s="380" t="s">
        <v>651</v>
      </c>
      <c r="V19" s="380" t="s">
        <v>650</v>
      </c>
      <c r="W19" s="380" t="s">
        <v>649</v>
      </c>
      <c r="X19" s="379" t="s">
        <v>621</v>
      </c>
      <c r="Y19" s="373" t="s">
        <v>29</v>
      </c>
      <c r="Z19" s="373" t="s">
        <v>228</v>
      </c>
      <c r="AA19" s="380" t="s">
        <v>1044</v>
      </c>
      <c r="AB19" s="380" t="s">
        <v>1043</v>
      </c>
      <c r="AC19" s="380" t="s">
        <v>1042</v>
      </c>
      <c r="AD19" s="380" t="s">
        <v>1041</v>
      </c>
      <c r="AE19" s="381" t="s">
        <v>1040</v>
      </c>
      <c r="AF19" s="380" t="s">
        <v>1039</v>
      </c>
      <c r="AG19" s="380" t="s">
        <v>1038</v>
      </c>
      <c r="AH19" s="380" t="s">
        <v>1037</v>
      </c>
      <c r="AI19" s="381" t="s">
        <v>1036</v>
      </c>
      <c r="AJ19" s="380" t="s">
        <v>1035</v>
      </c>
      <c r="AK19" s="380" t="s">
        <v>1034</v>
      </c>
      <c r="AL19" s="380" t="s">
        <v>1033</v>
      </c>
      <c r="AM19" s="380" t="s">
        <v>1032</v>
      </c>
      <c r="AN19" s="381" t="s">
        <v>1031</v>
      </c>
      <c r="AO19" s="380" t="s">
        <v>1030</v>
      </c>
      <c r="AP19" s="380" t="s">
        <v>1029</v>
      </c>
      <c r="AQ19" s="380" t="s">
        <v>1028</v>
      </c>
      <c r="AR19" s="381" t="s">
        <v>1027</v>
      </c>
      <c r="AS19" s="380" t="s">
        <v>1026</v>
      </c>
      <c r="AT19" s="380" t="s">
        <v>1025</v>
      </c>
      <c r="AU19" s="380" t="s">
        <v>1024</v>
      </c>
      <c r="AV19" s="379" t="s">
        <v>621</v>
      </c>
      <c r="AW19" s="373" t="s">
        <v>29</v>
      </c>
    </row>
    <row r="20" spans="1:49" x14ac:dyDescent="0.25">
      <c r="N20" s="26"/>
      <c r="O20" s="26"/>
      <c r="P20" s="26"/>
      <c r="Q20" s="26"/>
      <c r="R20" s="26"/>
      <c r="S20" s="26"/>
      <c r="T20" s="26"/>
      <c r="U20" s="26"/>
      <c r="V20" s="26"/>
      <c r="W20" s="26"/>
      <c r="X20" s="26"/>
      <c r="Y20" s="26"/>
      <c r="Z20" s="26"/>
    </row>
    <row r="21" spans="1:49" x14ac:dyDescent="0.25">
      <c r="N21" s="26"/>
      <c r="O21" s="26"/>
      <c r="P21" s="26"/>
      <c r="Q21" s="26"/>
      <c r="R21" s="26"/>
      <c r="S21" s="26"/>
      <c r="T21" s="26"/>
      <c r="U21" s="26"/>
      <c r="V21" s="26"/>
      <c r="W21" s="26"/>
      <c r="X21" s="26"/>
      <c r="Y21" s="26"/>
      <c r="Z21" s="26"/>
    </row>
    <row r="22" spans="1:49" x14ac:dyDescent="0.25">
      <c r="A22" s="155" t="s">
        <v>657</v>
      </c>
      <c r="N22" s="26"/>
      <c r="O22" s="26"/>
      <c r="P22" s="26"/>
      <c r="Q22" s="26"/>
      <c r="R22" s="26"/>
      <c r="S22" s="26"/>
      <c r="T22" s="26"/>
      <c r="U22" s="26"/>
      <c r="V22" s="26"/>
      <c r="W22" s="26"/>
      <c r="X22" s="26"/>
      <c r="Y22" s="26"/>
      <c r="Z22" s="26"/>
    </row>
    <row r="23" spans="1:49" x14ac:dyDescent="0.25">
      <c r="A23" s="153"/>
      <c r="B23" s="153">
        <v>1</v>
      </c>
      <c r="C23" s="153">
        <v>2</v>
      </c>
      <c r="D23" s="153">
        <v>3</v>
      </c>
      <c r="E23" s="153">
        <v>4</v>
      </c>
      <c r="F23" s="153">
        <v>5</v>
      </c>
      <c r="G23" s="153">
        <v>6</v>
      </c>
      <c r="H23" s="153">
        <v>7</v>
      </c>
      <c r="I23" s="153">
        <v>8</v>
      </c>
      <c r="J23" s="153">
        <v>9</v>
      </c>
      <c r="K23" s="153">
        <v>10</v>
      </c>
      <c r="L23" s="153">
        <v>11</v>
      </c>
      <c r="M23" s="153">
        <v>12</v>
      </c>
      <c r="N23" s="153">
        <v>13</v>
      </c>
      <c r="O23" s="153">
        <v>14</v>
      </c>
      <c r="P23" s="153">
        <v>15</v>
      </c>
      <c r="Q23" s="153">
        <v>16</v>
      </c>
      <c r="R23" s="153">
        <v>17</v>
      </c>
      <c r="S23" s="153">
        <v>18</v>
      </c>
      <c r="T23" s="153">
        <v>19</v>
      </c>
      <c r="U23" s="153">
        <v>20</v>
      </c>
      <c r="V23" s="153">
        <v>21</v>
      </c>
      <c r="W23" s="153">
        <v>22</v>
      </c>
      <c r="X23" s="153">
        <v>23</v>
      </c>
      <c r="Y23" s="153">
        <v>24</v>
      </c>
      <c r="Z23" s="153">
        <v>25</v>
      </c>
      <c r="AA23" s="153">
        <v>26</v>
      </c>
      <c r="AB23" s="153">
        <v>27</v>
      </c>
      <c r="AC23" s="153">
        <v>28</v>
      </c>
      <c r="AD23" s="153">
        <v>29</v>
      </c>
      <c r="AE23" s="153">
        <v>30</v>
      </c>
      <c r="AF23" s="153">
        <v>31</v>
      </c>
      <c r="AG23" s="153">
        <v>32</v>
      </c>
      <c r="AH23" s="153">
        <v>33</v>
      </c>
      <c r="AI23" s="153">
        <v>34</v>
      </c>
      <c r="AJ23" s="153">
        <v>35</v>
      </c>
      <c r="AK23" s="153">
        <v>36</v>
      </c>
      <c r="AL23" s="153">
        <v>37</v>
      </c>
      <c r="AM23" s="153">
        <v>38</v>
      </c>
      <c r="AN23" s="153">
        <v>39</v>
      </c>
      <c r="AO23" s="153">
        <v>40</v>
      </c>
      <c r="AP23" s="153">
        <v>41</v>
      </c>
      <c r="AQ23" s="153">
        <v>42</v>
      </c>
      <c r="AR23" s="153">
        <v>43</v>
      </c>
      <c r="AS23" s="153">
        <v>44</v>
      </c>
      <c r="AT23" s="153">
        <v>45</v>
      </c>
      <c r="AU23" s="153">
        <v>46</v>
      </c>
      <c r="AV23" s="153">
        <v>47</v>
      </c>
      <c r="AW23" s="153">
        <v>48</v>
      </c>
    </row>
    <row r="24" spans="1:49" x14ac:dyDescent="0.25">
      <c r="A24" s="153" t="s">
        <v>21</v>
      </c>
      <c r="B24" s="165">
        <f>Report!B15</f>
        <v>2.6560000000000001</v>
      </c>
      <c r="C24" s="165">
        <f>Report!C15</f>
        <v>0.39</v>
      </c>
      <c r="D24" s="165">
        <f>Report!D15</f>
        <v>0.22800000000000004</v>
      </c>
      <c r="E24" s="165">
        <f>Report!E15</f>
        <v>0.57499999999999996</v>
      </c>
      <c r="F24" s="165">
        <f>Report!F15</f>
        <v>0.46600000000000003</v>
      </c>
      <c r="G24" s="165">
        <f>Report!G15</f>
        <v>0.46100000000000002</v>
      </c>
      <c r="H24" s="165">
        <f>Report!H15</f>
        <v>0.49900000000000005</v>
      </c>
      <c r="I24" s="165">
        <f>Report!I15</f>
        <v>0.248</v>
      </c>
      <c r="J24" s="165">
        <f>Report!J15</f>
        <v>0.24</v>
      </c>
      <c r="K24" s="165">
        <f>Report!K15</f>
        <v>0.27700000000000002</v>
      </c>
      <c r="L24" s="165">
        <f>Report!L15</f>
        <v>0.29700000000000004</v>
      </c>
      <c r="M24" s="165">
        <f>Report!M15</f>
        <v>0.64499999999999991</v>
      </c>
      <c r="N24" s="165">
        <f>Report!N15</f>
        <v>0.58699999999999997</v>
      </c>
      <c r="O24" s="165">
        <f>Report!O15</f>
        <v>0.55999999999999994</v>
      </c>
      <c r="P24" s="165">
        <f>Report!P15</f>
        <v>0.25800000000000001</v>
      </c>
      <c r="Q24" s="165">
        <f>Report!Q15</f>
        <v>0.25800000000000001</v>
      </c>
      <c r="R24" s="165">
        <f>Report!R15</f>
        <v>0.22200000000000003</v>
      </c>
      <c r="S24" s="165">
        <f>Report!S15</f>
        <v>0.22000000000000003</v>
      </c>
      <c r="T24" s="165">
        <f>Report!T15</f>
        <v>0.45100000000000001</v>
      </c>
      <c r="U24" s="165">
        <f>Report!U15</f>
        <v>0.433</v>
      </c>
      <c r="V24" s="165">
        <f>Report!V15</f>
        <v>0.53099999999999992</v>
      </c>
      <c r="W24" s="165">
        <f>Report!W15</f>
        <v>0.55000000000000004</v>
      </c>
      <c r="X24" s="165">
        <f>Report!X15</f>
        <v>0.51400000000000001</v>
      </c>
      <c r="Y24" s="165">
        <f>Report!Y15</f>
        <v>1.2000000000000004E-2</v>
      </c>
      <c r="Z24" s="165">
        <f>Report!Z15</f>
        <v>2.613</v>
      </c>
      <c r="AA24" s="165">
        <f>Report!AA15</f>
        <v>0.40100000000000002</v>
      </c>
      <c r="AB24" s="165">
        <f>Report!AB15</f>
        <v>0.60899999999999999</v>
      </c>
      <c r="AC24" s="165">
        <f>Report!AC15</f>
        <v>0.45</v>
      </c>
      <c r="AD24" s="165">
        <f>Report!AD15</f>
        <v>0.54199999999999993</v>
      </c>
      <c r="AE24" s="165">
        <f>Report!AE15</f>
        <v>0.57499999999999996</v>
      </c>
      <c r="AF24" s="165">
        <f>Report!AF15</f>
        <v>9.0000000000000011E-3</v>
      </c>
      <c r="AG24" s="165">
        <f>Report!AG15</f>
        <v>1.0000000000000002E-2</v>
      </c>
      <c r="AH24" s="165">
        <f>Report!AH15</f>
        <v>9.999999999999995E-3</v>
      </c>
      <c r="AI24" s="165">
        <f>Report!AI15</f>
        <v>8.0000000000000002E-3</v>
      </c>
      <c r="AJ24" s="165">
        <f>Report!AJ15</f>
        <v>8.0000000000000002E-3</v>
      </c>
      <c r="AK24" s="165">
        <f>Report!AK15</f>
        <v>6.9999999999999993E-3</v>
      </c>
      <c r="AL24" s="165">
        <f>Report!AL15</f>
        <v>8.0000000000000002E-3</v>
      </c>
      <c r="AM24" s="165">
        <f>Report!AM15</f>
        <v>9.0000000000000011E-3</v>
      </c>
      <c r="AN24" s="165">
        <f>Report!AN15</f>
        <v>1.0000000000000002E-2</v>
      </c>
      <c r="AO24" s="165">
        <f>Report!AO15</f>
        <v>8.0000000000000002E-3</v>
      </c>
      <c r="AP24" s="165">
        <f>Report!AP15</f>
        <v>8.0000000000000002E-3</v>
      </c>
      <c r="AQ24" s="165">
        <f>Report!AQ15</f>
        <v>8.0000000000000002E-3</v>
      </c>
      <c r="AR24" s="165">
        <f>Report!AR15</f>
        <v>8.9999999999999941E-3</v>
      </c>
      <c r="AS24" s="165">
        <f>Report!AS15</f>
        <v>0.626</v>
      </c>
      <c r="AT24" s="165">
        <f>Report!AT15</f>
        <v>0.23400000000000004</v>
      </c>
      <c r="AU24" s="165">
        <f>Report!AU15</f>
        <v>0.54099999999999993</v>
      </c>
      <c r="AV24" s="165">
        <f>Report!AV15</f>
        <v>0.42299999999999999</v>
      </c>
      <c r="AW24" s="165">
        <f>Report!AW15</f>
        <v>1.2000000000000004E-2</v>
      </c>
    </row>
    <row r="25" spans="1:49" x14ac:dyDescent="0.25">
      <c r="A25" s="153" t="s">
        <v>22</v>
      </c>
      <c r="B25" s="165">
        <f>Report!B16</f>
        <v>1.873</v>
      </c>
      <c r="C25" s="165">
        <f>Report!C16</f>
        <v>0.34900000000000003</v>
      </c>
      <c r="D25" s="165">
        <f>Report!D16</f>
        <v>0.54999999999999993</v>
      </c>
      <c r="E25" s="165">
        <f>Report!E16</f>
        <v>0.53899999999999992</v>
      </c>
      <c r="F25" s="165">
        <f>Report!F16</f>
        <v>0.39800000000000002</v>
      </c>
      <c r="G25" s="165">
        <f>Report!G16</f>
        <v>0.438</v>
      </c>
      <c r="H25" s="165">
        <f>Report!H16</f>
        <v>0.48200000000000004</v>
      </c>
      <c r="I25" s="165">
        <f>Report!I16</f>
        <v>0.22400000000000003</v>
      </c>
      <c r="J25" s="165">
        <f>Report!J16</f>
        <v>0.22700000000000004</v>
      </c>
      <c r="K25" s="165">
        <f>Report!K16</f>
        <v>0.254</v>
      </c>
      <c r="L25" s="165">
        <f>Report!L16</f>
        <v>0.28300000000000003</v>
      </c>
      <c r="M25" s="165">
        <f>Report!M16</f>
        <v>0.60299999999999998</v>
      </c>
      <c r="N25" s="165">
        <f>Report!N16</f>
        <v>0.60199999999999998</v>
      </c>
      <c r="O25" s="165">
        <f>Report!O16</f>
        <v>0.53799999999999992</v>
      </c>
      <c r="P25" s="165">
        <f>Report!P16</f>
        <v>0.245</v>
      </c>
      <c r="Q25" s="165">
        <f>Report!Q16</f>
        <v>0.20500000000000002</v>
      </c>
      <c r="R25" s="165">
        <f>Report!R16</f>
        <v>0.22000000000000003</v>
      </c>
      <c r="S25" s="165">
        <f>Report!S16</f>
        <v>0.21100000000000002</v>
      </c>
      <c r="T25" s="165">
        <f>Report!T16</f>
        <v>0.438</v>
      </c>
      <c r="U25" s="165">
        <f>Report!U16</f>
        <v>0.441</v>
      </c>
      <c r="V25" s="165">
        <f>Report!V16</f>
        <v>0.54099999999999993</v>
      </c>
      <c r="W25" s="165">
        <f>Report!W16</f>
        <v>0.52499999999999991</v>
      </c>
      <c r="X25" s="165">
        <f>Report!X16</f>
        <v>0.53499999999999992</v>
      </c>
      <c r="Y25" s="165">
        <f>Report!Y16</f>
        <v>1.5000000000000006E-2</v>
      </c>
      <c r="Z25" s="165">
        <f>Report!Z16</f>
        <v>1.8780000000000001</v>
      </c>
      <c r="AA25" s="165">
        <f>Report!AA16</f>
        <v>0.373</v>
      </c>
      <c r="AB25" s="165">
        <f>Report!AB16</f>
        <v>0.59299999999999997</v>
      </c>
      <c r="AC25" s="165">
        <f>Report!AC16</f>
        <v>0.49700000000000005</v>
      </c>
      <c r="AD25" s="165">
        <f>Report!AD16</f>
        <v>0.22800000000000004</v>
      </c>
      <c r="AE25" s="165">
        <f>Report!AE16</f>
        <v>0.5</v>
      </c>
      <c r="AF25" s="165">
        <f>Report!AF16</f>
        <v>1.0000000000000002E-2</v>
      </c>
      <c r="AG25" s="165">
        <f>Report!AG16</f>
        <v>9.0000000000000011E-3</v>
      </c>
      <c r="AH25" s="165">
        <f>Report!AH16</f>
        <v>8.0000000000000002E-3</v>
      </c>
      <c r="AI25" s="165">
        <f>Report!AI16</f>
        <v>8.0000000000000002E-3</v>
      </c>
      <c r="AJ25" s="165">
        <f>Report!AJ16</f>
        <v>9.0000000000000011E-3</v>
      </c>
      <c r="AK25" s="165">
        <f>Report!AK16</f>
        <v>6.9999999999999993E-3</v>
      </c>
      <c r="AL25" s="165">
        <f>Report!AL16</f>
        <v>1.0000000000000002E-2</v>
      </c>
      <c r="AM25" s="165">
        <f>Report!AM16</f>
        <v>1.1000000000000003E-2</v>
      </c>
      <c r="AN25" s="165">
        <f>Report!AN16</f>
        <v>7.0000000000000062E-3</v>
      </c>
      <c r="AO25" s="165">
        <f>Report!AO16</f>
        <v>1.2000000000000004E-2</v>
      </c>
      <c r="AP25" s="165">
        <f>Report!AP16</f>
        <v>1.7000000000000008E-2</v>
      </c>
      <c r="AQ25" s="165">
        <f>Report!AQ16</f>
        <v>2.700000000000001E-2</v>
      </c>
      <c r="AR25" s="165">
        <f>Report!AR16</f>
        <v>8.0000000000000002E-3</v>
      </c>
      <c r="AS25" s="165">
        <f>Report!AS16</f>
        <v>0.59799999999999998</v>
      </c>
      <c r="AT25" s="165">
        <f>Report!AT16</f>
        <v>0.24299999999999999</v>
      </c>
      <c r="AU25" s="165">
        <f>Report!AU16</f>
        <v>0.49300000000000005</v>
      </c>
      <c r="AV25" s="165">
        <f>Report!AV16</f>
        <v>0.64599999999999991</v>
      </c>
      <c r="AW25" s="165">
        <f>Report!AW16</f>
        <v>1.6E-2</v>
      </c>
    </row>
    <row r="26" spans="1:49" x14ac:dyDescent="0.25">
      <c r="A26" s="153" t="s">
        <v>23</v>
      </c>
      <c r="B26" s="165">
        <f>Report!B17</f>
        <v>0.72599999999999998</v>
      </c>
      <c r="C26" s="165">
        <f>Report!C17</f>
        <v>1.8</v>
      </c>
      <c r="D26" s="165">
        <f>Report!D17</f>
        <v>0.50600000000000001</v>
      </c>
      <c r="E26" s="165">
        <f>Report!E17</f>
        <v>0.56499999999999995</v>
      </c>
      <c r="F26" s="165">
        <f>Report!F17</f>
        <v>0.38400000000000001</v>
      </c>
      <c r="G26" s="165">
        <f>Report!G17</f>
        <v>0.41899999999999998</v>
      </c>
      <c r="H26" s="165">
        <f>Report!H17</f>
        <v>0.23099999999999998</v>
      </c>
      <c r="I26" s="165">
        <f>Report!I17</f>
        <v>0.21899999999999997</v>
      </c>
      <c r="J26" s="165">
        <f>Report!J17</f>
        <v>0.22600000000000003</v>
      </c>
      <c r="K26" s="165">
        <f>Report!K17</f>
        <v>0.27200000000000002</v>
      </c>
      <c r="L26" s="165">
        <f>Report!L17</f>
        <v>0.27</v>
      </c>
      <c r="M26" s="165">
        <f>Report!M17</f>
        <v>0.59699999999999998</v>
      </c>
      <c r="N26" s="165">
        <f>Report!N17</f>
        <v>0.57299999999999995</v>
      </c>
      <c r="O26" s="165">
        <f>Report!O17</f>
        <v>0.26100000000000001</v>
      </c>
      <c r="P26" s="165">
        <f>Report!P17</f>
        <v>0.26</v>
      </c>
      <c r="Q26" s="165">
        <f>Report!Q17</f>
        <v>0.26900000000000002</v>
      </c>
      <c r="R26" s="165">
        <f>Report!R17</f>
        <v>0.20300000000000001</v>
      </c>
      <c r="S26" s="165">
        <f>Report!S17</f>
        <v>0.20400000000000001</v>
      </c>
      <c r="T26" s="165">
        <f>Report!T17</f>
        <v>0.44700000000000001</v>
      </c>
      <c r="U26" s="165">
        <f>Report!U17</f>
        <v>0.41100000000000003</v>
      </c>
      <c r="V26" s="165">
        <f>Report!V17</f>
        <v>0.52699999999999991</v>
      </c>
      <c r="W26" s="165">
        <f>Report!W17</f>
        <v>0.53099999999999992</v>
      </c>
      <c r="X26" s="165">
        <f>Report!X17</f>
        <v>9.6000000000000016E-2</v>
      </c>
      <c r="Y26" s="165">
        <f>Report!Y17</f>
        <v>3.7000000000000005E-2</v>
      </c>
      <c r="Z26" s="165">
        <f>Report!Z17</f>
        <v>0.76100000000000001</v>
      </c>
      <c r="AA26" s="165">
        <f>Report!AA17</f>
        <v>1.8080000000000001</v>
      </c>
      <c r="AB26" s="165">
        <f>Report!AB17</f>
        <v>0.63400000000000001</v>
      </c>
      <c r="AC26" s="165">
        <f>Report!AC17</f>
        <v>0.46200000000000002</v>
      </c>
      <c r="AD26" s="165">
        <f>Report!AD17</f>
        <v>0.248</v>
      </c>
      <c r="AE26" s="165">
        <f>Report!AE17</f>
        <v>0.187</v>
      </c>
      <c r="AF26" s="165">
        <f>Report!AF17</f>
        <v>1.4999999999999999E-2</v>
      </c>
      <c r="AG26" s="165">
        <f>Report!AG17</f>
        <v>1.1000000000000003E-2</v>
      </c>
      <c r="AH26" s="165">
        <f>Report!AH17</f>
        <v>1.6000000000000007E-2</v>
      </c>
      <c r="AI26" s="165">
        <f>Report!AI17</f>
        <v>9.0000000000000011E-3</v>
      </c>
      <c r="AJ26" s="165">
        <f>Report!AJ17</f>
        <v>8.9999999999999941E-3</v>
      </c>
      <c r="AK26" s="165">
        <f>Report!AK17</f>
        <v>7.0000000000000062E-3</v>
      </c>
      <c r="AL26" s="165">
        <f>Report!AL17</f>
        <v>1.1000000000000003E-2</v>
      </c>
      <c r="AM26" s="165">
        <f>Report!AM17</f>
        <v>8.0000000000000002E-3</v>
      </c>
      <c r="AN26" s="165">
        <f>Report!AN17</f>
        <v>6.9999999999999993E-3</v>
      </c>
      <c r="AO26" s="165">
        <f>Report!AO17</f>
        <v>8.0000000000000002E-3</v>
      </c>
      <c r="AP26" s="165">
        <f>Report!AP17</f>
        <v>1.1000000000000003E-2</v>
      </c>
      <c r="AQ26" s="165">
        <f>Report!AQ17</f>
        <v>9.0000000000000011E-3</v>
      </c>
      <c r="AR26" s="165">
        <f>Report!AR17</f>
        <v>8.0000000000000002E-3</v>
      </c>
      <c r="AS26" s="165">
        <f>Report!AS17</f>
        <v>0.252</v>
      </c>
      <c r="AT26" s="165">
        <f>Report!AT17</f>
        <v>0.44500000000000001</v>
      </c>
      <c r="AU26" s="165">
        <f>Report!AU17</f>
        <v>0.60299999999999998</v>
      </c>
      <c r="AV26" s="165">
        <f>Report!AV17</f>
        <v>8.900000000000001E-2</v>
      </c>
      <c r="AW26" s="165">
        <f>Report!AW17</f>
        <v>3.2000000000000001E-2</v>
      </c>
    </row>
    <row r="27" spans="1:49" x14ac:dyDescent="0.25">
      <c r="A27" s="153" t="s">
        <v>24</v>
      </c>
      <c r="B27" s="165">
        <f>Report!B18</f>
        <v>0.25800000000000001</v>
      </c>
      <c r="C27" s="165">
        <f>Report!C18</f>
        <v>1.704</v>
      </c>
      <c r="D27" s="165">
        <f>Report!D18</f>
        <v>0.49700000000000005</v>
      </c>
      <c r="E27" s="165">
        <f>Report!E18</f>
        <v>0.54599999999999993</v>
      </c>
      <c r="F27" s="165">
        <f>Report!F18</f>
        <v>0.44400000000000001</v>
      </c>
      <c r="G27" s="165">
        <f>Report!G18</f>
        <v>0.45600000000000002</v>
      </c>
      <c r="H27" s="165">
        <f>Report!H18</f>
        <v>0.22500000000000003</v>
      </c>
      <c r="I27" s="165">
        <f>Report!I18</f>
        <v>0.21300000000000002</v>
      </c>
      <c r="J27" s="165">
        <f>Report!J18</f>
        <v>0.23100000000000004</v>
      </c>
      <c r="K27" s="165">
        <f>Report!K18</f>
        <v>0.251</v>
      </c>
      <c r="L27" s="165">
        <f>Report!L18</f>
        <v>0.27800000000000002</v>
      </c>
      <c r="M27" s="165">
        <f>Report!M18</f>
        <v>0.55899999999999994</v>
      </c>
      <c r="N27" s="165">
        <f>Report!N18</f>
        <v>0.57600000000000007</v>
      </c>
      <c r="O27" s="165">
        <f>Report!O18</f>
        <v>0.26500000000000001</v>
      </c>
      <c r="P27" s="165">
        <f>Report!P18</f>
        <v>0.26900000000000002</v>
      </c>
      <c r="Q27" s="165">
        <f>Report!Q18</f>
        <v>0.26200000000000001</v>
      </c>
      <c r="R27" s="165">
        <f>Report!R18</f>
        <v>0.22500000000000003</v>
      </c>
      <c r="S27" s="165">
        <f>Report!S18</f>
        <v>0.21600000000000003</v>
      </c>
      <c r="T27" s="165">
        <f>Report!T18</f>
        <v>0.46</v>
      </c>
      <c r="U27" s="165">
        <f>Report!U18</f>
        <v>0.45400000000000001</v>
      </c>
      <c r="V27" s="165">
        <f>Report!V18</f>
        <v>0.54599999999999993</v>
      </c>
      <c r="W27" s="165">
        <f>Report!W18</f>
        <v>0.51899999999999991</v>
      </c>
      <c r="X27" s="165">
        <f>Report!X18</f>
        <v>9.3000000000000013E-2</v>
      </c>
      <c r="Y27" s="165">
        <f>Report!Y18</f>
        <v>9.1000000000000011E-2</v>
      </c>
      <c r="Z27" s="165">
        <f>Report!Z18</f>
        <v>0.27300000000000002</v>
      </c>
      <c r="AA27" s="165">
        <f>Report!AA18</f>
        <v>1.762</v>
      </c>
      <c r="AB27" s="165">
        <f>Report!AB18</f>
        <v>0.59399999999999997</v>
      </c>
      <c r="AC27" s="165">
        <f>Report!AC18</f>
        <v>0.46</v>
      </c>
      <c r="AD27" s="165">
        <f>Report!AD18</f>
        <v>0.28999999999999998</v>
      </c>
      <c r="AE27" s="165">
        <f>Report!AE18</f>
        <v>1.3999999999999999E-2</v>
      </c>
      <c r="AF27" s="165">
        <f>Report!AF18</f>
        <v>8.0000000000000002E-3</v>
      </c>
      <c r="AG27" s="165">
        <f>Report!AG18</f>
        <v>9.0000000000000011E-3</v>
      </c>
      <c r="AH27" s="165">
        <f>Report!AH18</f>
        <v>6.9999999999999993E-3</v>
      </c>
      <c r="AI27" s="165">
        <f>Report!AI18</f>
        <v>6.9999999999999993E-3</v>
      </c>
      <c r="AJ27" s="165">
        <f>Report!AJ18</f>
        <v>8.0000000000000002E-3</v>
      </c>
      <c r="AK27" s="165">
        <f>Report!AK18</f>
        <v>2.9999999999999957E-3</v>
      </c>
      <c r="AL27" s="165">
        <f>Report!AL18</f>
        <v>1.0000000000000002E-2</v>
      </c>
      <c r="AM27" s="165">
        <f>Report!AM18</f>
        <v>5.9999999999999984E-3</v>
      </c>
      <c r="AN27" s="165">
        <f>Report!AN18</f>
        <v>8.0000000000000002E-3</v>
      </c>
      <c r="AO27" s="165">
        <f>Report!AO18</f>
        <v>5.9999999999999984E-3</v>
      </c>
      <c r="AP27" s="165">
        <f>Report!AP18</f>
        <v>9.000000000000008E-3</v>
      </c>
      <c r="AQ27" s="165">
        <f>Report!AQ18</f>
        <v>8.0000000000000002E-3</v>
      </c>
      <c r="AR27" s="165">
        <f>Report!AR18</f>
        <v>8.0000000000000002E-3</v>
      </c>
      <c r="AS27" s="165">
        <f>Report!AS18</f>
        <v>0.20300000000000001</v>
      </c>
      <c r="AT27" s="165">
        <f>Report!AT18</f>
        <v>0.22200000000000003</v>
      </c>
      <c r="AU27" s="165">
        <f>Report!AU18</f>
        <v>0.59099999999999997</v>
      </c>
      <c r="AV27" s="165">
        <f>Report!AV18</f>
        <v>8.8999999999999996E-2</v>
      </c>
      <c r="AW27" s="165">
        <f>Report!AW18</f>
        <v>0.09</v>
      </c>
    </row>
    <row r="28" spans="1:49" x14ac:dyDescent="0.25">
      <c r="A28" s="153" t="s">
        <v>25</v>
      </c>
      <c r="B28" s="165">
        <f>Report!B19</f>
        <v>0.11599999999999996</v>
      </c>
      <c r="C28" s="165">
        <f>Report!C19</f>
        <v>9.1999999999999998E-2</v>
      </c>
      <c r="D28" s="165">
        <f>Report!D19</f>
        <v>0.504</v>
      </c>
      <c r="E28" s="165">
        <f>Report!E19</f>
        <v>0.53699999999999992</v>
      </c>
      <c r="F28" s="165">
        <f>Report!F19</f>
        <v>0.47500000000000003</v>
      </c>
      <c r="G28" s="165">
        <f>Report!G19</f>
        <v>0.47400000000000003</v>
      </c>
      <c r="H28" s="165">
        <f>Report!H19</f>
        <v>0.22300000000000003</v>
      </c>
      <c r="I28" s="165">
        <f>Report!I19</f>
        <v>0.22499999999999998</v>
      </c>
      <c r="J28" s="165">
        <f>Report!J19</f>
        <v>0.26300000000000001</v>
      </c>
      <c r="K28" s="165">
        <f>Report!K19</f>
        <v>0.26200000000000001</v>
      </c>
      <c r="L28" s="165">
        <f>Report!L19</f>
        <v>0.372</v>
      </c>
      <c r="M28" s="165">
        <f>Report!M19</f>
        <v>0.64999999999999991</v>
      </c>
      <c r="N28" s="165">
        <f>Report!N19</f>
        <v>0.55699999999999994</v>
      </c>
      <c r="O28" s="165">
        <f>Report!O19</f>
        <v>0.26200000000000001</v>
      </c>
      <c r="P28" s="165">
        <f>Report!P19</f>
        <v>0.26100000000000001</v>
      </c>
      <c r="Q28" s="165">
        <f>Report!Q19</f>
        <v>0.23299999999999998</v>
      </c>
      <c r="R28" s="165">
        <f>Report!R19</f>
        <v>0.21900000000000003</v>
      </c>
      <c r="S28" s="165">
        <f>Report!S19</f>
        <v>0.22799999999999998</v>
      </c>
      <c r="T28" s="165">
        <f>Report!T19</f>
        <v>0.47000000000000003</v>
      </c>
      <c r="U28" s="165">
        <f>Report!U19</f>
        <v>0.47500000000000003</v>
      </c>
      <c r="V28" s="165">
        <f>Report!V19</f>
        <v>0.53999999999999992</v>
      </c>
      <c r="W28" s="165">
        <f>Report!W19</f>
        <v>0.49700000000000005</v>
      </c>
      <c r="X28" s="165">
        <f>Report!X19</f>
        <v>1.81</v>
      </c>
      <c r="Y28" s="165">
        <f>Report!Y19</f>
        <v>0.27600000000000002</v>
      </c>
      <c r="Z28" s="165">
        <f>Report!Z19</f>
        <v>9.6000000000000002E-2</v>
      </c>
      <c r="AA28" s="165">
        <f>Report!AA19</f>
        <v>9.2000000000000012E-2</v>
      </c>
      <c r="AB28" s="165">
        <f>Report!AB19</f>
        <v>0.61199999999999999</v>
      </c>
      <c r="AC28" s="165">
        <f>Report!AC19</f>
        <v>0.248</v>
      </c>
      <c r="AD28" s="165">
        <f>Report!AD19</f>
        <v>0.21900000000000003</v>
      </c>
      <c r="AE28" s="165">
        <f>Report!AE19</f>
        <v>1.7000000000000008E-2</v>
      </c>
      <c r="AF28" s="165">
        <f>Report!AF19</f>
        <v>1.1000000000000003E-2</v>
      </c>
      <c r="AG28" s="165">
        <f>Report!AG19</f>
        <v>1.3999999999999999E-2</v>
      </c>
      <c r="AH28" s="165">
        <f>Report!AH19</f>
        <v>8.0000000000000002E-3</v>
      </c>
      <c r="AI28" s="165">
        <f>Report!AI19</f>
        <v>2.1999999999999992E-2</v>
      </c>
      <c r="AJ28" s="165">
        <f>Report!AJ19</f>
        <v>1.0000000000000002E-2</v>
      </c>
      <c r="AK28" s="165">
        <f>Report!AK19</f>
        <v>1.4000000000000005E-2</v>
      </c>
      <c r="AL28" s="165">
        <f>Report!AL19</f>
        <v>1.1999999999999997E-2</v>
      </c>
      <c r="AM28" s="165">
        <f>Report!AM19</f>
        <v>5.9999999999999984E-3</v>
      </c>
      <c r="AN28" s="165">
        <f>Report!AN19</f>
        <v>6.0000000000000053E-3</v>
      </c>
      <c r="AO28" s="165">
        <f>Report!AO19</f>
        <v>6.9999999999999993E-3</v>
      </c>
      <c r="AP28" s="165">
        <f>Report!AP19</f>
        <v>1.0999999999999996E-2</v>
      </c>
      <c r="AQ28" s="165">
        <f>Report!AQ19</f>
        <v>8.0000000000000071E-3</v>
      </c>
      <c r="AR28" s="165">
        <f>Report!AR19</f>
        <v>8.0000000000000002E-3</v>
      </c>
      <c r="AS28" s="165">
        <f>Report!AS19</f>
        <v>0.28100000000000003</v>
      </c>
      <c r="AT28" s="165">
        <f>Report!AT19</f>
        <v>0.44500000000000001</v>
      </c>
      <c r="AU28" s="165">
        <f>Report!AU19</f>
        <v>0.60199999999999998</v>
      </c>
      <c r="AV28" s="165">
        <f>Report!AV19</f>
        <v>1.78</v>
      </c>
      <c r="AW28" s="165">
        <f>Report!AW19</f>
        <v>0.27500000000000002</v>
      </c>
    </row>
    <row r="29" spans="1:49" x14ac:dyDescent="0.25">
      <c r="A29" s="153" t="s">
        <v>26</v>
      </c>
      <c r="B29" s="165">
        <f>Report!B20</f>
        <v>3.6999999999999998E-2</v>
      </c>
      <c r="C29" s="165">
        <f>Report!C20</f>
        <v>9.2999999999999985E-2</v>
      </c>
      <c r="D29" s="165">
        <f>Report!D20</f>
        <v>0.5169999999999999</v>
      </c>
      <c r="E29" s="165">
        <f>Report!E20</f>
        <v>0.52399999999999991</v>
      </c>
      <c r="F29" s="165">
        <f>Report!F20</f>
        <v>0.40500000000000003</v>
      </c>
      <c r="G29" s="165">
        <f>Report!G20</f>
        <v>0.44900000000000001</v>
      </c>
      <c r="H29" s="165">
        <f>Report!H20</f>
        <v>0.21399999999999997</v>
      </c>
      <c r="I29" s="165">
        <f>Report!I20</f>
        <v>0.19600000000000001</v>
      </c>
      <c r="J29" s="165">
        <f>Report!J20</f>
        <v>0.26800000000000002</v>
      </c>
      <c r="K29" s="165">
        <f>Report!K20</f>
        <v>0.248</v>
      </c>
      <c r="L29" s="165">
        <f>Report!L20</f>
        <v>0.27100000000000002</v>
      </c>
      <c r="M29" s="165">
        <f>Report!M20</f>
        <v>0.50800000000000001</v>
      </c>
      <c r="N29" s="165">
        <f>Report!N20</f>
        <v>0.59600000000000009</v>
      </c>
      <c r="O29" s="165">
        <f>Report!O20</f>
        <v>0.26500000000000001</v>
      </c>
      <c r="P29" s="165">
        <f>Report!P20</f>
        <v>0.28200000000000003</v>
      </c>
      <c r="Q29" s="165">
        <f>Report!Q20</f>
        <v>0.22499999999999998</v>
      </c>
      <c r="R29" s="165">
        <f>Report!R20</f>
        <v>0.23499999999999999</v>
      </c>
      <c r="S29" s="165">
        <f>Report!S20</f>
        <v>0.21900000000000003</v>
      </c>
      <c r="T29" s="165">
        <f>Report!T20</f>
        <v>0.40800000000000003</v>
      </c>
      <c r="U29" s="165">
        <f>Report!U20</f>
        <v>0.40500000000000003</v>
      </c>
      <c r="V29" s="165">
        <f>Report!V20</f>
        <v>0.56199999999999994</v>
      </c>
      <c r="W29" s="165">
        <f>Report!W20</f>
        <v>0.49800000000000005</v>
      </c>
      <c r="X29" s="165">
        <f>Report!X20</f>
        <v>1.8130000000000002</v>
      </c>
      <c r="Y29" s="165">
        <f>Report!Y20</f>
        <v>0.752</v>
      </c>
      <c r="Z29" s="165">
        <f>Report!Z20</f>
        <v>3.5000000000000003E-2</v>
      </c>
      <c r="AA29" s="165">
        <f>Report!AA20</f>
        <v>9.4999999999999987E-2</v>
      </c>
      <c r="AB29" s="165">
        <f>Report!AB20</f>
        <v>0.61099999999999999</v>
      </c>
      <c r="AC29" s="165">
        <f>Report!AC20</f>
        <v>0.48700000000000004</v>
      </c>
      <c r="AD29" s="165">
        <f>Report!AD20</f>
        <v>0.27100000000000002</v>
      </c>
      <c r="AE29" s="165">
        <f>Report!AE20</f>
        <v>1.7999999999999995E-2</v>
      </c>
      <c r="AF29" s="165">
        <f>Report!AF20</f>
        <v>1.3999999999999999E-2</v>
      </c>
      <c r="AG29" s="165">
        <f>Report!AG20</f>
        <v>1.1000000000000003E-2</v>
      </c>
      <c r="AH29" s="165">
        <f>Report!AH20</f>
        <v>9.0000000000000011E-3</v>
      </c>
      <c r="AI29" s="165">
        <f>Report!AI20</f>
        <v>8.0000000000000002E-3</v>
      </c>
      <c r="AJ29" s="165">
        <f>Report!AJ20</f>
        <v>8.0000000000000002E-3</v>
      </c>
      <c r="AK29" s="165">
        <f>Report!AK20</f>
        <v>5.9999999999999984E-3</v>
      </c>
      <c r="AL29" s="165">
        <f>Report!AL20</f>
        <v>9.0000000000000011E-3</v>
      </c>
      <c r="AM29" s="165">
        <f>Report!AM20</f>
        <v>4.9999999999999975E-3</v>
      </c>
      <c r="AN29" s="165">
        <f>Report!AN20</f>
        <v>5.9999999999999984E-3</v>
      </c>
      <c r="AO29" s="165">
        <f>Report!AO20</f>
        <v>6.0000000000000053E-3</v>
      </c>
      <c r="AP29" s="165">
        <f>Report!AP20</f>
        <v>8.0000000000000002E-3</v>
      </c>
      <c r="AQ29" s="165">
        <f>Report!AQ20</f>
        <v>6.0000000000000053E-3</v>
      </c>
      <c r="AR29" s="165">
        <f>Report!AR20</f>
        <v>0.16799999999999998</v>
      </c>
      <c r="AS29" s="165">
        <f>Report!AS20</f>
        <v>0.28200000000000003</v>
      </c>
      <c r="AT29" s="165">
        <f>Report!AT20</f>
        <v>0.44400000000000001</v>
      </c>
      <c r="AU29" s="165">
        <f>Report!AU20</f>
        <v>0.59899999999999998</v>
      </c>
      <c r="AV29" s="165">
        <f>Report!AV20</f>
        <v>1.7769999999999999</v>
      </c>
      <c r="AW29" s="165">
        <f>Report!AW20</f>
        <v>0.73299999999999998</v>
      </c>
    </row>
    <row r="30" spans="1:49" x14ac:dyDescent="0.25">
      <c r="A30" s="153" t="s">
        <v>27</v>
      </c>
      <c r="B30" s="165">
        <f>Report!B21</f>
        <v>1.9000000000000003E-2</v>
      </c>
      <c r="C30" s="165">
        <f>Report!C21</f>
        <v>0.55399999999999994</v>
      </c>
      <c r="D30" s="165">
        <f>Report!D21</f>
        <v>0.52199999999999991</v>
      </c>
      <c r="E30" s="165">
        <f>Report!E21</f>
        <v>0.54399999999999993</v>
      </c>
      <c r="F30" s="165">
        <f>Report!F21</f>
        <v>0.43</v>
      </c>
      <c r="G30" s="165">
        <f>Report!G21</f>
        <v>0.47000000000000003</v>
      </c>
      <c r="H30" s="165">
        <f>Report!H21</f>
        <v>0.22400000000000003</v>
      </c>
      <c r="I30" s="165">
        <f>Report!I21</f>
        <v>0.22100000000000003</v>
      </c>
      <c r="J30" s="165">
        <f>Report!J21</f>
        <v>0.21500000000000002</v>
      </c>
      <c r="K30" s="165">
        <f>Report!K21</f>
        <v>0.22899999999999998</v>
      </c>
      <c r="L30" s="165">
        <f>Report!L21</f>
        <v>0.53599999999999992</v>
      </c>
      <c r="M30" s="165">
        <f>Report!M21</f>
        <v>0.58199999999999996</v>
      </c>
      <c r="N30" s="165">
        <f>Report!N21</f>
        <v>0.64499999999999991</v>
      </c>
      <c r="O30" s="165">
        <f>Report!O21</f>
        <v>0.27700000000000002</v>
      </c>
      <c r="P30" s="165">
        <f>Report!P21</f>
        <v>0.26200000000000001</v>
      </c>
      <c r="Q30" s="165">
        <f>Report!Q21</f>
        <v>0.22500000000000003</v>
      </c>
      <c r="R30" s="165">
        <f>Report!R21</f>
        <v>0.22200000000000003</v>
      </c>
      <c r="S30" s="165">
        <f>Report!S21</f>
        <v>0.46500000000000002</v>
      </c>
      <c r="T30" s="165">
        <f>Report!T21</f>
        <v>0.47400000000000003</v>
      </c>
      <c r="U30" s="165">
        <f>Report!U21</f>
        <v>0.45400000000000001</v>
      </c>
      <c r="V30" s="165">
        <f>Report!V21</f>
        <v>0.52899999999999991</v>
      </c>
      <c r="W30" s="165">
        <f>Report!W21</f>
        <v>0.52899999999999991</v>
      </c>
      <c r="X30" s="165">
        <f>Report!X21</f>
        <v>0.36899999999999999</v>
      </c>
      <c r="Y30" s="165">
        <f>Report!Y21</f>
        <v>1.8340000000000001</v>
      </c>
      <c r="Z30" s="165">
        <f>Report!Z21</f>
        <v>2.1000000000000005E-2</v>
      </c>
      <c r="AA30" s="165">
        <f>Report!AA21</f>
        <v>0.62</v>
      </c>
      <c r="AB30" s="165">
        <f>Report!AB21</f>
        <v>0.51700000000000002</v>
      </c>
      <c r="AC30" s="165">
        <f>Report!AC21</f>
        <v>0.23600000000000004</v>
      </c>
      <c r="AD30" s="165">
        <f>Report!AD21</f>
        <v>0.65199999999999991</v>
      </c>
      <c r="AE30" s="165">
        <f>Report!AE21</f>
        <v>1.6999999999999994E-2</v>
      </c>
      <c r="AF30" s="165">
        <f>Report!AF21</f>
        <v>1.5999999999999993E-2</v>
      </c>
      <c r="AG30" s="165">
        <f>Report!AG21</f>
        <v>1.0000000000000009E-2</v>
      </c>
      <c r="AH30" s="165">
        <f>Report!AH21</f>
        <v>1.0000000000000002E-2</v>
      </c>
      <c r="AI30" s="165">
        <f>Report!AI21</f>
        <v>1.1999999999999997E-2</v>
      </c>
      <c r="AJ30" s="165">
        <f>Report!AJ21</f>
        <v>1.0000000000000002E-2</v>
      </c>
      <c r="AK30" s="165">
        <f>Report!AK21</f>
        <v>9.0000000000000011E-3</v>
      </c>
      <c r="AL30" s="165">
        <f>Report!AL21</f>
        <v>1.3999999999999999E-2</v>
      </c>
      <c r="AM30" s="165">
        <f>Report!AM21</f>
        <v>6.9999999999999993E-3</v>
      </c>
      <c r="AN30" s="165">
        <f>Report!AN21</f>
        <v>6.9999999999999993E-3</v>
      </c>
      <c r="AO30" s="165">
        <f>Report!AO21</f>
        <v>5.9999999999999984E-3</v>
      </c>
      <c r="AP30" s="165">
        <f>Report!AP21</f>
        <v>8.0000000000000002E-3</v>
      </c>
      <c r="AQ30" s="165">
        <f>Report!AQ21</f>
        <v>8.0000000000000002E-3</v>
      </c>
      <c r="AR30" s="165">
        <f>Report!AR21</f>
        <v>0.48600000000000004</v>
      </c>
      <c r="AS30" s="165">
        <f>Report!AS21</f>
        <v>0.21900000000000003</v>
      </c>
      <c r="AT30" s="165">
        <f>Report!AT21</f>
        <v>0.49100000000000005</v>
      </c>
      <c r="AU30" s="165">
        <f>Report!AU21</f>
        <v>0.61899999999999999</v>
      </c>
      <c r="AV30" s="165">
        <f>Report!AV21</f>
        <v>0.371</v>
      </c>
      <c r="AW30" s="165">
        <f>Report!AW21</f>
        <v>1.804</v>
      </c>
    </row>
    <row r="31" spans="1:49" x14ac:dyDescent="0.25">
      <c r="A31" s="153" t="s">
        <v>28</v>
      </c>
      <c r="B31" s="165">
        <f>Report!B22</f>
        <v>1.2000000000000004E-2</v>
      </c>
      <c r="C31" s="165">
        <f>Report!C22</f>
        <v>0.502</v>
      </c>
      <c r="D31" s="165">
        <f>Report!D22</f>
        <v>0.52699999999999991</v>
      </c>
      <c r="E31" s="165">
        <f>Report!E22</f>
        <v>0.52899999999999991</v>
      </c>
      <c r="F31" s="165">
        <f>Report!F22</f>
        <v>0.41500000000000004</v>
      </c>
      <c r="G31" s="165">
        <f>Report!G22</f>
        <v>0.44400000000000001</v>
      </c>
      <c r="H31" s="165">
        <f>Report!H22</f>
        <v>0.21500000000000002</v>
      </c>
      <c r="I31" s="165">
        <f>Report!I22</f>
        <v>0.21400000000000002</v>
      </c>
      <c r="J31" s="165">
        <f>Report!J22</f>
        <v>0.26200000000000001</v>
      </c>
      <c r="K31" s="165">
        <f>Report!K22</f>
        <v>0.249</v>
      </c>
      <c r="L31" s="165">
        <f>Report!L22</f>
        <v>0.57499999999999996</v>
      </c>
      <c r="M31" s="165">
        <f>Report!M22</f>
        <v>0.54999999999999993</v>
      </c>
      <c r="N31" s="165">
        <f>Report!N22</f>
        <v>0.69300000000000006</v>
      </c>
      <c r="O31" s="165">
        <f>Report!O22</f>
        <v>0.29499999999999998</v>
      </c>
      <c r="P31" s="165">
        <f>Report!P22</f>
        <v>0.3</v>
      </c>
      <c r="Q31" s="165">
        <f>Report!Q22</f>
        <v>0.23799999999999999</v>
      </c>
      <c r="R31" s="165">
        <f>Report!R22</f>
        <v>0.23299999999999998</v>
      </c>
      <c r="S31" s="165">
        <f>Report!S22</f>
        <v>0.45200000000000001</v>
      </c>
      <c r="T31" s="165">
        <f>Report!T22</f>
        <v>0.50099999999999989</v>
      </c>
      <c r="U31" s="165">
        <f>Report!U22</f>
        <v>0.434</v>
      </c>
      <c r="V31" s="165">
        <f>Report!V22</f>
        <v>0.55400000000000005</v>
      </c>
      <c r="W31" s="165">
        <f>Report!W22</f>
        <v>0.24000000000000005</v>
      </c>
      <c r="X31" s="165">
        <f>Report!X22</f>
        <v>0.38900000000000001</v>
      </c>
      <c r="Y31" s="165">
        <f>Report!Y22</f>
        <v>2.68</v>
      </c>
      <c r="Z31" s="165">
        <f>Report!Z22</f>
        <v>1.3999999999999999E-2</v>
      </c>
      <c r="AA31" s="165">
        <f>Report!AA22</f>
        <v>0.41599999999999998</v>
      </c>
      <c r="AB31" s="165">
        <f>Report!AB22</f>
        <v>0.51600000000000001</v>
      </c>
      <c r="AC31" s="165">
        <f>Report!AC22</f>
        <v>0.22700000000000004</v>
      </c>
      <c r="AD31" s="165">
        <f>Report!AD22</f>
        <v>0.67300000000000004</v>
      </c>
      <c r="AE31" s="165">
        <f>Report!AE22</f>
        <v>6.9999999999999993E-3</v>
      </c>
      <c r="AF31" s="165">
        <f>Report!AF22</f>
        <v>9.0000000000000011E-3</v>
      </c>
      <c r="AG31" s="165">
        <f>Report!AG22</f>
        <v>1.1999999999999997E-2</v>
      </c>
      <c r="AH31" s="165">
        <f>Report!AH22</f>
        <v>9.999999999999995E-3</v>
      </c>
      <c r="AI31" s="165">
        <f>Report!AI22</f>
        <v>1.0000000000000002E-2</v>
      </c>
      <c r="AJ31" s="165">
        <f>Report!AJ22</f>
        <v>1.5000000000000006E-2</v>
      </c>
      <c r="AK31" s="165">
        <f>Report!AK22</f>
        <v>1.1999999999999997E-2</v>
      </c>
      <c r="AL31" s="165">
        <f>Report!AL22</f>
        <v>1.0000000000000002E-2</v>
      </c>
      <c r="AM31" s="165">
        <f>Report!AM22</f>
        <v>6.9999999999999993E-3</v>
      </c>
      <c r="AN31" s="165">
        <f>Report!AN22</f>
        <v>1.0000000000000002E-2</v>
      </c>
      <c r="AO31" s="165">
        <f>Report!AO22</f>
        <v>8.0000000000000002E-3</v>
      </c>
      <c r="AP31" s="165">
        <f>Report!AP22</f>
        <v>8.0000000000000002E-3</v>
      </c>
      <c r="AQ31" s="165">
        <f>Report!AQ22</f>
        <v>7.0000000000000062E-3</v>
      </c>
      <c r="AR31" s="165">
        <f>Report!AR22</f>
        <v>0.55999999999999994</v>
      </c>
      <c r="AS31" s="165">
        <f>Report!AS22</f>
        <v>0.51500000000000001</v>
      </c>
      <c r="AT31" s="165">
        <f>Report!AT22</f>
        <v>0.41700000000000004</v>
      </c>
      <c r="AU31" s="165">
        <f>Report!AU22</f>
        <v>0.57899999999999996</v>
      </c>
      <c r="AV31" s="165">
        <f>Report!AV22</f>
        <v>0.38900000000000001</v>
      </c>
      <c r="AW31" s="165">
        <f>Report!AW22</f>
        <v>2.6720000000000002</v>
      </c>
    </row>
    <row r="32" spans="1:49" x14ac:dyDescent="0.25">
      <c r="N32" s="26"/>
      <c r="O32" s="26"/>
      <c r="P32" s="26"/>
      <c r="Q32" s="26"/>
      <c r="R32" s="26"/>
      <c r="S32" s="26"/>
      <c r="T32" s="26"/>
      <c r="U32" s="26"/>
      <c r="V32" s="26"/>
      <c r="W32" s="26"/>
      <c r="X32" s="26"/>
      <c r="Y32" s="26"/>
      <c r="Z32" s="26"/>
    </row>
    <row r="33" spans="1:49" x14ac:dyDescent="0.25">
      <c r="N33" s="26"/>
      <c r="O33" s="26"/>
      <c r="P33" s="26"/>
      <c r="Q33" s="26"/>
      <c r="R33" s="26"/>
      <c r="S33" s="26"/>
      <c r="T33" s="26"/>
      <c r="U33" s="26"/>
      <c r="V33" s="26"/>
      <c r="W33" s="26"/>
      <c r="X33" s="26"/>
      <c r="Y33" s="26"/>
      <c r="Z33" s="26"/>
    </row>
    <row r="34" spans="1:49" x14ac:dyDescent="0.25">
      <c r="A34" s="155" t="s">
        <v>658</v>
      </c>
      <c r="N34" s="26"/>
      <c r="O34" s="26"/>
      <c r="P34" s="26"/>
      <c r="Q34" s="26"/>
      <c r="R34" s="26"/>
      <c r="S34" s="26"/>
      <c r="T34" s="26"/>
      <c r="U34" s="26"/>
      <c r="V34" s="26"/>
      <c r="W34" s="26"/>
      <c r="X34" s="26"/>
      <c r="Y34" s="26"/>
      <c r="Z34" s="26"/>
    </row>
    <row r="35" spans="1:49" x14ac:dyDescent="0.25">
      <c r="A35" s="153"/>
      <c r="B35" s="153">
        <v>1</v>
      </c>
      <c r="C35" s="153">
        <v>2</v>
      </c>
      <c r="D35" s="153">
        <v>3</v>
      </c>
      <c r="E35" s="153">
        <v>4</v>
      </c>
      <c r="F35" s="153">
        <v>5</v>
      </c>
      <c r="G35" s="153">
        <v>6</v>
      </c>
      <c r="H35" s="153">
        <v>7</v>
      </c>
      <c r="I35" s="153">
        <v>8</v>
      </c>
      <c r="J35" s="153">
        <v>9</v>
      </c>
      <c r="K35" s="153">
        <v>10</v>
      </c>
      <c r="L35" s="153">
        <v>11</v>
      </c>
      <c r="M35" s="153">
        <v>12</v>
      </c>
      <c r="N35" s="153">
        <v>13</v>
      </c>
      <c r="O35" s="153">
        <v>14</v>
      </c>
      <c r="P35" s="153">
        <v>15</v>
      </c>
      <c r="Q35" s="153">
        <v>16</v>
      </c>
      <c r="R35" s="153">
        <v>17</v>
      </c>
      <c r="S35" s="153">
        <v>18</v>
      </c>
      <c r="T35" s="153">
        <v>19</v>
      </c>
      <c r="U35" s="153">
        <v>20</v>
      </c>
      <c r="V35" s="153">
        <v>21</v>
      </c>
      <c r="W35" s="153">
        <v>22</v>
      </c>
      <c r="X35" s="153">
        <v>23</v>
      </c>
      <c r="Y35" s="153">
        <v>24</v>
      </c>
      <c r="Z35" s="153">
        <v>25</v>
      </c>
      <c r="AA35" s="153">
        <v>26</v>
      </c>
      <c r="AB35" s="153">
        <v>27</v>
      </c>
      <c r="AC35" s="153">
        <v>28</v>
      </c>
      <c r="AD35" s="153">
        <v>29</v>
      </c>
      <c r="AE35" s="153">
        <v>30</v>
      </c>
      <c r="AF35" s="153">
        <v>31</v>
      </c>
      <c r="AG35" s="153">
        <v>32</v>
      </c>
      <c r="AH35" s="153">
        <v>33</v>
      </c>
      <c r="AI35" s="153">
        <v>34</v>
      </c>
      <c r="AJ35" s="153">
        <v>35</v>
      </c>
      <c r="AK35" s="153">
        <v>36</v>
      </c>
      <c r="AL35" s="153">
        <v>37</v>
      </c>
      <c r="AM35" s="153">
        <v>38</v>
      </c>
      <c r="AN35" s="153">
        <v>39</v>
      </c>
      <c r="AO35" s="153">
        <v>40</v>
      </c>
      <c r="AP35" s="153">
        <v>41</v>
      </c>
      <c r="AQ35" s="153">
        <v>42</v>
      </c>
      <c r="AR35" s="153">
        <v>43</v>
      </c>
      <c r="AS35" s="153">
        <v>44</v>
      </c>
      <c r="AT35" s="153">
        <v>45</v>
      </c>
      <c r="AU35" s="153">
        <v>46</v>
      </c>
      <c r="AV35" s="153">
        <v>47</v>
      </c>
      <c r="AW35" s="153">
        <v>48</v>
      </c>
    </row>
    <row r="36" spans="1:49" x14ac:dyDescent="0.25">
      <c r="A36" s="153" t="s">
        <v>21</v>
      </c>
      <c r="B36" s="165">
        <f>Report!B28</f>
        <v>964.71885857114819</v>
      </c>
      <c r="C36" s="165">
        <f>Report!C28</f>
        <v>55.395353586132316</v>
      </c>
      <c r="D36" s="165">
        <f>Report!D28</f>
        <v>31.921253513763681</v>
      </c>
      <c r="E36" s="165">
        <f>Report!E28</f>
        <v>82.683419241760177</v>
      </c>
      <c r="F36" s="165">
        <f>Report!F28</f>
        <v>66.517732781915669</v>
      </c>
      <c r="G36" s="165">
        <f>Report!G28</f>
        <v>65.78274277740185</v>
      </c>
      <c r="H36" s="165">
        <f>Report!H28</f>
        <v>71.381889883480142</v>
      </c>
      <c r="I36" s="165">
        <f>Report!I28</f>
        <v>34.810905992708015</v>
      </c>
      <c r="J36" s="165">
        <f>Report!J28</f>
        <v>33.654994341217964</v>
      </c>
      <c r="K36" s="165">
        <f>Report!K28</f>
        <v>39.002574555113561</v>
      </c>
      <c r="L36" s="165">
        <f>Report!L28</f>
        <v>41.895662704286352</v>
      </c>
      <c r="M36" s="165">
        <f>Report!M28</f>
        <v>93.238364265339612</v>
      </c>
      <c r="N36" s="165">
        <f>Report!N28</f>
        <v>84.482134545558438</v>
      </c>
      <c r="O36" s="165">
        <f>Report!O28</f>
        <v>80.440809372543583</v>
      </c>
      <c r="P36" s="165">
        <f>Report!P28</f>
        <v>36.255986995569643</v>
      </c>
      <c r="Q36" s="165">
        <f>Report!Q28</f>
        <v>36.255986995569643</v>
      </c>
      <c r="R36" s="165">
        <f>Report!R28</f>
        <v>31.054388001374441</v>
      </c>
      <c r="S36" s="165">
        <f>Report!S28</f>
        <v>30.765427429613318</v>
      </c>
      <c r="T36" s="165">
        <f>Report!T28</f>
        <v>64.314253894342116</v>
      </c>
      <c r="U36" s="165">
        <f>Report!U28</f>
        <v>61.675774139685515</v>
      </c>
      <c r="V36" s="165">
        <f>Report!V28</f>
        <v>76.122410545870508</v>
      </c>
      <c r="W36" s="165">
        <f>Report!W28</f>
        <v>78.949188599957139</v>
      </c>
      <c r="X36" s="165">
        <f>Report!X28</f>
        <v>73.600941977502472</v>
      </c>
      <c r="Y36" s="165">
        <f>Report!Y28</f>
        <v>0.33464541743734305</v>
      </c>
      <c r="Z36" s="165">
        <f>Report!Z28</f>
        <v>872.01757856902702</v>
      </c>
      <c r="AA36" s="165">
        <f>Report!AA28</f>
        <v>56.999163415427368</v>
      </c>
      <c r="AB36" s="165">
        <f>Report!AB28</f>
        <v>87.790933111483895</v>
      </c>
      <c r="AC36" s="165">
        <f>Report!AC28</f>
        <v>64.167512136214611</v>
      </c>
      <c r="AD36" s="165">
        <f>Report!AD28</f>
        <v>77.757820214173961</v>
      </c>
      <c r="AE36" s="165">
        <f>Report!AE28</f>
        <v>82.683419241760177</v>
      </c>
      <c r="AF36" s="165" t="e">
        <f>Report!AF28</f>
        <v>#VALUE!</v>
      </c>
      <c r="AG36" s="165">
        <f>Report!AG28</f>
        <v>1.6552427638263877E-2</v>
      </c>
      <c r="AH36" s="165">
        <f>Report!AH28</f>
        <v>1.6552427638262725E-2</v>
      </c>
      <c r="AI36" s="165" t="e">
        <f>Report!AI28</f>
        <v>#VALUE!</v>
      </c>
      <c r="AJ36" s="165" t="e">
        <f>Report!AJ28</f>
        <v>#VALUE!</v>
      </c>
      <c r="AK36" s="165" t="e">
        <f>Report!AK28</f>
        <v>#VALUE!</v>
      </c>
      <c r="AL36" s="165" t="e">
        <f>Report!AL28</f>
        <v>#VALUE!</v>
      </c>
      <c r="AM36" s="165" t="e">
        <f>Report!AM28</f>
        <v>#VALUE!</v>
      </c>
      <c r="AN36" s="165">
        <f>Report!AN28</f>
        <v>1.6552427638263877E-2</v>
      </c>
      <c r="AO36" s="165" t="e">
        <f>Report!AO28</f>
        <v>#VALUE!</v>
      </c>
      <c r="AP36" s="165" t="e">
        <f>Report!AP28</f>
        <v>#VALUE!</v>
      </c>
      <c r="AQ36" s="165" t="e">
        <f>Report!AQ28</f>
        <v>#VALUE!</v>
      </c>
      <c r="AR36" s="165" t="e">
        <f>Report!AR28</f>
        <v>#VALUE!</v>
      </c>
      <c r="AS36" s="165">
        <f>Report!AS28</f>
        <v>90.358056307030452</v>
      </c>
      <c r="AT36" s="165">
        <f>Report!AT28</f>
        <v>32.788114156016725</v>
      </c>
      <c r="AU36" s="165">
        <f>Report!AU28</f>
        <v>77.609017513443305</v>
      </c>
      <c r="AV36" s="165">
        <f>Report!AV28</f>
        <v>60.212484076989604</v>
      </c>
      <c r="AW36" s="165">
        <f>Report!AW28</f>
        <v>0.33464541743734305</v>
      </c>
    </row>
    <row r="37" spans="1:49" x14ac:dyDescent="0.25">
      <c r="A37" s="153" t="s">
        <v>22</v>
      </c>
      <c r="B37" s="165">
        <f>Report!B29</f>
        <v>345.49032178858175</v>
      </c>
      <c r="C37" s="165">
        <f>Report!C29</f>
        <v>49.432197131166589</v>
      </c>
      <c r="D37" s="165">
        <f>Report!D29</f>
        <v>78.949188599957125</v>
      </c>
      <c r="E37" s="165">
        <f>Report!E29</f>
        <v>77.311490175235676</v>
      </c>
      <c r="F37" s="165">
        <f>Report!F29</f>
        <v>56.561580031216806</v>
      </c>
      <c r="G37" s="165">
        <f>Report!G29</f>
        <v>62.40808501550741</v>
      </c>
      <c r="H37" s="165">
        <f>Report!H29</f>
        <v>68.873172033464172</v>
      </c>
      <c r="I37" s="165">
        <f>Report!I29</f>
        <v>31.343345248280443</v>
      </c>
      <c r="J37" s="165">
        <f>Report!J29</f>
        <v>31.776776935741228</v>
      </c>
      <c r="K37" s="165">
        <f>Report!K29</f>
        <v>35.677923220981846</v>
      </c>
      <c r="L37" s="165">
        <f>Report!L29</f>
        <v>39.870258465615805</v>
      </c>
      <c r="M37" s="165">
        <f>Report!M29</f>
        <v>86.887067285695068</v>
      </c>
      <c r="N37" s="165">
        <f>Report!N29</f>
        <v>86.736531253539923</v>
      </c>
      <c r="O37" s="165">
        <f>Report!O29</f>
        <v>77.162765386054303</v>
      </c>
      <c r="P37" s="165">
        <f>Report!P29</f>
        <v>34.377426593632016</v>
      </c>
      <c r="Q37" s="165">
        <f>Report!Q29</f>
        <v>28.59801981350012</v>
      </c>
      <c r="R37" s="165">
        <f>Report!R29</f>
        <v>30.765427429613318</v>
      </c>
      <c r="S37" s="165">
        <f>Report!S29</f>
        <v>29.465038057718775</v>
      </c>
      <c r="T37" s="165">
        <f>Report!T29</f>
        <v>62.40808501550741</v>
      </c>
      <c r="U37" s="165">
        <f>Report!U29</f>
        <v>62.847690100232896</v>
      </c>
      <c r="V37" s="165">
        <f>Report!V29</f>
        <v>77.609017513443305</v>
      </c>
      <c r="W37" s="165">
        <f>Report!W29</f>
        <v>75.231665068185848</v>
      </c>
      <c r="X37" s="165">
        <f>Report!X29</f>
        <v>76.716745628395117</v>
      </c>
      <c r="Y37" s="165">
        <f>Report!Y29</f>
        <v>0.79943837504430948</v>
      </c>
      <c r="Z37" s="165">
        <f>Report!Z29</f>
        <v>347.0893201575002</v>
      </c>
      <c r="AA37" s="165">
        <f>Report!AA29</f>
        <v>52.920166929635492</v>
      </c>
      <c r="AB37" s="165">
        <f>Report!AB29</f>
        <v>85.383080361526325</v>
      </c>
      <c r="AC37" s="165">
        <f>Report!AC29</f>
        <v>71.086410667312975</v>
      </c>
      <c r="AD37" s="165">
        <f>Report!AD29</f>
        <v>31.921253513763681</v>
      </c>
      <c r="AE37" s="165">
        <f>Report!AE29</f>
        <v>71.529663763648998</v>
      </c>
      <c r="AF37" s="165">
        <f>Report!AF29</f>
        <v>1.6552427638263877E-2</v>
      </c>
      <c r="AG37" s="165" t="e">
        <f>Report!AG29</f>
        <v>#VALUE!</v>
      </c>
      <c r="AH37" s="165" t="e">
        <f>Report!AH29</f>
        <v>#VALUE!</v>
      </c>
      <c r="AI37" s="165" t="e">
        <f>Report!AI29</f>
        <v>#VALUE!</v>
      </c>
      <c r="AJ37" s="165" t="e">
        <f>Report!AJ29</f>
        <v>#VALUE!</v>
      </c>
      <c r="AK37" s="165" t="e">
        <f>Report!AK29</f>
        <v>#VALUE!</v>
      </c>
      <c r="AL37" s="165">
        <f>Report!AL29</f>
        <v>1.6552427638263877E-2</v>
      </c>
      <c r="AM37" s="165">
        <f>Report!AM29</f>
        <v>0.1773198067525851</v>
      </c>
      <c r="AN37" s="165" t="e">
        <f>Report!AN29</f>
        <v>#VALUE!</v>
      </c>
      <c r="AO37" s="165">
        <f>Report!AO29</f>
        <v>0.33464541743734305</v>
      </c>
      <c r="AP37" s="165">
        <f>Report!AP29</f>
        <v>1.1060166416540134</v>
      </c>
      <c r="AQ37" s="165">
        <f>Report!AQ29</f>
        <v>2.6196405224279293</v>
      </c>
      <c r="AR37" s="165" t="e">
        <f>Report!AR29</f>
        <v>#VALUE!</v>
      </c>
      <c r="AS37" s="165">
        <f>Report!AS29</f>
        <v>86.134693619155414</v>
      </c>
      <c r="AT37" s="165">
        <f>Report!AT29</f>
        <v>34.088449215190153</v>
      </c>
      <c r="AU37" s="165">
        <f>Report!AU29</f>
        <v>70.495724301880941</v>
      </c>
      <c r="AV37" s="165">
        <f>Report!AV29</f>
        <v>93.39029580586174</v>
      </c>
      <c r="AW37" s="165">
        <f>Report!AW29</f>
        <v>0.95297014171901717</v>
      </c>
    </row>
    <row r="38" spans="1:49" x14ac:dyDescent="0.25">
      <c r="A38" s="153" t="s">
        <v>23</v>
      </c>
      <c r="B38" s="165">
        <f>Report!B30</f>
        <v>105.66254343028558</v>
      </c>
      <c r="C38" s="165">
        <f>Report!C30</f>
        <v>323.15727564060643</v>
      </c>
      <c r="D38" s="165">
        <f>Report!D30</f>
        <v>72.41679160154554</v>
      </c>
      <c r="E38" s="165">
        <f>Report!E30</f>
        <v>81.187645949640739</v>
      </c>
      <c r="F38" s="165">
        <f>Report!F30</f>
        <v>54.521297609255392</v>
      </c>
      <c r="G38" s="165">
        <f>Report!G30</f>
        <v>59.627651662758019</v>
      </c>
      <c r="H38" s="165">
        <f>Report!H30</f>
        <v>32.354682902209575</v>
      </c>
      <c r="I38" s="165">
        <f>Report!I30</f>
        <v>30.620945600970369</v>
      </c>
      <c r="J38" s="165">
        <f>Report!J30</f>
        <v>31.632300109166327</v>
      </c>
      <c r="K38" s="165">
        <f>Report!K30</f>
        <v>38.279641883769209</v>
      </c>
      <c r="L38" s="165">
        <f>Report!L30</f>
        <v>37.990500845265196</v>
      </c>
      <c r="M38" s="165">
        <f>Report!M30</f>
        <v>85.984310445467443</v>
      </c>
      <c r="N38" s="165">
        <f>Report!N30</f>
        <v>82.384037913854812</v>
      </c>
      <c r="O38" s="165">
        <f>Report!O30</f>
        <v>36.689566938198595</v>
      </c>
      <c r="P38" s="165">
        <f>Report!P30</f>
        <v>36.545037029753765</v>
      </c>
      <c r="Q38" s="165">
        <f>Report!Q30</f>
        <v>37.845936802158512</v>
      </c>
      <c r="R38" s="165">
        <f>Report!R30</f>
        <v>28.308991671707691</v>
      </c>
      <c r="S38" s="165">
        <f>Report!S30</f>
        <v>28.453507271563087</v>
      </c>
      <c r="T38" s="165">
        <f>Report!T30</f>
        <v>63.727401610355784</v>
      </c>
      <c r="U38" s="165">
        <f>Report!U30</f>
        <v>58.458788886742383</v>
      </c>
      <c r="V38" s="165">
        <f>Report!V30</f>
        <v>75.528480081633546</v>
      </c>
      <c r="W38" s="165">
        <f>Report!W30</f>
        <v>76.122410545870508</v>
      </c>
      <c r="X38" s="165">
        <f>Report!X30</f>
        <v>12.794037042698385</v>
      </c>
      <c r="Y38" s="165">
        <f>Report!Y30</f>
        <v>4.1153122799283022</v>
      </c>
      <c r="Z38" s="165">
        <f>Report!Z30</f>
        <v>111.11124477957884</v>
      </c>
      <c r="AA38" s="165">
        <f>Report!AA30</f>
        <v>325.51738785604988</v>
      </c>
      <c r="AB38" s="165">
        <f>Report!AB30</f>
        <v>91.569351456654076</v>
      </c>
      <c r="AC38" s="165">
        <f>Report!AC30</f>
        <v>65.929700460567361</v>
      </c>
      <c r="AD38" s="165">
        <f>Report!AD30</f>
        <v>34.810905992708015</v>
      </c>
      <c r="AE38" s="165">
        <f>Report!AE30</f>
        <v>25.99621724612312</v>
      </c>
      <c r="AF38" s="165">
        <f>Report!AF30</f>
        <v>0.79943837504430848</v>
      </c>
      <c r="AG38" s="165">
        <f>Report!AG30</f>
        <v>0.1773198067525851</v>
      </c>
      <c r="AH38" s="165">
        <f>Report!AH30</f>
        <v>0.95297014171901839</v>
      </c>
      <c r="AI38" s="165" t="e">
        <f>Report!AI30</f>
        <v>#VALUE!</v>
      </c>
      <c r="AJ38" s="165" t="e">
        <f>Report!AJ30</f>
        <v>#VALUE!</v>
      </c>
      <c r="AK38" s="165" t="e">
        <f>Report!AK30</f>
        <v>#VALUE!</v>
      </c>
      <c r="AL38" s="165">
        <f>Report!AL30</f>
        <v>0.1773198067525851</v>
      </c>
      <c r="AM38" s="165" t="e">
        <f>Report!AM30</f>
        <v>#VALUE!</v>
      </c>
      <c r="AN38" s="165" t="e">
        <f>Report!AN30</f>
        <v>#VALUE!</v>
      </c>
      <c r="AO38" s="165" t="e">
        <f>Report!AO30</f>
        <v>#VALUE!</v>
      </c>
      <c r="AP38" s="165">
        <f>Report!AP30</f>
        <v>0.1773198067525851</v>
      </c>
      <c r="AQ38" s="165" t="e">
        <f>Report!AQ30</f>
        <v>#VALUE!</v>
      </c>
      <c r="AR38" s="165" t="e">
        <f>Report!AR30</f>
        <v>#VALUE!</v>
      </c>
      <c r="AS38" s="165">
        <f>Report!AS30</f>
        <v>35.38890784643506</v>
      </c>
      <c r="AT38" s="165">
        <f>Report!AT30</f>
        <v>63.434089458599452</v>
      </c>
      <c r="AU38" s="165">
        <f>Report!AU30</f>
        <v>86.887067285695068</v>
      </c>
      <c r="AV38" s="165">
        <f>Report!AV30</f>
        <v>11.772089866971736</v>
      </c>
      <c r="AW38" s="165">
        <f>Report!AW30</f>
        <v>3.3690998749626382</v>
      </c>
    </row>
    <row r="39" spans="1:49" x14ac:dyDescent="0.25">
      <c r="A39" s="153" t="s">
        <v>24</v>
      </c>
      <c r="B39" s="165">
        <f>Report!B31</f>
        <v>36.255986995569643</v>
      </c>
      <c r="C39" s="165">
        <f>Report!C31</f>
        <v>296.3067396937023</v>
      </c>
      <c r="D39" s="165">
        <f>Report!D31</f>
        <v>71.086410667312975</v>
      </c>
      <c r="E39" s="165">
        <f>Report!E31</f>
        <v>78.353292998802999</v>
      </c>
      <c r="F39" s="165">
        <f>Report!F31</f>
        <v>63.287461614754861</v>
      </c>
      <c r="G39" s="165">
        <f>Report!G31</f>
        <v>65.048252965808459</v>
      </c>
      <c r="H39" s="165">
        <f>Report!H31</f>
        <v>31.487822918657422</v>
      </c>
      <c r="I39" s="165">
        <f>Report!I31</f>
        <v>29.754025467508455</v>
      </c>
      <c r="J39" s="165">
        <f>Report!J31</f>
        <v>32.354682902209589</v>
      </c>
      <c r="K39" s="165">
        <f>Report!K31</f>
        <v>35.24440392696517</v>
      </c>
      <c r="L39" s="165">
        <f>Report!L31</f>
        <v>39.147175586141501</v>
      </c>
      <c r="M39" s="165">
        <f>Report!M31</f>
        <v>80.291524839052371</v>
      </c>
      <c r="N39" s="165">
        <f>Report!N31</f>
        <v>82.83315282812012</v>
      </c>
      <c r="O39" s="165">
        <f>Report!O31</f>
        <v>37.26772152284321</v>
      </c>
      <c r="P39" s="165">
        <f>Report!P31</f>
        <v>37.845936802158512</v>
      </c>
      <c r="Q39" s="165">
        <f>Report!Q31</f>
        <v>36.834100241706246</v>
      </c>
      <c r="R39" s="165">
        <f>Report!R31</f>
        <v>31.487822918657422</v>
      </c>
      <c r="S39" s="165">
        <f>Report!S31</f>
        <v>30.187492509030278</v>
      </c>
      <c r="T39" s="165">
        <f>Report!T31</f>
        <v>65.635805101984914</v>
      </c>
      <c r="U39" s="165">
        <f>Report!U31</f>
        <v>64.75459497813695</v>
      </c>
      <c r="V39" s="165">
        <f>Report!V31</f>
        <v>78.353292998802999</v>
      </c>
      <c r="W39" s="165">
        <f>Report!W31</f>
        <v>74.341813645178917</v>
      </c>
      <c r="X39" s="165">
        <f>Report!X31</f>
        <v>12.356233268708062</v>
      </c>
      <c r="Y39" s="165">
        <f>Report!Y31</f>
        <v>12.064221024322917</v>
      </c>
      <c r="Z39" s="165">
        <f>Report!Z31</f>
        <v>38.424219073475605</v>
      </c>
      <c r="AA39" s="165">
        <f>Report!AA31</f>
        <v>312.21558503847518</v>
      </c>
      <c r="AB39" s="165">
        <f>Report!AB31</f>
        <v>85.533342645982685</v>
      </c>
      <c r="AC39" s="165">
        <f>Report!AC31</f>
        <v>65.635805101984914</v>
      </c>
      <c r="AD39" s="165">
        <f>Report!AD31</f>
        <v>40.882809246450229</v>
      </c>
      <c r="AE39" s="165">
        <f>Report!AE31</f>
        <v>0.6453228117128299</v>
      </c>
      <c r="AF39" s="165" t="e">
        <f>Report!AF31</f>
        <v>#VALUE!</v>
      </c>
      <c r="AG39" s="165" t="e">
        <f>Report!AG31</f>
        <v>#VALUE!</v>
      </c>
      <c r="AH39" s="165" t="e">
        <f>Report!AH31</f>
        <v>#VALUE!</v>
      </c>
      <c r="AI39" s="165" t="e">
        <f>Report!AI31</f>
        <v>#VALUE!</v>
      </c>
      <c r="AJ39" s="165" t="e">
        <f>Report!AJ31</f>
        <v>#VALUE!</v>
      </c>
      <c r="AK39" s="165" t="e">
        <f>Report!AK31</f>
        <v>#VALUE!</v>
      </c>
      <c r="AL39" s="165">
        <f>Report!AL31</f>
        <v>1.6552427638263877E-2</v>
      </c>
      <c r="AM39" s="165" t="e">
        <f>Report!AM31</f>
        <v>#VALUE!</v>
      </c>
      <c r="AN39" s="165" t="e">
        <f>Report!AN31</f>
        <v>#VALUE!</v>
      </c>
      <c r="AO39" s="165" t="e">
        <f>Report!AO31</f>
        <v>#VALUE!</v>
      </c>
      <c r="AP39" s="165" t="e">
        <f>Report!AP31</f>
        <v>#VALUE!</v>
      </c>
      <c r="AQ39" s="165" t="e">
        <f>Report!AQ31</f>
        <v>#VALUE!</v>
      </c>
      <c r="AR39" s="165" t="e">
        <f>Report!AR31</f>
        <v>#VALUE!</v>
      </c>
      <c r="AS39" s="165">
        <f>Report!AS31</f>
        <v>28.308991671707691</v>
      </c>
      <c r="AT39" s="165">
        <f>Report!AT31</f>
        <v>31.054388001374441</v>
      </c>
      <c r="AU39" s="165">
        <f>Report!AU31</f>
        <v>85.082645800811221</v>
      </c>
      <c r="AV39" s="165">
        <f>Report!AV31</f>
        <v>11.772089866971733</v>
      </c>
      <c r="AW39" s="165">
        <f>Report!AW31</f>
        <v>11.918170556799927</v>
      </c>
    </row>
    <row r="40" spans="1:49" x14ac:dyDescent="0.25">
      <c r="A40" s="153" t="s">
        <v>25</v>
      </c>
      <c r="B40" s="506">
        <f>Report!B32</f>
        <v>15.70695005026819</v>
      </c>
      <c r="C40" s="165">
        <f>Report!C32</f>
        <v>12.210241766319003</v>
      </c>
      <c r="D40" s="165">
        <f>Report!D32</f>
        <v>72.120989523245854</v>
      </c>
      <c r="E40" s="165">
        <f>Report!E32</f>
        <v>77.014066415718688</v>
      </c>
      <c r="F40" s="165">
        <f>Report!F32</f>
        <v>67.842005412573798</v>
      </c>
      <c r="G40" s="165">
        <f>Report!G32</f>
        <v>67.694780756702215</v>
      </c>
      <c r="H40" s="165">
        <f>Report!H32</f>
        <v>31.19886698154065</v>
      </c>
      <c r="I40" s="165">
        <f>Report!I32</f>
        <v>31.487822918657415</v>
      </c>
      <c r="J40" s="165">
        <f>Report!J32</f>
        <v>36.978637040468783</v>
      </c>
      <c r="K40" s="165">
        <f>Report!K32</f>
        <v>36.834100241706246</v>
      </c>
      <c r="L40" s="165">
        <f>Report!L32</f>
        <v>52.774690507334959</v>
      </c>
      <c r="M40" s="165">
        <f>Report!M32</f>
        <v>93.998364732533162</v>
      </c>
      <c r="N40" s="165">
        <f>Report!N32</f>
        <v>79.993037943248936</v>
      </c>
      <c r="O40" s="165">
        <f>Report!O32</f>
        <v>36.834100241706246</v>
      </c>
      <c r="P40" s="165">
        <f>Report!P32</f>
        <v>36.689566938198595</v>
      </c>
      <c r="Q40" s="165">
        <f>Report!Q32</f>
        <v>32.643636676255007</v>
      </c>
      <c r="R40" s="165">
        <f>Report!R32</f>
        <v>30.620945600970376</v>
      </c>
      <c r="S40" s="165">
        <f>Report!S32</f>
        <v>31.921253513763677</v>
      </c>
      <c r="T40" s="165">
        <f>Report!T32</f>
        <v>67.106091270327866</v>
      </c>
      <c r="U40" s="165">
        <f>Report!U32</f>
        <v>67.842005412573798</v>
      </c>
      <c r="V40" s="165">
        <f>Report!V32</f>
        <v>77.460240859084664</v>
      </c>
      <c r="W40" s="165">
        <f>Report!W32</f>
        <v>71.086410667312975</v>
      </c>
      <c r="X40" s="165">
        <f>Report!X32</f>
        <v>326.11060827999569</v>
      </c>
      <c r="Y40" s="165">
        <f>Report!Y32</f>
        <v>38.857978484030909</v>
      </c>
      <c r="Z40" s="165">
        <f>Report!Z32</f>
        <v>12.794037042698383</v>
      </c>
      <c r="AA40" s="165">
        <f>Report!AA32</f>
        <v>12.210241766319005</v>
      </c>
      <c r="AB40" s="165">
        <f>Report!AB32</f>
        <v>88.243287155844286</v>
      </c>
      <c r="AC40" s="165">
        <f>Report!AC32</f>
        <v>34.810905992708015</v>
      </c>
      <c r="AD40" s="165">
        <f>Report!AD32</f>
        <v>30.620945600970376</v>
      </c>
      <c r="AE40" s="165">
        <f>Report!AE32</f>
        <v>1.1060166416540134</v>
      </c>
      <c r="AF40" s="165">
        <f>Report!AF32</f>
        <v>0.1773198067525851</v>
      </c>
      <c r="AG40" s="165">
        <f>Report!AG32</f>
        <v>0.6453228117128299</v>
      </c>
      <c r="AH40" s="165" t="e">
        <f>Report!AH32</f>
        <v>#VALUE!</v>
      </c>
      <c r="AI40" s="165">
        <f>Report!AI32</f>
        <v>1.8659192735965164</v>
      </c>
      <c r="AJ40" s="165">
        <f>Report!AJ32</f>
        <v>1.6552427638263877E-2</v>
      </c>
      <c r="AK40" s="165">
        <f>Report!AK32</f>
        <v>0.64532281171283101</v>
      </c>
      <c r="AL40" s="165">
        <f>Report!AL32</f>
        <v>0.334645417437342</v>
      </c>
      <c r="AM40" s="165" t="e">
        <f>Report!AM32</f>
        <v>#VALUE!</v>
      </c>
      <c r="AN40" s="165" t="e">
        <f>Report!AN32</f>
        <v>#VALUE!</v>
      </c>
      <c r="AO40" s="165" t="e">
        <f>Report!AO32</f>
        <v>#VALUE!</v>
      </c>
      <c r="AP40" s="165">
        <f>Report!AP32</f>
        <v>0.17731980675258402</v>
      </c>
      <c r="AQ40" s="165" t="e">
        <f>Report!AQ32</f>
        <v>#VALUE!</v>
      </c>
      <c r="AR40" s="165" t="e">
        <f>Report!AR32</f>
        <v>#VALUE!</v>
      </c>
      <c r="AS40" s="165">
        <f>Report!AS32</f>
        <v>39.581009390300764</v>
      </c>
      <c r="AT40" s="165">
        <f>Report!AT32</f>
        <v>63.434089458599452</v>
      </c>
      <c r="AU40" s="165">
        <f>Report!AU32</f>
        <v>86.736531253539923</v>
      </c>
      <c r="AV40" s="165">
        <f>Report!AV32</f>
        <v>317.34431639672528</v>
      </c>
      <c r="AW40" s="165">
        <f>Report!AW32</f>
        <v>38.713387277337141</v>
      </c>
    </row>
    <row r="41" spans="1:49" x14ac:dyDescent="0.25">
      <c r="A41" s="153" t="s">
        <v>26</v>
      </c>
      <c r="B41" s="506">
        <f>Report!B33</f>
        <v>4.1153122799283004</v>
      </c>
      <c r="C41" s="165">
        <f>Report!C33</f>
        <v>12.356233268708054</v>
      </c>
      <c r="D41" s="165">
        <f>Report!D33</f>
        <v>74.045392362002403</v>
      </c>
      <c r="E41" s="165">
        <f>Report!E33</f>
        <v>75.083294851475003</v>
      </c>
      <c r="F41" s="165">
        <f>Report!F33</f>
        <v>57.582824197595933</v>
      </c>
      <c r="G41" s="165">
        <f>Report!G33</f>
        <v>64.020789553378023</v>
      </c>
      <c r="H41" s="165">
        <f>Report!H33</f>
        <v>29.89851623452704</v>
      </c>
      <c r="I41" s="165">
        <f>Report!I33</f>
        <v>27.297285793713083</v>
      </c>
      <c r="J41" s="165">
        <f>Report!J33</f>
        <v>37.701376946437577</v>
      </c>
      <c r="K41" s="165">
        <f>Report!K33</f>
        <v>34.810905992708015</v>
      </c>
      <c r="L41" s="165">
        <f>Report!L33</f>
        <v>38.135069173367128</v>
      </c>
      <c r="M41" s="165">
        <f>Report!M33</f>
        <v>72.712687282896667</v>
      </c>
      <c r="N41" s="165">
        <f>Report!N33</f>
        <v>85.833957610426978</v>
      </c>
      <c r="O41" s="165">
        <f>Report!O33</f>
        <v>37.26772152284321</v>
      </c>
      <c r="P41" s="165">
        <f>Report!P33</f>
        <v>39.725631211150841</v>
      </c>
      <c r="Q41" s="165">
        <f>Report!Q33</f>
        <v>31.487822918657415</v>
      </c>
      <c r="R41" s="165">
        <f>Report!R33</f>
        <v>32.93259218007573</v>
      </c>
      <c r="S41" s="165">
        <f>Report!S33</f>
        <v>30.620945600970376</v>
      </c>
      <c r="T41" s="165">
        <f>Report!T33</f>
        <v>58.020734702032001</v>
      </c>
      <c r="U41" s="165">
        <f>Report!U33</f>
        <v>57.582824197595933</v>
      </c>
      <c r="V41" s="165">
        <f>Report!V33</f>
        <v>80.739460992317888</v>
      </c>
      <c r="W41" s="165">
        <f>Report!W33</f>
        <v>71.234138876485659</v>
      </c>
      <c r="X41" s="165">
        <f>Report!X33</f>
        <v>327.0028577975649</v>
      </c>
      <c r="Y41" s="165">
        <f>Report!Y33</f>
        <v>109.70517096546133</v>
      </c>
      <c r="Z41" s="165">
        <f>Report!Z33</f>
        <v>3.8171707846194711</v>
      </c>
      <c r="AA41" s="165">
        <f>Report!AA33</f>
        <v>12.648130446397499</v>
      </c>
      <c r="AB41" s="165">
        <f>Report!AB33</f>
        <v>88.09247107118324</v>
      </c>
      <c r="AC41" s="165">
        <f>Report!AC33</f>
        <v>69.610365879695053</v>
      </c>
      <c r="AD41" s="165">
        <f>Report!AD33</f>
        <v>38.135069173367128</v>
      </c>
      <c r="AE41" s="165">
        <f>Report!AE33</f>
        <v>1.2586480955833492</v>
      </c>
      <c r="AF41" s="165">
        <f>Report!AF33</f>
        <v>0.6453228117128299</v>
      </c>
      <c r="AG41" s="165">
        <f>Report!AG33</f>
        <v>0.1773198067525851</v>
      </c>
      <c r="AH41" s="165" t="e">
        <f>Report!AH33</f>
        <v>#VALUE!</v>
      </c>
      <c r="AI41" s="165" t="e">
        <f>Report!AI33</f>
        <v>#VALUE!</v>
      </c>
      <c r="AJ41" s="165" t="e">
        <f>Report!AJ33</f>
        <v>#VALUE!</v>
      </c>
      <c r="AK41" s="165" t="e">
        <f>Report!AK33</f>
        <v>#VALUE!</v>
      </c>
      <c r="AL41" s="165" t="e">
        <f>Report!AL33</f>
        <v>#VALUE!</v>
      </c>
      <c r="AM41" s="165" t="e">
        <f>Report!AM33</f>
        <v>#VALUE!</v>
      </c>
      <c r="AN41" s="165" t="e">
        <f>Report!AN33</f>
        <v>#VALUE!</v>
      </c>
      <c r="AO41" s="165" t="e">
        <f>Report!AO33</f>
        <v>#VALUE!</v>
      </c>
      <c r="AP41" s="165" t="e">
        <f>Report!AP33</f>
        <v>#VALUE!</v>
      </c>
      <c r="AQ41" s="165" t="e">
        <f>Report!AQ33</f>
        <v>#VALUE!</v>
      </c>
      <c r="AR41" s="165">
        <f>Report!AR33</f>
        <v>23.247947682779369</v>
      </c>
      <c r="AS41" s="165">
        <f>Report!AS33</f>
        <v>39.725631211150841</v>
      </c>
      <c r="AT41" s="165">
        <f>Report!AT33</f>
        <v>63.287461614754861</v>
      </c>
      <c r="AU41" s="165">
        <f>Report!AU33</f>
        <v>86.285107209117982</v>
      </c>
      <c r="AV41" s="165">
        <f>Report!AV33</f>
        <v>316.48287557008217</v>
      </c>
      <c r="AW41" s="165">
        <f>Report!AW33</f>
        <v>106.74816701444526</v>
      </c>
    </row>
    <row r="42" spans="1:49" x14ac:dyDescent="0.25">
      <c r="A42" s="153" t="s">
        <v>27</v>
      </c>
      <c r="B42" s="506">
        <f>Report!B34</f>
        <v>1.4109170950072489</v>
      </c>
      <c r="C42" s="165">
        <f>Report!C34</f>
        <v>79.545511883471917</v>
      </c>
      <c r="D42" s="165">
        <f>Report!D34</f>
        <v>74.786628620168315</v>
      </c>
      <c r="E42" s="165">
        <f>Report!E34</f>
        <v>78.055504058305715</v>
      </c>
      <c r="F42" s="165">
        <f>Report!F34</f>
        <v>61.236602821588633</v>
      </c>
      <c r="G42" s="165">
        <f>Report!G34</f>
        <v>67.106091270327866</v>
      </c>
      <c r="H42" s="165">
        <f>Report!H34</f>
        <v>31.343345248280443</v>
      </c>
      <c r="I42" s="165">
        <f>Report!I34</f>
        <v>30.909908190140907</v>
      </c>
      <c r="J42" s="165">
        <f>Report!J34</f>
        <v>30.043005207507235</v>
      </c>
      <c r="K42" s="165">
        <f>Report!K34</f>
        <v>32.065729958070627</v>
      </c>
      <c r="L42" s="165">
        <f>Report!L34</f>
        <v>76.865393188426623</v>
      </c>
      <c r="M42" s="165">
        <f>Report!M34</f>
        <v>83.732160101226256</v>
      </c>
      <c r="N42" s="165">
        <f>Report!N34</f>
        <v>93.238364265339612</v>
      </c>
      <c r="O42" s="165">
        <f>Report!O34</f>
        <v>39.002574555113561</v>
      </c>
      <c r="P42" s="165">
        <f>Report!P34</f>
        <v>36.834100241706246</v>
      </c>
      <c r="Q42" s="165">
        <f>Report!Q34</f>
        <v>31.487822918657422</v>
      </c>
      <c r="R42" s="165">
        <f>Report!R34</f>
        <v>31.054388001374441</v>
      </c>
      <c r="S42" s="165">
        <f>Report!S34</f>
        <v>66.370694312192683</v>
      </c>
      <c r="T42" s="165">
        <f>Report!T34</f>
        <v>67.694780756702215</v>
      </c>
      <c r="U42" s="165">
        <f>Report!U34</f>
        <v>64.75459497813695</v>
      </c>
      <c r="V42" s="165">
        <f>Report!V34</f>
        <v>75.825395039168697</v>
      </c>
      <c r="W42" s="165">
        <f>Report!W34</f>
        <v>75.825395039168697</v>
      </c>
      <c r="X42" s="165">
        <f>Report!X34</f>
        <v>52.338339765858095</v>
      </c>
      <c r="Y42" s="165">
        <f>Report!Y34</f>
        <v>333.33157820192019</v>
      </c>
      <c r="Z42" s="165">
        <f>Report!Z34</f>
        <v>1.7145229928147128</v>
      </c>
      <c r="AA42" s="165">
        <f>Report!AA34</f>
        <v>89.450956683992956</v>
      </c>
      <c r="AB42" s="165">
        <f>Report!AB34</f>
        <v>74.045392362002431</v>
      </c>
      <c r="AC42" s="165">
        <f>Report!AC34</f>
        <v>33.077070859667842</v>
      </c>
      <c r="AD42" s="165">
        <f>Report!AD34</f>
        <v>94.302605976120901</v>
      </c>
      <c r="AE42" s="165">
        <f>Report!AE34</f>
        <v>1.1060166416540114</v>
      </c>
      <c r="AF42" s="165">
        <f>Report!AF34</f>
        <v>0.95297014171901628</v>
      </c>
      <c r="AG42" s="165">
        <f>Report!AG34</f>
        <v>1.6552427638265026E-2</v>
      </c>
      <c r="AH42" s="165">
        <f>Report!AH34</f>
        <v>1.6552427638263877E-2</v>
      </c>
      <c r="AI42" s="165">
        <f>Report!AI34</f>
        <v>0.334645417437342</v>
      </c>
      <c r="AJ42" s="165">
        <f>Report!AJ34</f>
        <v>1.6552427638263877E-2</v>
      </c>
      <c r="AK42" s="165" t="e">
        <f>Report!AK34</f>
        <v>#VALUE!</v>
      </c>
      <c r="AL42" s="165">
        <f>Report!AL34</f>
        <v>0.6453228117128299</v>
      </c>
      <c r="AM42" s="165" t="e">
        <f>Report!AM34</f>
        <v>#VALUE!</v>
      </c>
      <c r="AN42" s="165" t="e">
        <f>Report!AN34</f>
        <v>#VALUE!</v>
      </c>
      <c r="AO42" s="165" t="e">
        <f>Report!AO34</f>
        <v>#VALUE!</v>
      </c>
      <c r="AP42" s="165" t="e">
        <f>Report!AP34</f>
        <v>#VALUE!</v>
      </c>
      <c r="AQ42" s="165" t="e">
        <f>Report!AQ34</f>
        <v>#VALUE!</v>
      </c>
      <c r="AR42" s="165">
        <f>Report!AR34</f>
        <v>69.462883473788509</v>
      </c>
      <c r="AS42" s="165">
        <f>Report!AS34</f>
        <v>30.620945600970376</v>
      </c>
      <c r="AT42" s="165">
        <f>Report!AT34</f>
        <v>70.200515947098225</v>
      </c>
      <c r="AU42" s="165">
        <f>Report!AU34</f>
        <v>89.299886345056535</v>
      </c>
      <c r="AV42" s="165">
        <f>Report!AV34</f>
        <v>52.629227225828068</v>
      </c>
      <c r="AW42" s="165">
        <f>Report!AW34</f>
        <v>324.33478987813834</v>
      </c>
    </row>
    <row r="43" spans="1:49" x14ac:dyDescent="0.25">
      <c r="A43" s="153" t="s">
        <v>28</v>
      </c>
      <c r="B43" s="165">
        <f>Report!B35</f>
        <v>0.33464541743734305</v>
      </c>
      <c r="C43" s="507">
        <f>Report!C35</f>
        <v>71.825280444937235</v>
      </c>
      <c r="D43" s="507">
        <f>Report!D35</f>
        <v>75.528480081633546</v>
      </c>
      <c r="E43" s="165">
        <f>Report!E35</f>
        <v>75.825395039168697</v>
      </c>
      <c r="F43" s="165">
        <f>Report!F35</f>
        <v>59.043088239444337</v>
      </c>
      <c r="G43" s="165">
        <f>Report!G35</f>
        <v>63.287461614754861</v>
      </c>
      <c r="H43" s="165">
        <f>Report!H35</f>
        <v>30.043005207507235</v>
      </c>
      <c r="I43" s="165">
        <f>Report!I35</f>
        <v>29.898516234527044</v>
      </c>
      <c r="J43" s="165">
        <f>Report!J35</f>
        <v>36.834100241706246</v>
      </c>
      <c r="K43" s="165">
        <f>Report!K35</f>
        <v>34.955403104512563</v>
      </c>
      <c r="L43" s="165">
        <f>Report!L35</f>
        <v>82.683419241760177</v>
      </c>
      <c r="M43" s="165">
        <f>Report!M35</f>
        <v>78.949188599957125</v>
      </c>
      <c r="N43" s="165">
        <f>Report!N35</f>
        <v>100.57104709668199</v>
      </c>
      <c r="O43" s="165">
        <f>Report!O35</f>
        <v>41.606243280932112</v>
      </c>
      <c r="P43" s="165">
        <f>Report!P35</f>
        <v>42.329843191327534</v>
      </c>
      <c r="Q43" s="165">
        <f>Report!Q35</f>
        <v>33.366030627971739</v>
      </c>
      <c r="R43" s="165">
        <f>Report!R35</f>
        <v>32.643636676255007</v>
      </c>
      <c r="S43" s="165">
        <f>Report!S35</f>
        <v>64.461014903538015</v>
      </c>
      <c r="T43" s="165">
        <f>Report!T35</f>
        <v>71.677460592348112</v>
      </c>
      <c r="U43" s="165">
        <f>Report!U35</f>
        <v>61.822200243661158</v>
      </c>
      <c r="V43" s="165">
        <f>Report!V35</f>
        <v>79.545511883471931</v>
      </c>
      <c r="W43" s="165">
        <f>Report!W35</f>
        <v>33.654994341217979</v>
      </c>
      <c r="X43" s="165">
        <f>Report!X35</f>
        <v>55.249641638658503</v>
      </c>
      <c r="Y43" s="165">
        <f>Report!Y35</f>
        <v>1028.5880668544912</v>
      </c>
      <c r="Z43" s="165">
        <f>Report!Z35</f>
        <v>0.6453228117128299</v>
      </c>
      <c r="AA43" s="165">
        <f>Report!AA35</f>
        <v>59.189204146257318</v>
      </c>
      <c r="AB43" s="165">
        <f>Report!AB35</f>
        <v>73.897218103947907</v>
      </c>
      <c r="AC43" s="165">
        <f>Report!AC35</f>
        <v>31.776776935741228</v>
      </c>
      <c r="AD43" s="165">
        <f>Report!AD35</f>
        <v>97.505636939416846</v>
      </c>
      <c r="AE43" s="165" t="e">
        <f>Report!AE35</f>
        <v>#VALUE!</v>
      </c>
      <c r="AF43" s="165" t="e">
        <f>Report!AF35</f>
        <v>#VALUE!</v>
      </c>
      <c r="AG43" s="165">
        <f>Report!AG35</f>
        <v>0.334645417437342</v>
      </c>
      <c r="AH43" s="165">
        <f>Report!AH35</f>
        <v>1.6552427638262725E-2</v>
      </c>
      <c r="AI43" s="165">
        <f>Report!AI35</f>
        <v>1.6552427638263877E-2</v>
      </c>
      <c r="AJ43" s="165">
        <f>Report!AJ35</f>
        <v>0.79943837504430948</v>
      </c>
      <c r="AK43" s="165">
        <f>Report!AK35</f>
        <v>0.334645417437342</v>
      </c>
      <c r="AL43" s="165">
        <f>Report!AL35</f>
        <v>1.6552427638263877E-2</v>
      </c>
      <c r="AM43" s="165" t="e">
        <f>Report!AM35</f>
        <v>#VALUE!</v>
      </c>
      <c r="AN43" s="165">
        <f>Report!AN35</f>
        <v>1.6552427638263877E-2</v>
      </c>
      <c r="AO43" s="165" t="e">
        <f>Report!AO35</f>
        <v>#VALUE!</v>
      </c>
      <c r="AP43" s="165" t="e">
        <f>Report!AP35</f>
        <v>#VALUE!</v>
      </c>
      <c r="AQ43" s="165" t="e">
        <f>Report!AQ35</f>
        <v>#VALUE!</v>
      </c>
      <c r="AR43" s="165">
        <f>Report!AR35</f>
        <v>80.440809372543583</v>
      </c>
      <c r="AS43" s="165">
        <f>Report!AS35</f>
        <v>73.749068000937896</v>
      </c>
      <c r="AT43" s="165">
        <f>Report!AT35</f>
        <v>59.335336634487525</v>
      </c>
      <c r="AU43" s="165">
        <f>Report!AU35</f>
        <v>83.28252619866592</v>
      </c>
      <c r="AV43" s="165">
        <f>Report!AV35</f>
        <v>55.249641638658503</v>
      </c>
      <c r="AW43" s="165">
        <f>Report!AW35</f>
        <v>1006.1064529054263</v>
      </c>
    </row>
    <row r="44" spans="1:49" x14ac:dyDescent="0.25">
      <c r="N44" s="26"/>
      <c r="O44" s="26"/>
      <c r="P44" s="26"/>
      <c r="Q44" s="26"/>
      <c r="R44" s="26"/>
      <c r="S44" s="26"/>
      <c r="T44" s="26"/>
      <c r="U44" s="26"/>
      <c r="V44" s="26"/>
      <c r="W44" s="26"/>
      <c r="X44" s="26"/>
      <c r="Y44" s="26"/>
      <c r="Z44" s="26"/>
    </row>
    <row r="45" spans="1:49" x14ac:dyDescent="0.25">
      <c r="N45" s="26"/>
      <c r="O45" s="26"/>
      <c r="P45" s="26"/>
      <c r="Q45" s="26"/>
      <c r="R45" s="26"/>
      <c r="S45" s="26"/>
      <c r="T45" s="26"/>
      <c r="U45" s="26"/>
      <c r="V45" s="26"/>
      <c r="W45" s="26"/>
      <c r="X45" s="26"/>
      <c r="Y45" s="26"/>
      <c r="Z45" s="26"/>
    </row>
    <row r="46" spans="1:49" x14ac:dyDescent="0.25">
      <c r="N46" s="26"/>
      <c r="O46" s="26"/>
      <c r="P46" s="26"/>
      <c r="Q46" s="26"/>
      <c r="R46" s="26"/>
      <c r="S46" s="26"/>
      <c r="T46" s="26"/>
      <c r="U46" s="26"/>
      <c r="V46" s="26"/>
      <c r="W46" s="26"/>
      <c r="X46" s="26"/>
      <c r="Y46" s="26"/>
      <c r="Z46" s="26"/>
    </row>
    <row r="47" spans="1:49" x14ac:dyDescent="0.25">
      <c r="N47" s="26"/>
      <c r="O47" s="26"/>
      <c r="P47" s="26"/>
      <c r="Q47" s="26"/>
      <c r="R47" s="26"/>
      <c r="S47" s="26"/>
      <c r="T47" s="26"/>
      <c r="U47" s="26"/>
      <c r="V47" s="26"/>
      <c r="W47" s="26"/>
      <c r="X47" s="26"/>
      <c r="Y47" s="26"/>
      <c r="Z47" s="26"/>
    </row>
    <row r="48" spans="1:49" x14ac:dyDescent="0.25">
      <c r="A48" s="793" t="s">
        <v>659</v>
      </c>
      <c r="B48" s="793"/>
      <c r="N48" s="605"/>
      <c r="O48" s="605"/>
      <c r="P48" s="26"/>
      <c r="Q48" s="26"/>
      <c r="R48" s="26"/>
      <c r="S48" s="26"/>
      <c r="T48" s="26"/>
      <c r="U48" s="26"/>
      <c r="V48" s="26"/>
      <c r="W48" s="26"/>
      <c r="X48" s="26"/>
      <c r="Y48" s="26"/>
      <c r="Z48" s="26"/>
    </row>
    <row r="49" spans="1:26" x14ac:dyDescent="0.25">
      <c r="A49" s="122" t="s">
        <v>371</v>
      </c>
      <c r="N49" s="26"/>
      <c r="O49" s="26"/>
      <c r="P49" s="26"/>
      <c r="Q49" s="26"/>
      <c r="R49" s="26"/>
      <c r="S49" s="26"/>
      <c r="T49" s="26"/>
      <c r="U49" s="26"/>
      <c r="V49" s="26"/>
      <c r="W49" s="26"/>
      <c r="X49" s="26"/>
      <c r="Y49" s="26"/>
      <c r="Z49" s="26"/>
    </row>
    <row r="50" spans="1:26" x14ac:dyDescent="0.25">
      <c r="A50" s="27" t="s">
        <v>40</v>
      </c>
      <c r="B50" s="27" t="str">
        <f>I4</f>
        <v>pg/mL</v>
      </c>
      <c r="C50" s="27" t="s">
        <v>660</v>
      </c>
      <c r="D50" s="27" t="s">
        <v>661</v>
      </c>
      <c r="E50" s="27" t="s">
        <v>607</v>
      </c>
      <c r="N50" s="26"/>
      <c r="O50" s="26"/>
      <c r="P50" s="26"/>
      <c r="Q50" s="26"/>
      <c r="R50" s="26"/>
      <c r="S50" s="26"/>
      <c r="T50" s="26"/>
      <c r="U50" s="26"/>
      <c r="V50" s="26"/>
      <c r="W50" s="26"/>
      <c r="X50" s="26"/>
      <c r="Y50" s="26"/>
      <c r="Z50" s="26"/>
    </row>
    <row r="51" spans="1:26" x14ac:dyDescent="0.25">
      <c r="A51" s="156" t="s">
        <v>29</v>
      </c>
      <c r="B51" s="157">
        <f>I5</f>
        <v>1000</v>
      </c>
      <c r="C51" s="145">
        <f>AVERAGE(B24,Y31,Z24,AW31)</f>
        <v>2.6552500000000001</v>
      </c>
      <c r="D51" s="145">
        <f>STDEV(B24,Y31,Z24,AW31)</f>
        <v>2.9881711240601187E-2</v>
      </c>
      <c r="E51" s="145">
        <f>(D51/C51)*100</f>
        <v>1.1253822141267749</v>
      </c>
      <c r="N51" s="158"/>
      <c r="O51" s="26"/>
      <c r="P51" s="26"/>
      <c r="Q51" s="169"/>
      <c r="R51" s="169"/>
      <c r="S51" s="26"/>
      <c r="T51" s="26"/>
      <c r="U51" s="26"/>
      <c r="V51" s="26"/>
      <c r="W51" s="26"/>
      <c r="X51" s="26"/>
      <c r="Y51" s="26"/>
      <c r="Z51" s="26"/>
    </row>
    <row r="52" spans="1:26" x14ac:dyDescent="0.25">
      <c r="A52" s="156" t="s">
        <v>30</v>
      </c>
      <c r="B52" s="157">
        <f>B51/$I$6</f>
        <v>333.33333333333331</v>
      </c>
      <c r="C52" s="145">
        <f>AVERAGE(B25,Y30,Z25,AW30)</f>
        <v>1.8472500000000001</v>
      </c>
      <c r="D52" s="145">
        <f>STDEV(B25,Y30,Z25,AW30)</f>
        <v>3.4903438226054469E-2</v>
      </c>
      <c r="E52" s="145">
        <f t="shared" ref="E52:E57" si="0">(D52/C52)*100</f>
        <v>1.8894810245529552</v>
      </c>
      <c r="N52" s="158"/>
      <c r="O52" s="26"/>
      <c r="P52" s="26"/>
      <c r="Q52" s="169"/>
      <c r="R52" s="169"/>
      <c r="S52" s="26"/>
      <c r="T52" s="26"/>
      <c r="U52" s="26"/>
      <c r="V52" s="26"/>
      <c r="W52" s="26"/>
      <c r="X52" s="26"/>
      <c r="Y52" s="26"/>
      <c r="Z52" s="26"/>
    </row>
    <row r="53" spans="1:26" x14ac:dyDescent="0.25">
      <c r="A53" s="156" t="s">
        <v>31</v>
      </c>
      <c r="B53" s="157">
        <f t="shared" ref="B53:B57" si="1">B52/$I$6</f>
        <v>111.1111111111111</v>
      </c>
      <c r="C53" s="145">
        <f>AVERAGE(B26,Y29,Z26,AW29)</f>
        <v>0.74299999999999999</v>
      </c>
      <c r="D53" s="145">
        <f>STDEV(B26,Y29,Z26,AW29)</f>
        <v>1.626857912254992E-2</v>
      </c>
      <c r="E53" s="145">
        <f t="shared" si="0"/>
        <v>2.189579962658132</v>
      </c>
      <c r="N53" s="158"/>
      <c r="O53" s="26"/>
      <c r="P53" s="26"/>
      <c r="Q53" s="169"/>
      <c r="R53" s="169"/>
      <c r="S53" s="26"/>
      <c r="T53" s="26"/>
      <c r="U53" s="26"/>
      <c r="V53" s="26"/>
      <c r="W53" s="26"/>
      <c r="X53" s="26"/>
      <c r="Y53" s="26"/>
      <c r="Z53" s="26"/>
    </row>
    <row r="54" spans="1:26" x14ac:dyDescent="0.25">
      <c r="A54" s="156" t="s">
        <v>32</v>
      </c>
      <c r="B54" s="157">
        <f t="shared" si="1"/>
        <v>37.037037037037031</v>
      </c>
      <c r="C54" s="145">
        <f>AVERAGE(B27,Y28,Z27,AW28)</f>
        <v>0.27050000000000002</v>
      </c>
      <c r="D54" s="145">
        <f>STDEV(B27,Y28,Z27,AW28)</f>
        <v>8.4261497731763658E-3</v>
      </c>
      <c r="E54" s="145">
        <f t="shared" si="0"/>
        <v>3.1150276425790628</v>
      </c>
      <c r="N54" s="158"/>
      <c r="O54" s="26"/>
      <c r="P54" s="26"/>
      <c r="Q54" s="169"/>
      <c r="R54" s="169"/>
      <c r="S54" s="26"/>
      <c r="T54" s="26"/>
      <c r="U54" s="26"/>
      <c r="V54" s="26"/>
      <c r="W54" s="26"/>
      <c r="X54" s="26"/>
      <c r="Y54" s="26"/>
      <c r="Z54" s="26"/>
    </row>
    <row r="55" spans="1:26" x14ac:dyDescent="0.25">
      <c r="A55" s="156" t="s">
        <v>33</v>
      </c>
      <c r="B55" s="157">
        <f t="shared" si="1"/>
        <v>12.345679012345677</v>
      </c>
      <c r="C55" s="145">
        <f>AVERAGE(B28,Y27,Z28,AW27)</f>
        <v>9.8249999999999976E-2</v>
      </c>
      <c r="D55" s="145">
        <f>STDEV(B28,Y27,Z28,AW27)</f>
        <v>1.2120918557051285E-2</v>
      </c>
      <c r="E55" s="145">
        <f t="shared" si="0"/>
        <v>12.33681278071378</v>
      </c>
      <c r="N55" s="158"/>
      <c r="O55" s="26"/>
      <c r="P55" s="26"/>
      <c r="Q55" s="169"/>
      <c r="R55" s="169"/>
      <c r="S55" s="26"/>
      <c r="T55" s="26"/>
      <c r="U55" s="26"/>
      <c r="V55" s="26"/>
      <c r="W55" s="26"/>
      <c r="X55" s="26"/>
      <c r="Y55" s="26"/>
      <c r="Z55" s="26"/>
    </row>
    <row r="56" spans="1:26" x14ac:dyDescent="0.25">
      <c r="A56" s="156" t="s">
        <v>34</v>
      </c>
      <c r="B56" s="157">
        <f t="shared" si="1"/>
        <v>4.1152263374485587</v>
      </c>
      <c r="C56" s="145">
        <f>AVERAGE(B29,Y26,Z29,AW26)</f>
        <v>3.5250000000000004E-2</v>
      </c>
      <c r="D56" s="145">
        <f>STDEV(B29,Y26,Z29,AW26)</f>
        <v>2.3629078131263046E-3</v>
      </c>
      <c r="E56" s="145">
        <f t="shared" si="0"/>
        <v>6.703284576244835</v>
      </c>
      <c r="N56" s="158"/>
      <c r="O56" s="26"/>
      <c r="P56" s="26"/>
      <c r="Q56" s="169"/>
      <c r="R56" s="169"/>
      <c r="S56" s="26"/>
      <c r="T56" s="26"/>
      <c r="U56" s="26"/>
      <c r="V56" s="26"/>
      <c r="W56" s="26"/>
      <c r="X56" s="26"/>
      <c r="Y56" s="26"/>
      <c r="Z56" s="26"/>
    </row>
    <row r="57" spans="1:26" x14ac:dyDescent="0.25">
      <c r="A57" s="156" t="s">
        <v>35</v>
      </c>
      <c r="B57" s="157">
        <f t="shared" si="1"/>
        <v>1.3717421124828528</v>
      </c>
      <c r="C57" s="145">
        <f>AVERAGE(B30,Y25,Z30,AW25)</f>
        <v>1.7750000000000002E-2</v>
      </c>
      <c r="D57" s="145">
        <f>STDEV(B30,Y25,Z30,AW25)</f>
        <v>2.7537852736430513E-3</v>
      </c>
      <c r="E57" s="145">
        <f t="shared" si="0"/>
        <v>15.514283231791836</v>
      </c>
      <c r="N57" s="158"/>
      <c r="O57" s="26"/>
      <c r="P57" s="26"/>
      <c r="Q57" s="169"/>
      <c r="R57" s="169"/>
      <c r="S57" s="26"/>
      <c r="T57" s="26"/>
      <c r="U57" s="26"/>
      <c r="V57" s="26"/>
      <c r="W57" s="26"/>
      <c r="X57" s="26"/>
      <c r="Y57" s="26"/>
      <c r="Z57" s="26"/>
    </row>
    <row r="58" spans="1:26" x14ac:dyDescent="0.25">
      <c r="A58" s="158"/>
      <c r="B58" s="26"/>
      <c r="C58" s="1"/>
      <c r="D58" s="1"/>
      <c r="E58" s="1"/>
      <c r="N58" s="158"/>
      <c r="O58" s="26"/>
      <c r="P58" s="26"/>
      <c r="Q58" s="26"/>
      <c r="R58" s="26"/>
      <c r="S58" s="26"/>
      <c r="T58" s="26"/>
      <c r="U58" s="26"/>
      <c r="V58" s="26"/>
      <c r="W58" s="26"/>
      <c r="X58" s="26"/>
      <c r="Y58" s="26"/>
      <c r="Z58" s="26"/>
    </row>
    <row r="59" spans="1:26" x14ac:dyDescent="0.25">
      <c r="N59" s="26"/>
      <c r="O59" s="26"/>
      <c r="P59" s="26"/>
      <c r="Q59" s="26"/>
      <c r="R59" s="26"/>
      <c r="S59" s="26"/>
      <c r="T59" s="26"/>
      <c r="U59" s="26"/>
      <c r="V59" s="26"/>
      <c r="W59" s="26"/>
      <c r="X59" s="26"/>
      <c r="Y59" s="26"/>
      <c r="Z59" s="26"/>
    </row>
    <row r="60" spans="1:26" x14ac:dyDescent="0.25">
      <c r="A60" s="794" t="s">
        <v>662</v>
      </c>
      <c r="B60" s="794"/>
      <c r="N60" s="791"/>
      <c r="O60" s="791"/>
      <c r="P60" s="26"/>
      <c r="Q60" s="26"/>
      <c r="R60" s="26"/>
      <c r="S60" s="26"/>
      <c r="T60" s="26"/>
      <c r="U60" s="26"/>
      <c r="V60" s="26"/>
      <c r="W60" s="26"/>
      <c r="X60" s="26"/>
      <c r="Y60" s="26"/>
      <c r="Z60" s="26"/>
    </row>
    <row r="61" spans="1:26" x14ac:dyDescent="0.25">
      <c r="A61" s="27" t="s">
        <v>1349</v>
      </c>
      <c r="B61" s="159" t="s">
        <v>663</v>
      </c>
      <c r="C61" s="170">
        <f>L6</f>
        <v>60</v>
      </c>
      <c r="D61" s="27" t="str">
        <f>I4</f>
        <v>pg/mL</v>
      </c>
      <c r="E61" s="1"/>
      <c r="F61" s="735" t="s">
        <v>664</v>
      </c>
      <c r="G61" s="735"/>
      <c r="H61" s="735"/>
      <c r="I61" s="735"/>
      <c r="N61" s="26"/>
      <c r="O61" s="174"/>
      <c r="P61" s="180"/>
      <c r="Q61" s="26"/>
      <c r="R61" s="26"/>
      <c r="S61" s="792"/>
      <c r="T61" s="792"/>
      <c r="U61" s="792"/>
      <c r="V61" s="792"/>
      <c r="W61" s="26"/>
      <c r="X61" s="26"/>
      <c r="Y61" s="26"/>
      <c r="Z61" s="26"/>
    </row>
    <row r="62" spans="1:26" x14ac:dyDescent="0.25">
      <c r="A62" s="27"/>
      <c r="B62" s="27" t="s">
        <v>665</v>
      </c>
      <c r="C62" s="27" t="s">
        <v>666</v>
      </c>
      <c r="D62" s="1" t="s">
        <v>669</v>
      </c>
      <c r="E62" s="26"/>
      <c r="F62" s="27"/>
      <c r="G62" s="27" t="s">
        <v>667</v>
      </c>
      <c r="H62" s="27" t="s">
        <v>661</v>
      </c>
      <c r="I62" s="27" t="s">
        <v>607</v>
      </c>
      <c r="N62" s="26"/>
      <c r="O62" s="26"/>
      <c r="P62" s="26"/>
      <c r="Q62" s="26"/>
      <c r="R62" s="26"/>
      <c r="S62" s="26"/>
      <c r="T62" s="26"/>
      <c r="U62" s="26"/>
      <c r="V62" s="26"/>
      <c r="W62" s="26"/>
      <c r="X62" s="26"/>
      <c r="Y62" s="26"/>
      <c r="Z62" s="26"/>
    </row>
    <row r="63" spans="1:26" x14ac:dyDescent="0.25">
      <c r="A63" s="27" t="s">
        <v>1326</v>
      </c>
      <c r="B63" s="145">
        <f>C36</f>
        <v>55.395353586132316</v>
      </c>
      <c r="C63" s="145">
        <f>(B63/$C$61)*100</f>
        <v>92.325589310220522</v>
      </c>
      <c r="D63" s="1"/>
      <c r="E63" s="160"/>
      <c r="F63" s="27" t="s">
        <v>668</v>
      </c>
      <c r="G63" s="526">
        <f>AVERAGE(B43,Y36,Z43,AW36)</f>
        <v>0.41231476600621475</v>
      </c>
      <c r="H63" s="526">
        <f>STDEV(B43,Y36,Z43,AW36)</f>
        <v>0.15533869713774345</v>
      </c>
      <c r="I63" s="526">
        <f>(H63/G63)*100</f>
        <v>37.674783913851407</v>
      </c>
      <c r="N63" s="26"/>
      <c r="O63" s="169"/>
      <c r="P63" s="169"/>
      <c r="Q63" s="26"/>
      <c r="R63" s="178"/>
      <c r="S63" s="26"/>
      <c r="T63" s="169"/>
      <c r="U63" s="169"/>
      <c r="V63" s="169"/>
      <c r="W63" s="26"/>
      <c r="X63" s="26"/>
      <c r="Y63" s="26"/>
      <c r="Z63" s="26"/>
    </row>
    <row r="64" spans="1:26" x14ac:dyDescent="0.25">
      <c r="A64" s="27" t="s">
        <v>1327</v>
      </c>
      <c r="B64" s="145">
        <f>C37</f>
        <v>49.432197131166589</v>
      </c>
      <c r="C64" s="145">
        <f t="shared" ref="C64:C70" si="2">(B64/$C$61)*100</f>
        <v>82.386995218610977</v>
      </c>
      <c r="D64" s="1"/>
      <c r="E64" s="160"/>
      <c r="F64" s="27" t="s">
        <v>606</v>
      </c>
      <c r="G64" s="526">
        <f>AVERAGE(B31,Y24,Z31,AW24)</f>
        <v>1.2500000000000002E-2</v>
      </c>
      <c r="H64" s="526">
        <f>STDEV(B31,Y24,Z31,AW24)</f>
        <v>9.9999999999999742E-4</v>
      </c>
      <c r="I64" s="526">
        <f>(H64/G64)*100</f>
        <v>7.9999999999999778</v>
      </c>
      <c r="N64" s="26"/>
      <c r="O64" s="169"/>
      <c r="P64" s="169"/>
      <c r="Q64" s="26"/>
      <c r="R64" s="178"/>
      <c r="S64" s="26"/>
      <c r="T64" s="169"/>
      <c r="U64" s="169"/>
      <c r="V64" s="169"/>
      <c r="W64" s="26"/>
      <c r="X64" s="26"/>
      <c r="Y64" s="26"/>
      <c r="Z64" s="26"/>
    </row>
    <row r="65" spans="1:26" x14ac:dyDescent="0.25">
      <c r="A65" s="27" t="s">
        <v>1328</v>
      </c>
      <c r="B65" s="145">
        <f>X42</f>
        <v>52.338339765858095</v>
      </c>
      <c r="C65" s="145">
        <f t="shared" si="2"/>
        <v>87.230566276430153</v>
      </c>
      <c r="D65" s="1"/>
      <c r="E65" s="160"/>
      <c r="F65" s="1"/>
      <c r="G65" s="175"/>
      <c r="H65" s="175"/>
      <c r="I65" s="1"/>
      <c r="N65" s="26"/>
      <c r="O65" s="169"/>
      <c r="P65" s="169"/>
      <c r="Q65" s="26"/>
      <c r="R65" s="178"/>
      <c r="S65" s="26"/>
      <c r="T65" s="26"/>
      <c r="U65" s="26"/>
      <c r="V65" s="26"/>
      <c r="W65" s="26"/>
      <c r="X65" s="26"/>
      <c r="Y65" s="26"/>
      <c r="Z65" s="26"/>
    </row>
    <row r="66" spans="1:26" x14ac:dyDescent="0.25">
      <c r="A66" s="27" t="s">
        <v>1329</v>
      </c>
      <c r="B66" s="145">
        <f>X43</f>
        <v>55.249641638658503</v>
      </c>
      <c r="C66" s="145">
        <f t="shared" si="2"/>
        <v>92.082736064430833</v>
      </c>
      <c r="D66" s="1"/>
      <c r="E66" s="74"/>
      <c r="F66" s="74"/>
      <c r="G66" s="74"/>
      <c r="H66" s="74"/>
      <c r="I66" s="1"/>
      <c r="N66" s="26"/>
      <c r="O66" s="169"/>
      <c r="P66" s="169"/>
      <c r="Q66" s="26"/>
      <c r="R66" s="792"/>
      <c r="S66" s="792"/>
      <c r="T66" s="792"/>
      <c r="U66" s="792"/>
      <c r="V66" s="26"/>
      <c r="W66" s="26"/>
      <c r="X66" s="26"/>
      <c r="Y66" s="26"/>
      <c r="Z66" s="26"/>
    </row>
    <row r="67" spans="1:26" x14ac:dyDescent="0.25">
      <c r="A67" s="27" t="s">
        <v>1330</v>
      </c>
      <c r="B67" s="145">
        <f>AA36</f>
        <v>56.999163415427368</v>
      </c>
      <c r="C67" s="145">
        <f t="shared" si="2"/>
        <v>94.998605692378945</v>
      </c>
      <c r="D67" s="1"/>
      <c r="E67" s="1"/>
      <c r="F67" s="1"/>
      <c r="G67" s="1"/>
      <c r="H67" s="26"/>
      <c r="N67" s="26"/>
      <c r="O67" s="169"/>
      <c r="P67" s="169"/>
      <c r="Q67" s="26"/>
      <c r="R67" s="26"/>
      <c r="S67" s="26"/>
      <c r="T67" s="26"/>
      <c r="U67" s="26"/>
      <c r="V67" s="26"/>
      <c r="W67" s="26"/>
      <c r="X67" s="26"/>
      <c r="Y67" s="26"/>
      <c r="Z67" s="26"/>
    </row>
    <row r="68" spans="1:26" x14ac:dyDescent="0.25">
      <c r="A68" s="27" t="s">
        <v>1331</v>
      </c>
      <c r="B68" s="145">
        <f>AA37</f>
        <v>52.920166929635492</v>
      </c>
      <c r="C68" s="145">
        <f t="shared" si="2"/>
        <v>88.200278216059161</v>
      </c>
      <c r="D68" s="1"/>
      <c r="E68" s="181"/>
      <c r="F68" s="505"/>
      <c r="G68" s="505"/>
      <c r="H68" s="505"/>
      <c r="N68" s="26"/>
      <c r="O68" s="169"/>
      <c r="P68" s="169"/>
      <c r="Q68" s="26"/>
      <c r="R68" s="181"/>
      <c r="S68" s="169"/>
      <c r="T68" s="169"/>
      <c r="U68" s="169"/>
      <c r="V68" s="26"/>
      <c r="W68" s="26"/>
      <c r="X68" s="26"/>
      <c r="Y68" s="26"/>
      <c r="Z68" s="26"/>
    </row>
    <row r="69" spans="1:26" x14ac:dyDescent="0.25">
      <c r="A69" s="27" t="s">
        <v>1332</v>
      </c>
      <c r="B69" s="145">
        <f>AV42</f>
        <v>52.629227225828068</v>
      </c>
      <c r="C69" s="145">
        <f t="shared" si="2"/>
        <v>87.715378709713448</v>
      </c>
      <c r="D69" s="1"/>
      <c r="E69" s="505"/>
      <c r="F69" s="505"/>
      <c r="G69" s="505"/>
      <c r="H69" s="505"/>
      <c r="N69" s="26"/>
      <c r="O69" s="169"/>
      <c r="P69" s="169"/>
      <c r="Q69" s="26"/>
      <c r="R69" s="169"/>
      <c r="S69" s="169"/>
      <c r="T69" s="169"/>
      <c r="U69" s="169"/>
      <c r="V69" s="26"/>
      <c r="W69" s="26"/>
      <c r="X69" s="26"/>
      <c r="Y69" s="26"/>
      <c r="Z69" s="26"/>
    </row>
    <row r="70" spans="1:26" x14ac:dyDescent="0.25">
      <c r="A70" s="27" t="s">
        <v>1333</v>
      </c>
      <c r="B70" s="145">
        <f>AV43</f>
        <v>55.249641638658503</v>
      </c>
      <c r="C70" s="145">
        <f t="shared" si="2"/>
        <v>92.082736064430833</v>
      </c>
      <c r="D70" s="1"/>
      <c r="E70" s="505"/>
      <c r="F70" s="505"/>
      <c r="G70" s="505"/>
      <c r="H70" s="505"/>
      <c r="N70" s="26"/>
      <c r="O70" s="26"/>
      <c r="P70" s="26"/>
      <c r="Q70" s="26"/>
      <c r="R70" s="169"/>
      <c r="S70" s="169"/>
      <c r="T70" s="169"/>
      <c r="U70" s="169"/>
      <c r="V70" s="26"/>
      <c r="W70" s="26"/>
      <c r="X70" s="26"/>
      <c r="Y70" s="26"/>
      <c r="Z70" s="26"/>
    </row>
    <row r="71" spans="1:26" x14ac:dyDescent="0.25">
      <c r="A71" s="254" t="s">
        <v>698</v>
      </c>
      <c r="B71" s="525">
        <f>AVERAGE(B63:B70)</f>
        <v>53.776716416420612</v>
      </c>
      <c r="C71" s="604">
        <f>(B71/$C$61)</f>
        <v>0.89627860694034356</v>
      </c>
      <c r="D71" s="1"/>
      <c r="E71" s="505"/>
      <c r="F71" s="505"/>
      <c r="G71" s="505"/>
      <c r="H71" s="505"/>
      <c r="N71" s="26"/>
      <c r="O71" s="26"/>
      <c r="P71" s="26"/>
      <c r="Q71" s="26"/>
      <c r="R71" s="169"/>
      <c r="S71" s="169"/>
      <c r="T71" s="169"/>
      <c r="U71" s="169"/>
      <c r="V71" s="26"/>
      <c r="W71" s="26"/>
      <c r="X71" s="26"/>
      <c r="Y71" s="26"/>
      <c r="Z71" s="26"/>
    </row>
    <row r="72" spans="1:26" x14ac:dyDescent="0.25">
      <c r="A72" s="254" t="s">
        <v>670</v>
      </c>
      <c r="B72" s="263">
        <f>STDEV(B63:B70)</f>
        <v>2.4005163743261337</v>
      </c>
      <c r="C72" s="263">
        <f>STDEV(C63:C70)</f>
        <v>4.0008606238768882</v>
      </c>
      <c r="D72" s="1"/>
      <c r="E72" s="505"/>
      <c r="F72" s="505"/>
      <c r="G72" s="505"/>
      <c r="H72" s="505"/>
      <c r="N72" s="26"/>
      <c r="O72" s="26"/>
      <c r="P72" s="26"/>
      <c r="Q72" s="26"/>
      <c r="R72" s="169"/>
      <c r="S72" s="169"/>
      <c r="T72" s="169"/>
      <c r="U72" s="169"/>
      <c r="V72" s="26"/>
      <c r="W72" s="26"/>
      <c r="X72" s="26"/>
      <c r="Y72" s="26"/>
      <c r="Z72" s="26"/>
    </row>
    <row r="73" spans="1:26" x14ac:dyDescent="0.25">
      <c r="A73" s="254" t="s">
        <v>607</v>
      </c>
      <c r="B73" s="597">
        <f>(B72/B71)</f>
        <v>4.4638582165145747E-2</v>
      </c>
      <c r="C73" s="263">
        <f>(C72/C71)*100</f>
        <v>446.38582165145738</v>
      </c>
      <c r="D73" s="1"/>
      <c r="E73" s="505"/>
      <c r="F73" s="505"/>
      <c r="G73" s="505"/>
      <c r="H73" s="505"/>
      <c r="N73" s="26"/>
      <c r="O73" s="26"/>
      <c r="P73" s="26"/>
      <c r="Q73" s="26"/>
      <c r="R73" s="169"/>
      <c r="S73" s="169"/>
      <c r="T73" s="169"/>
      <c r="U73" s="169"/>
      <c r="V73" s="26"/>
      <c r="W73" s="26"/>
      <c r="X73" s="26"/>
      <c r="Y73" s="26"/>
      <c r="Z73" s="26"/>
    </row>
    <row r="74" spans="1:26" x14ac:dyDescent="0.25">
      <c r="D74" s="1"/>
      <c r="E74" s="505"/>
      <c r="F74" s="505"/>
      <c r="G74" s="505"/>
      <c r="H74" s="505"/>
      <c r="N74" s="26"/>
      <c r="O74" s="26"/>
      <c r="P74" s="26"/>
      <c r="Q74" s="26"/>
      <c r="R74" s="169"/>
      <c r="S74" s="169"/>
      <c r="T74" s="169"/>
      <c r="U74" s="169"/>
      <c r="V74" s="26"/>
      <c r="W74" s="26"/>
      <c r="X74" s="26"/>
      <c r="Y74" s="26"/>
      <c r="Z74" s="26"/>
    </row>
    <row r="75" spans="1:26" x14ac:dyDescent="0.25">
      <c r="A75" s="793" t="s">
        <v>671</v>
      </c>
      <c r="B75" s="793"/>
      <c r="C75" s="793"/>
      <c r="N75" s="790"/>
      <c r="O75" s="790"/>
      <c r="P75" s="790"/>
      <c r="Q75" s="26"/>
      <c r="R75" s="26"/>
      <c r="S75" s="169"/>
      <c r="T75" s="169"/>
      <c r="U75" s="169"/>
      <c r="V75" s="26"/>
      <c r="W75" s="26"/>
      <c r="X75" s="26"/>
      <c r="Y75" s="26"/>
      <c r="Z75" s="26"/>
    </row>
    <row r="76" spans="1:26" x14ac:dyDescent="0.25">
      <c r="N76" s="26"/>
      <c r="O76" s="26"/>
      <c r="P76" s="26"/>
      <c r="Q76" s="26"/>
      <c r="R76" s="26"/>
      <c r="S76" s="169"/>
      <c r="T76" s="169"/>
      <c r="U76" s="169"/>
      <c r="V76" s="26"/>
      <c r="W76" s="26"/>
      <c r="X76" s="26"/>
      <c r="Y76" s="26"/>
      <c r="Z76" s="26"/>
    </row>
    <row r="77" spans="1:26" x14ac:dyDescent="0.25">
      <c r="A77" s="27" t="s">
        <v>40</v>
      </c>
      <c r="B77" s="27" t="s">
        <v>672</v>
      </c>
      <c r="C77" s="27" t="s">
        <v>673</v>
      </c>
      <c r="D77" s="27" t="s">
        <v>661</v>
      </c>
      <c r="E77" s="27" t="s">
        <v>607</v>
      </c>
      <c r="F77" s="27" t="s">
        <v>674</v>
      </c>
      <c r="N77" s="26"/>
      <c r="O77" s="26"/>
      <c r="P77" s="26"/>
      <c r="Q77" s="26"/>
      <c r="R77" s="26"/>
      <c r="S77" s="169"/>
      <c r="T77" s="169"/>
      <c r="U77" s="169"/>
      <c r="V77" s="26"/>
      <c r="W77" s="26"/>
      <c r="X77" s="26"/>
      <c r="Y77" s="26"/>
      <c r="Z77" s="26"/>
    </row>
    <row r="78" spans="1:26" x14ac:dyDescent="0.25">
      <c r="A78" s="156" t="s">
        <v>29</v>
      </c>
      <c r="B78" s="157">
        <f t="shared" ref="B78:B84" si="3">B51</f>
        <v>1000</v>
      </c>
      <c r="C78" s="145">
        <f>AVERAGE(B36,Y43,Z36,AW43)</f>
        <v>967.85773922502312</v>
      </c>
      <c r="D78" s="145">
        <f>STDEV(B36,Y43,Z36,AW43)</f>
        <v>69.152791600711751</v>
      </c>
      <c r="E78" s="145">
        <f>(D78/C78)*100</f>
        <v>7.1449334750459643</v>
      </c>
      <c r="F78" s="145">
        <f>(C78/B78)*100</f>
        <v>96.785773922502315</v>
      </c>
      <c r="N78" s="158"/>
      <c r="O78" s="26"/>
      <c r="P78" s="169"/>
      <c r="Q78" s="169"/>
      <c r="R78" s="169"/>
      <c r="S78" s="169"/>
      <c r="T78" s="169"/>
      <c r="U78" s="169"/>
      <c r="V78" s="26"/>
      <c r="W78" s="26"/>
      <c r="X78" s="26"/>
      <c r="Y78" s="26"/>
      <c r="Z78" s="26"/>
    </row>
    <row r="79" spans="1:26" x14ac:dyDescent="0.25">
      <c r="A79" s="156" t="s">
        <v>30</v>
      </c>
      <c r="B79" s="157">
        <f t="shared" si="3"/>
        <v>333.33333333333331</v>
      </c>
      <c r="C79" s="145">
        <f>AVERAGE(B37,Y42,Z37,AW42)</f>
        <v>337.56150250653508</v>
      </c>
      <c r="D79" s="145">
        <f>STDEV(B37,Y42,Z37,AW42)</f>
        <v>10.746839395443343</v>
      </c>
      <c r="E79" s="145">
        <f t="shared" ref="E79:E84" si="4">(D79/C79)*100</f>
        <v>3.1836685509584397</v>
      </c>
      <c r="F79" s="145">
        <f t="shared" ref="F79:F84" si="5">(C79/B79)*100</f>
        <v>101.26845075196054</v>
      </c>
      <c r="N79" s="514" t="s">
        <v>1335</v>
      </c>
      <c r="O79" s="511"/>
      <c r="P79" s="512"/>
      <c r="Q79" s="512"/>
      <c r="R79" s="512"/>
      <c r="S79" s="169"/>
      <c r="T79" s="169"/>
      <c r="U79" s="169"/>
      <c r="V79" s="26"/>
      <c r="W79" s="26"/>
      <c r="X79" s="26"/>
      <c r="Y79" s="26"/>
      <c r="Z79" s="26"/>
    </row>
    <row r="80" spans="1:26" x14ac:dyDescent="0.25">
      <c r="A80" s="156" t="s">
        <v>31</v>
      </c>
      <c r="B80" s="157">
        <f t="shared" si="3"/>
        <v>111.1111111111111</v>
      </c>
      <c r="C80" s="145">
        <f>AVERAGE(B38,Y41,Z38,AW41)</f>
        <v>108.30678154744275</v>
      </c>
      <c r="D80" s="145">
        <f>STDEV(B38,Y41,Z38,AW41)</f>
        <v>2.5325732281303299</v>
      </c>
      <c r="E80" s="145">
        <f t="shared" si="4"/>
        <v>2.3383330128972211</v>
      </c>
      <c r="F80" s="145">
        <f t="shared" si="5"/>
        <v>97.476103392698491</v>
      </c>
      <c r="H80" s="27"/>
      <c r="I80" s="27" t="s">
        <v>687</v>
      </c>
      <c r="J80" s="27" t="s">
        <v>703</v>
      </c>
      <c r="K80" s="27" t="s">
        <v>40</v>
      </c>
      <c r="N80" s="513" t="s">
        <v>709</v>
      </c>
      <c r="O80" s="511"/>
      <c r="P80" s="512"/>
      <c r="Q80" s="512"/>
      <c r="R80" s="512"/>
      <c r="S80" s="169"/>
      <c r="T80" s="169"/>
      <c r="U80" s="169"/>
      <c r="V80" s="26"/>
      <c r="W80" s="26"/>
      <c r="X80" s="26"/>
      <c r="Y80" s="26"/>
      <c r="Z80" s="26"/>
    </row>
    <row r="81" spans="1:26" x14ac:dyDescent="0.25">
      <c r="A81" s="156" t="s">
        <v>32</v>
      </c>
      <c r="B81" s="157">
        <f t="shared" si="3"/>
        <v>37.037037037037031</v>
      </c>
      <c r="C81" s="145">
        <f>AVERAGE(B39,Y40,Z39,AW40)</f>
        <v>38.062892957603324</v>
      </c>
      <c r="D81" s="145">
        <f>STDEV(B39,Y40,Z39,AW40)</f>
        <v>1.2180270347279931</v>
      </c>
      <c r="E81" s="145">
        <f t="shared" si="4"/>
        <v>3.2000379899780684</v>
      </c>
      <c r="F81" s="145">
        <f t="shared" si="5"/>
        <v>102.76981098552899</v>
      </c>
      <c r="G81" s="138">
        <v>0.25</v>
      </c>
      <c r="H81" s="27" t="s">
        <v>590</v>
      </c>
      <c r="I81" s="509">
        <v>3.8542238048596777</v>
      </c>
      <c r="J81" s="510">
        <v>38.542238048596779</v>
      </c>
      <c r="K81" s="508" t="s">
        <v>34</v>
      </c>
      <c r="N81" s="513" t="s">
        <v>708</v>
      </c>
      <c r="O81" s="511"/>
      <c r="P81" s="512"/>
      <c r="Q81" s="512"/>
      <c r="R81" s="512"/>
      <c r="S81" s="169"/>
      <c r="T81" s="169"/>
      <c r="U81" s="169"/>
      <c r="V81" s="26"/>
      <c r="W81" s="26"/>
      <c r="X81" s="26"/>
      <c r="Y81" s="26"/>
      <c r="Z81" s="26"/>
    </row>
    <row r="82" spans="1:26" x14ac:dyDescent="0.25">
      <c r="A82" s="156" t="s">
        <v>33</v>
      </c>
      <c r="B82" s="157">
        <f t="shared" si="3"/>
        <v>12.345679012345677</v>
      </c>
      <c r="C82" s="145">
        <f>AVERAGE(B40,Y39,Z40,AW39)</f>
        <v>13.120844668522356</v>
      </c>
      <c r="D82" s="145">
        <f>STDEV(B40,Y39,Z40,AW39)</f>
        <v>1.7661278562890093</v>
      </c>
      <c r="E82" s="145">
        <f t="shared" si="4"/>
        <v>13.46047377975634</v>
      </c>
      <c r="F82" s="145">
        <f t="shared" si="5"/>
        <v>106.27884181503109</v>
      </c>
      <c r="G82" s="138">
        <v>0.2</v>
      </c>
      <c r="H82" s="27" t="s">
        <v>591</v>
      </c>
      <c r="I82" s="509">
        <v>967.85773922502312</v>
      </c>
      <c r="J82" s="510">
        <v>9678.5773922502303</v>
      </c>
      <c r="K82" s="508" t="s">
        <v>29</v>
      </c>
      <c r="N82" s="513" t="s">
        <v>1355</v>
      </c>
      <c r="O82" s="511"/>
      <c r="P82" s="512"/>
      <c r="Q82" s="512"/>
      <c r="R82" s="512"/>
      <c r="S82" s="169"/>
      <c r="T82" s="169"/>
      <c r="U82" s="169"/>
      <c r="V82" s="26"/>
      <c r="W82" s="26"/>
      <c r="X82" s="26"/>
      <c r="Y82" s="26"/>
      <c r="Z82" s="26"/>
    </row>
    <row r="83" spans="1:26" x14ac:dyDescent="0.25">
      <c r="A83" s="156" t="s">
        <v>34</v>
      </c>
      <c r="B83" s="157">
        <f t="shared" si="3"/>
        <v>4.1152263374485587</v>
      </c>
      <c r="C83" s="145">
        <f>AVERAGE(B41,Y38,Z41,AW38)</f>
        <v>3.8542238048596777</v>
      </c>
      <c r="D83" s="145">
        <f>STDEV(B41,Y38,Z41,AW38)</f>
        <v>0.35263415286241889</v>
      </c>
      <c r="E83" s="145">
        <f t="shared" si="4"/>
        <v>9.1492910302145098</v>
      </c>
      <c r="F83" s="145">
        <f>(C83/B83)*100</f>
        <v>93.65763845809019</v>
      </c>
      <c r="N83" s="513" t="s">
        <v>1356</v>
      </c>
      <c r="O83" s="511"/>
      <c r="P83" s="512"/>
      <c r="Q83" s="512"/>
      <c r="R83" s="512"/>
      <c r="S83" s="169"/>
      <c r="T83" s="169"/>
      <c r="U83" s="169"/>
      <c r="V83" s="26"/>
      <c r="W83" s="26"/>
      <c r="X83" s="26"/>
      <c r="Y83" s="26"/>
      <c r="Z83" s="26"/>
    </row>
    <row r="84" spans="1:26" x14ac:dyDescent="0.25">
      <c r="A84" s="156" t="s">
        <v>35</v>
      </c>
      <c r="B84" s="157">
        <f t="shared" si="3"/>
        <v>1.3717421124828528</v>
      </c>
      <c r="C84" s="145">
        <f>AVERAGE(B42,Y37,Z42,AW37)</f>
        <v>1.2194621511463222</v>
      </c>
      <c r="D84" s="145">
        <f>STDEV(B42,Y37,Z42,AW37)</f>
        <v>0.41999134755444756</v>
      </c>
      <c r="E84" s="145">
        <f t="shared" si="4"/>
        <v>34.44070381025324</v>
      </c>
      <c r="F84" s="145">
        <f t="shared" si="5"/>
        <v>88.898790818566908</v>
      </c>
      <c r="N84" s="158"/>
      <c r="O84" s="26"/>
      <c r="P84" s="169"/>
      <c r="Q84" s="169"/>
      <c r="R84" s="169"/>
      <c r="S84" s="169"/>
      <c r="T84" s="169"/>
      <c r="U84" s="169"/>
      <c r="V84" s="26"/>
      <c r="W84" s="26"/>
      <c r="X84" s="26"/>
      <c r="Y84" s="26"/>
      <c r="Z84" s="26"/>
    </row>
    <row r="85" spans="1:26" x14ac:dyDescent="0.25">
      <c r="A85" s="158"/>
      <c r="B85" s="26"/>
      <c r="C85" s="26"/>
      <c r="D85" s="26"/>
      <c r="E85" s="26"/>
      <c r="F85" s="26"/>
      <c r="N85" s="158"/>
      <c r="O85" s="26"/>
      <c r="P85" s="26"/>
      <c r="Q85" s="26"/>
      <c r="R85" s="26"/>
      <c r="S85" s="169"/>
      <c r="T85" s="169"/>
      <c r="U85" s="169"/>
      <c r="V85" s="26"/>
      <c r="W85" s="26"/>
      <c r="X85" s="26"/>
      <c r="Y85" s="26"/>
      <c r="Z85" s="26"/>
    </row>
    <row r="86" spans="1:26" x14ac:dyDescent="0.25">
      <c r="N86" s="26"/>
      <c r="O86" s="26"/>
      <c r="P86" s="26"/>
      <c r="Q86" s="26"/>
      <c r="R86" s="26"/>
      <c r="S86" s="169"/>
      <c r="T86" s="169"/>
      <c r="U86" s="169"/>
      <c r="V86" s="26"/>
      <c r="W86" s="26"/>
      <c r="X86" s="26"/>
      <c r="Y86" s="26"/>
      <c r="Z86" s="26"/>
    </row>
    <row r="87" spans="1:26" x14ac:dyDescent="0.25">
      <c r="H87" s="1"/>
      <c r="I87" s="1"/>
      <c r="J87" s="1"/>
      <c r="K87" s="1"/>
      <c r="N87" s="26"/>
      <c r="O87" s="26"/>
      <c r="P87" s="26"/>
      <c r="Q87" s="26"/>
      <c r="R87" s="26"/>
      <c r="S87" s="169"/>
      <c r="T87" s="169"/>
      <c r="U87" s="169"/>
      <c r="V87" s="26"/>
      <c r="W87" s="26"/>
      <c r="X87" s="26"/>
      <c r="Y87" s="26"/>
      <c r="Z87" s="26"/>
    </row>
    <row r="88" spans="1:26" x14ac:dyDescent="0.25">
      <c r="H88" s="1"/>
      <c r="I88" s="1"/>
      <c r="J88" s="1"/>
      <c r="K88" s="1"/>
      <c r="N88" s="26"/>
      <c r="O88" s="26"/>
      <c r="P88" s="26"/>
      <c r="Q88" s="26"/>
      <c r="R88" s="26"/>
      <c r="S88" s="169"/>
      <c r="T88" s="169"/>
      <c r="U88" s="169"/>
      <c r="V88" s="26"/>
      <c r="W88" s="26"/>
      <c r="X88" s="26"/>
      <c r="Y88" s="26"/>
      <c r="Z88" s="26"/>
    </row>
    <row r="89" spans="1:26" x14ac:dyDescent="0.25">
      <c r="A89" s="155" t="s">
        <v>615</v>
      </c>
      <c r="B89" s="527"/>
      <c r="H89" s="1"/>
      <c r="I89" s="1"/>
      <c r="J89" s="1"/>
      <c r="K89" s="1"/>
      <c r="N89" s="790"/>
      <c r="O89" s="790"/>
      <c r="P89" s="26"/>
      <c r="Q89" s="26"/>
      <c r="R89" s="26"/>
      <c r="S89" s="169"/>
      <c r="T89" s="169"/>
      <c r="U89" s="169"/>
      <c r="V89" s="26"/>
      <c r="W89" s="26"/>
      <c r="X89" s="26"/>
      <c r="Y89" s="26"/>
      <c r="Z89" s="26"/>
    </row>
    <row r="90" spans="1:26" x14ac:dyDescent="0.25">
      <c r="A90" s="527"/>
      <c r="B90" s="162"/>
      <c r="C90" s="153"/>
      <c r="D90" s="153"/>
      <c r="E90" s="153"/>
      <c r="F90" s="153"/>
      <c r="H90" s="1"/>
      <c r="I90" s="1"/>
      <c r="J90" s="1"/>
      <c r="K90" s="1"/>
      <c r="N90" s="182"/>
      <c r="O90" s="182"/>
      <c r="P90" s="158"/>
      <c r="Q90" s="158"/>
      <c r="R90" s="158"/>
      <c r="S90" s="158"/>
      <c r="T90" s="26"/>
      <c r="U90" s="26"/>
      <c r="V90" s="26"/>
      <c r="W90" s="26"/>
      <c r="X90" s="26"/>
      <c r="Y90" s="26"/>
      <c r="Z90" s="26"/>
    </row>
    <row r="91" spans="1:26" x14ac:dyDescent="0.25">
      <c r="A91" s="382" t="s">
        <v>675</v>
      </c>
      <c r="B91" s="383" t="s">
        <v>676</v>
      </c>
      <c r="C91" s="383" t="s">
        <v>701</v>
      </c>
      <c r="D91" s="383" t="s">
        <v>669</v>
      </c>
      <c r="E91" s="383" t="s">
        <v>20</v>
      </c>
      <c r="F91" s="383" t="s">
        <v>607</v>
      </c>
      <c r="G91" s="383" t="s">
        <v>608</v>
      </c>
      <c r="H91" s="426"/>
      <c r="I91" s="426"/>
      <c r="J91" s="426"/>
      <c r="K91" s="1"/>
      <c r="N91" s="183"/>
      <c r="O91" s="183"/>
      <c r="P91" s="183"/>
      <c r="Q91" s="183"/>
      <c r="R91" s="183"/>
      <c r="S91" s="183"/>
      <c r="T91" s="183"/>
      <c r="U91" s="183"/>
      <c r="V91" s="183"/>
      <c r="W91" s="183"/>
      <c r="X91" s="26"/>
      <c r="Y91" s="26"/>
      <c r="Z91" s="26"/>
    </row>
    <row r="92" spans="1:26" x14ac:dyDescent="0.25">
      <c r="A92" s="800" t="s">
        <v>699</v>
      </c>
      <c r="B92" s="803">
        <f>L5</f>
        <v>300</v>
      </c>
      <c r="C92" s="168">
        <f>C38</f>
        <v>323.15727564060643</v>
      </c>
      <c r="D92" s="806">
        <f>IFERROR(AVERAGE(C92:C99),"NaN")</f>
        <v>318.01720578415024</v>
      </c>
      <c r="E92" s="806">
        <f>IFERROR(STDEV(C92:C99),"NaN")</f>
        <v>10.258990800975386</v>
      </c>
      <c r="F92" s="809">
        <f>IFERROR((E92/D92),"NaN")</f>
        <v>3.2259231935829705E-2</v>
      </c>
      <c r="G92" s="599">
        <f>(C92/$B$92)</f>
        <v>1.0771909188020214</v>
      </c>
      <c r="H92" s="505"/>
      <c r="I92" s="505"/>
      <c r="J92" s="505"/>
      <c r="K92" s="1"/>
      <c r="N92" s="788"/>
      <c r="O92" s="789"/>
      <c r="P92" s="179"/>
      <c r="Q92" s="179"/>
      <c r="R92" s="179"/>
      <c r="S92" s="179"/>
      <c r="T92" s="179"/>
      <c r="U92" s="169"/>
      <c r="V92" s="169"/>
      <c r="W92" s="169"/>
      <c r="X92" s="26"/>
      <c r="Y92" s="26"/>
      <c r="Z92" s="26"/>
    </row>
    <row r="93" spans="1:26" x14ac:dyDescent="0.25">
      <c r="A93" s="801"/>
      <c r="B93" s="804"/>
      <c r="C93" s="168">
        <f>C39</f>
        <v>296.3067396937023</v>
      </c>
      <c r="D93" s="807"/>
      <c r="E93" s="807"/>
      <c r="F93" s="810"/>
      <c r="G93" s="599">
        <f t="shared" ref="G93:G99" si="6">(C93/$B$92)</f>
        <v>0.98768913231234101</v>
      </c>
      <c r="H93" s="1"/>
      <c r="I93" s="505"/>
      <c r="J93" s="505"/>
      <c r="K93" s="1"/>
      <c r="N93" s="788"/>
      <c r="O93" s="789"/>
      <c r="P93" s="179"/>
      <c r="Q93" s="179"/>
      <c r="R93" s="179"/>
      <c r="S93" s="179"/>
      <c r="T93" s="179"/>
      <c r="U93" s="169"/>
      <c r="V93" s="169"/>
      <c r="W93" s="169"/>
      <c r="X93" s="26"/>
      <c r="Y93" s="26"/>
      <c r="Z93" s="26"/>
    </row>
    <row r="94" spans="1:26" x14ac:dyDescent="0.25">
      <c r="A94" s="801"/>
      <c r="B94" s="804"/>
      <c r="C94" s="168">
        <f>X40</f>
        <v>326.11060827999569</v>
      </c>
      <c r="D94" s="807"/>
      <c r="E94" s="807"/>
      <c r="F94" s="810"/>
      <c r="G94" s="599">
        <f t="shared" si="6"/>
        <v>1.087035360933319</v>
      </c>
      <c r="H94" s="505"/>
      <c r="I94" s="505"/>
      <c r="J94" s="505"/>
      <c r="K94" s="1"/>
      <c r="N94" s="788"/>
      <c r="O94" s="789"/>
      <c r="P94" s="179"/>
      <c r="Q94" s="179"/>
      <c r="R94" s="179"/>
      <c r="S94" s="179"/>
      <c r="T94" s="179"/>
      <c r="U94" s="169"/>
      <c r="V94" s="169"/>
      <c r="W94" s="169"/>
      <c r="X94" s="26"/>
      <c r="Y94" s="26"/>
      <c r="Z94" s="26"/>
    </row>
    <row r="95" spans="1:26" x14ac:dyDescent="0.25">
      <c r="A95" s="801"/>
      <c r="B95" s="804"/>
      <c r="C95" s="168">
        <f>X41</f>
        <v>327.0028577975649</v>
      </c>
      <c r="D95" s="807"/>
      <c r="E95" s="807"/>
      <c r="F95" s="810"/>
      <c r="G95" s="599">
        <f t="shared" si="6"/>
        <v>1.0900095259918829</v>
      </c>
      <c r="H95" s="1"/>
      <c r="I95" s="1"/>
      <c r="J95" s="1"/>
      <c r="K95" s="1"/>
      <c r="N95" s="788"/>
      <c r="O95" s="789"/>
      <c r="P95" s="179"/>
      <c r="Q95" s="179"/>
      <c r="R95" s="179"/>
      <c r="S95" s="179"/>
      <c r="T95" s="179"/>
      <c r="U95" s="26"/>
      <c r="V95" s="26"/>
      <c r="W95" s="26"/>
      <c r="X95" s="26"/>
      <c r="Y95" s="26"/>
      <c r="Z95" s="26"/>
    </row>
    <row r="96" spans="1:26" x14ac:dyDescent="0.25">
      <c r="A96" s="801"/>
      <c r="B96" s="804"/>
      <c r="C96" s="168">
        <f>AA38</f>
        <v>325.51738785604988</v>
      </c>
      <c r="D96" s="807"/>
      <c r="E96" s="807"/>
      <c r="F96" s="810"/>
      <c r="G96" s="599">
        <f t="shared" si="6"/>
        <v>1.0850579595201664</v>
      </c>
      <c r="H96" s="1"/>
      <c r="I96" s="1"/>
      <c r="J96" s="1"/>
      <c r="K96" s="1"/>
      <c r="N96" s="26"/>
      <c r="O96" s="26"/>
      <c r="P96" s="26"/>
      <c r="Q96" s="26"/>
      <c r="R96" s="26"/>
      <c r="S96" s="26"/>
      <c r="T96" s="26"/>
      <c r="U96" s="26"/>
      <c r="V96" s="26"/>
      <c r="W96" s="26"/>
      <c r="X96" s="26"/>
      <c r="Y96" s="26"/>
      <c r="Z96" s="26"/>
    </row>
    <row r="97" spans="1:26" x14ac:dyDescent="0.25">
      <c r="A97" s="801"/>
      <c r="B97" s="804"/>
      <c r="C97" s="168">
        <f>AA39</f>
        <v>312.21558503847518</v>
      </c>
      <c r="D97" s="807"/>
      <c r="E97" s="807"/>
      <c r="F97" s="810"/>
      <c r="G97" s="599">
        <f t="shared" si="6"/>
        <v>1.0407186167949172</v>
      </c>
      <c r="H97" s="1"/>
      <c r="I97" s="1"/>
      <c r="J97" s="1"/>
      <c r="K97" s="1"/>
      <c r="N97" s="26"/>
      <c r="O97" s="26"/>
      <c r="P97" s="26"/>
      <c r="Q97" s="26"/>
      <c r="R97" s="26"/>
      <c r="S97" s="26"/>
      <c r="T97" s="169"/>
      <c r="U97" s="26"/>
      <c r="V97" s="26"/>
      <c r="W97" s="26"/>
      <c r="X97" s="26"/>
      <c r="Y97" s="26"/>
      <c r="Z97" s="26"/>
    </row>
    <row r="98" spans="1:26" x14ac:dyDescent="0.25">
      <c r="A98" s="801"/>
      <c r="B98" s="804"/>
      <c r="C98" s="168">
        <f>AV40</f>
        <v>317.34431639672528</v>
      </c>
      <c r="D98" s="807"/>
      <c r="E98" s="807"/>
      <c r="F98" s="810"/>
      <c r="G98" s="599">
        <f t="shared" si="6"/>
        <v>1.0578143879890842</v>
      </c>
      <c r="H98" s="1"/>
      <c r="I98" s="1"/>
      <c r="J98" s="1"/>
      <c r="K98" s="1"/>
      <c r="N98" s="26"/>
      <c r="O98" s="26"/>
      <c r="P98" s="26"/>
      <c r="Q98" s="26"/>
      <c r="R98" s="26"/>
      <c r="S98" s="26"/>
      <c r="T98" s="169"/>
      <c r="U98" s="26"/>
      <c r="V98" s="26"/>
      <c r="W98" s="26"/>
      <c r="X98" s="26"/>
      <c r="Y98" s="26"/>
      <c r="Z98" s="26"/>
    </row>
    <row r="99" spans="1:26" x14ac:dyDescent="0.25">
      <c r="A99" s="802"/>
      <c r="B99" s="805"/>
      <c r="C99" s="168">
        <f>AV41</f>
        <v>316.48287557008217</v>
      </c>
      <c r="D99" s="808"/>
      <c r="E99" s="808"/>
      <c r="F99" s="811"/>
      <c r="G99" s="599">
        <f t="shared" si="6"/>
        <v>1.0549429185669406</v>
      </c>
      <c r="H99" s="1"/>
      <c r="I99" s="1"/>
      <c r="J99" s="1"/>
      <c r="K99" s="1"/>
      <c r="N99" s="26"/>
      <c r="O99" s="26"/>
      <c r="P99" s="26"/>
      <c r="Q99" s="26"/>
      <c r="R99" s="26"/>
      <c r="S99" s="26"/>
      <c r="T99" s="169"/>
      <c r="U99" s="26"/>
      <c r="V99" s="26"/>
      <c r="W99" s="26"/>
      <c r="X99" s="26"/>
      <c r="Y99" s="26"/>
      <c r="Z99" s="26"/>
    </row>
    <row r="100" spans="1:26" x14ac:dyDescent="0.25">
      <c r="A100" s="800" t="s">
        <v>697</v>
      </c>
      <c r="B100" s="803">
        <f>L4</f>
        <v>12</v>
      </c>
      <c r="C100" s="168">
        <f>C40</f>
        <v>12.210241766319003</v>
      </c>
      <c r="D100" s="806">
        <f>IFERROR(AVERAGE(C100:C107),"NaN")</f>
        <v>12.264912161636687</v>
      </c>
      <c r="E100" s="806">
        <f>IFERROR(STDEV(C100:C107),"NaN")</f>
        <v>0.36551994575498642</v>
      </c>
      <c r="F100" s="809">
        <f>IFERROR((E100/D100),"NaN")</f>
        <v>2.9802084265902296E-2</v>
      </c>
      <c r="G100" s="599">
        <f>(C100/$B$100)</f>
        <v>1.0175201471932502</v>
      </c>
      <c r="H100" s="1"/>
      <c r="I100" s="1"/>
      <c r="J100" s="1"/>
      <c r="K100" s="1"/>
      <c r="N100" s="182"/>
      <c r="O100" s="182"/>
      <c r="P100" s="158"/>
      <c r="Q100" s="158"/>
      <c r="R100" s="158"/>
      <c r="S100" s="158"/>
      <c r="T100" s="26"/>
      <c r="U100" s="26"/>
      <c r="V100" s="26"/>
      <c r="W100" s="26"/>
      <c r="X100" s="26"/>
      <c r="Y100" s="26"/>
      <c r="Z100" s="26"/>
    </row>
    <row r="101" spans="1:26" x14ac:dyDescent="0.25">
      <c r="A101" s="801"/>
      <c r="B101" s="804"/>
      <c r="C101" s="168">
        <f>C41</f>
        <v>12.356233268708054</v>
      </c>
      <c r="D101" s="807"/>
      <c r="E101" s="807"/>
      <c r="F101" s="810"/>
      <c r="G101" s="599">
        <f t="shared" ref="G101:G107" si="7">(C101/$B$100)</f>
        <v>1.0296861057256712</v>
      </c>
      <c r="H101" s="426"/>
      <c r="I101" s="426"/>
      <c r="J101" s="426"/>
      <c r="K101" s="1"/>
      <c r="N101" s="183"/>
      <c r="O101" s="183"/>
      <c r="P101" s="183"/>
      <c r="Q101" s="183"/>
      <c r="R101" s="183"/>
      <c r="S101" s="183"/>
      <c r="T101" s="183"/>
      <c r="U101" s="183"/>
      <c r="V101" s="183"/>
      <c r="W101" s="183"/>
      <c r="X101" s="26"/>
      <c r="Y101" s="26"/>
      <c r="Z101" s="26"/>
    </row>
    <row r="102" spans="1:26" x14ac:dyDescent="0.25">
      <c r="A102" s="801"/>
      <c r="B102" s="804"/>
      <c r="C102" s="168">
        <f>X38</f>
        <v>12.794037042698385</v>
      </c>
      <c r="D102" s="807"/>
      <c r="E102" s="807"/>
      <c r="F102" s="810"/>
      <c r="G102" s="599">
        <f t="shared" si="7"/>
        <v>1.0661697535581987</v>
      </c>
      <c r="H102" s="505"/>
      <c r="I102" s="505"/>
      <c r="J102" s="505"/>
      <c r="K102" s="1"/>
      <c r="N102" s="788"/>
      <c r="O102" s="789"/>
      <c r="P102" s="179"/>
      <c r="Q102" s="179"/>
      <c r="R102" s="179"/>
      <c r="S102" s="179"/>
      <c r="T102" s="179"/>
      <c r="U102" s="169"/>
      <c r="V102" s="169"/>
      <c r="W102" s="169"/>
      <c r="X102" s="26"/>
      <c r="Y102" s="26"/>
      <c r="Z102" s="26"/>
    </row>
    <row r="103" spans="1:26" x14ac:dyDescent="0.25">
      <c r="A103" s="801"/>
      <c r="B103" s="804"/>
      <c r="C103" s="168">
        <f>X39</f>
        <v>12.356233268708062</v>
      </c>
      <c r="D103" s="807"/>
      <c r="E103" s="807"/>
      <c r="F103" s="810"/>
      <c r="G103" s="599">
        <f t="shared" si="7"/>
        <v>1.0296861057256719</v>
      </c>
      <c r="H103" s="505"/>
      <c r="I103" s="505"/>
      <c r="J103" s="505"/>
      <c r="K103" s="1"/>
      <c r="N103" s="788"/>
      <c r="O103" s="789"/>
      <c r="P103" s="179"/>
      <c r="Q103" s="179"/>
      <c r="R103" s="179"/>
      <c r="S103" s="179"/>
      <c r="T103" s="179"/>
      <c r="U103" s="169"/>
      <c r="V103" s="169"/>
      <c r="W103" s="169"/>
      <c r="X103" s="26"/>
      <c r="Y103" s="26"/>
      <c r="Z103" s="26"/>
    </row>
    <row r="104" spans="1:26" x14ac:dyDescent="0.25">
      <c r="A104" s="801"/>
      <c r="B104" s="804"/>
      <c r="C104" s="168">
        <f>AA40</f>
        <v>12.210241766319005</v>
      </c>
      <c r="D104" s="807"/>
      <c r="E104" s="807"/>
      <c r="F104" s="810"/>
      <c r="G104" s="599">
        <f t="shared" si="7"/>
        <v>1.0175201471932505</v>
      </c>
      <c r="H104" s="505"/>
      <c r="I104" s="505"/>
      <c r="J104" s="505"/>
      <c r="K104" s="1"/>
      <c r="N104" s="788"/>
      <c r="O104" s="789"/>
      <c r="P104" s="179"/>
      <c r="Q104" s="179"/>
      <c r="R104" s="179"/>
      <c r="S104" s="179"/>
      <c r="T104" s="179"/>
      <c r="U104" s="169"/>
      <c r="V104" s="169"/>
      <c r="W104" s="169"/>
      <c r="X104" s="26"/>
      <c r="Y104" s="26"/>
      <c r="Z104" s="26"/>
    </row>
    <row r="105" spans="1:26" x14ac:dyDescent="0.25">
      <c r="A105" s="801"/>
      <c r="B105" s="804"/>
      <c r="C105" s="168">
        <f>AA41</f>
        <v>12.648130446397499</v>
      </c>
      <c r="D105" s="807"/>
      <c r="E105" s="807"/>
      <c r="F105" s="810"/>
      <c r="G105" s="599">
        <f t="shared" si="7"/>
        <v>1.0540108705331248</v>
      </c>
      <c r="H105" s="1"/>
      <c r="I105" s="1"/>
      <c r="J105" s="1"/>
      <c r="K105" s="1"/>
      <c r="N105" s="788"/>
      <c r="O105" s="789"/>
      <c r="P105" s="179"/>
      <c r="Q105" s="179"/>
      <c r="R105" s="179"/>
      <c r="S105" s="179"/>
      <c r="T105" s="179"/>
      <c r="U105" s="26"/>
      <c r="V105" s="26"/>
      <c r="W105" s="26"/>
      <c r="X105" s="26"/>
      <c r="Y105" s="26"/>
      <c r="Z105" s="26"/>
    </row>
    <row r="106" spans="1:26" x14ac:dyDescent="0.25">
      <c r="A106" s="801"/>
      <c r="B106" s="804"/>
      <c r="C106" s="168">
        <f>AV38</f>
        <v>11.772089866971736</v>
      </c>
      <c r="D106" s="807"/>
      <c r="E106" s="807"/>
      <c r="F106" s="810"/>
      <c r="G106" s="599">
        <f t="shared" si="7"/>
        <v>0.98100748891431133</v>
      </c>
      <c r="H106" s="1"/>
      <c r="I106" s="1"/>
      <c r="J106" s="1"/>
      <c r="K106" s="1"/>
      <c r="N106" s="26"/>
      <c r="O106" s="26"/>
      <c r="P106" s="26"/>
      <c r="Q106" s="26"/>
      <c r="R106" s="26"/>
      <c r="S106" s="26"/>
      <c r="T106" s="26"/>
      <c r="U106" s="26"/>
      <c r="V106" s="26"/>
      <c r="W106" s="26"/>
      <c r="X106" s="26"/>
      <c r="Y106" s="26"/>
      <c r="Z106" s="26"/>
    </row>
    <row r="107" spans="1:26" x14ac:dyDescent="0.25">
      <c r="A107" s="802"/>
      <c r="B107" s="805"/>
      <c r="C107" s="168">
        <f>AV39</f>
        <v>11.772089866971733</v>
      </c>
      <c r="D107" s="808"/>
      <c r="E107" s="808"/>
      <c r="F107" s="811"/>
      <c r="G107" s="599">
        <f t="shared" si="7"/>
        <v>0.98100748891431111</v>
      </c>
      <c r="H107" s="1"/>
      <c r="I107" s="1"/>
      <c r="J107" s="1"/>
      <c r="K107" s="1"/>
      <c r="N107" s="26"/>
      <c r="O107" s="26"/>
      <c r="P107" s="26"/>
      <c r="Q107" s="26"/>
      <c r="R107" s="26"/>
      <c r="S107" s="26"/>
      <c r="T107" s="169"/>
      <c r="U107" s="26"/>
      <c r="V107" s="26"/>
      <c r="W107" s="26"/>
      <c r="X107" s="26"/>
      <c r="Y107" s="26"/>
      <c r="Z107" s="26"/>
    </row>
    <row r="108" spans="1:26" x14ac:dyDescent="0.25">
      <c r="A108" s="1"/>
      <c r="B108" s="1"/>
      <c r="C108" s="1"/>
      <c r="D108" s="1"/>
      <c r="E108" s="1"/>
      <c r="F108" s="1"/>
      <c r="G108" s="505"/>
      <c r="H108" s="1"/>
      <c r="I108" s="1"/>
      <c r="J108" s="1"/>
      <c r="K108" s="1"/>
      <c r="N108" s="26"/>
      <c r="O108" s="26"/>
      <c r="P108" s="26"/>
      <c r="Q108" s="26"/>
      <c r="R108" s="26"/>
      <c r="S108" s="26"/>
      <c r="T108" s="169"/>
      <c r="U108" s="26"/>
      <c r="V108" s="26"/>
      <c r="W108" s="26"/>
      <c r="X108" s="26"/>
      <c r="Y108" s="26"/>
      <c r="Z108" s="26"/>
    </row>
    <row r="109" spans="1:26" x14ac:dyDescent="0.25">
      <c r="A109" s="1"/>
      <c r="B109" s="1"/>
      <c r="C109" s="1"/>
      <c r="D109" s="1"/>
      <c r="E109" s="1"/>
      <c r="F109" s="1"/>
      <c r="G109" s="505"/>
      <c r="H109" s="1"/>
      <c r="I109" s="1"/>
      <c r="J109" s="1"/>
      <c r="K109" s="1"/>
      <c r="N109" s="26"/>
      <c r="O109" s="26"/>
      <c r="P109" s="26"/>
      <c r="Q109" s="26"/>
      <c r="R109" s="26"/>
      <c r="S109" s="26"/>
      <c r="T109" s="169"/>
      <c r="U109" s="26"/>
      <c r="V109" s="26"/>
      <c r="W109" s="26"/>
      <c r="X109" s="26"/>
      <c r="Y109" s="26"/>
      <c r="Z109" s="26"/>
    </row>
    <row r="110" spans="1:26" x14ac:dyDescent="0.25">
      <c r="A110" s="529" t="s">
        <v>1351</v>
      </c>
      <c r="B110" s="1"/>
      <c r="C110" s="1"/>
      <c r="D110" s="1"/>
      <c r="E110" s="1"/>
      <c r="F110" s="1"/>
      <c r="G110" s="505"/>
      <c r="H110" s="1"/>
      <c r="I110" s="1"/>
      <c r="J110" s="1"/>
      <c r="K110" s="1"/>
      <c r="N110" s="182"/>
      <c r="O110" s="182"/>
      <c r="P110" s="158"/>
      <c r="Q110" s="158"/>
      <c r="R110" s="158"/>
      <c r="S110" s="158"/>
      <c r="T110" s="26"/>
      <c r="U110" s="26"/>
      <c r="V110" s="26"/>
      <c r="W110" s="26"/>
      <c r="X110" s="26"/>
      <c r="Y110" s="26"/>
      <c r="Z110" s="26"/>
    </row>
    <row r="111" spans="1:26" x14ac:dyDescent="0.25">
      <c r="A111" s="529"/>
      <c r="B111" s="1"/>
      <c r="C111" s="1"/>
      <c r="D111" s="1"/>
      <c r="E111" s="1"/>
      <c r="F111" s="1"/>
      <c r="G111" s="505"/>
      <c r="H111" s="1"/>
      <c r="I111" s="1"/>
      <c r="J111" s="1"/>
      <c r="K111" s="1"/>
      <c r="N111" s="182"/>
      <c r="O111" s="182"/>
      <c r="P111" s="522"/>
      <c r="Q111" s="522"/>
      <c r="R111" s="522"/>
      <c r="S111" s="522"/>
      <c r="T111" s="26"/>
      <c r="U111" s="26"/>
      <c r="V111" s="26"/>
      <c r="W111" s="26"/>
      <c r="X111" s="26"/>
      <c r="Y111" s="26"/>
      <c r="Z111" s="26"/>
    </row>
    <row r="112" spans="1:26" x14ac:dyDescent="0.25">
      <c r="A112" s="581" t="s">
        <v>1352</v>
      </c>
      <c r="B112" s="581" t="s">
        <v>1353</v>
      </c>
      <c r="C112" s="785" t="s">
        <v>1354</v>
      </c>
      <c r="D112" s="786"/>
      <c r="E112" s="786"/>
      <c r="F112" s="786"/>
      <c r="G112" s="787"/>
      <c r="H112" s="582"/>
      <c r="I112" s="582"/>
      <c r="J112" s="1"/>
      <c r="K112" s="1"/>
      <c r="N112" s="182"/>
      <c r="O112" s="182"/>
      <c r="P112" s="522"/>
      <c r="Q112" s="522"/>
      <c r="R112" s="522"/>
      <c r="S112" s="522"/>
      <c r="T112" s="26"/>
      <c r="U112" s="26"/>
      <c r="V112" s="26"/>
      <c r="W112" s="26"/>
      <c r="X112" s="26"/>
      <c r="Y112" s="26"/>
      <c r="Z112" s="26"/>
    </row>
    <row r="113" spans="1:26" x14ac:dyDescent="0.25">
      <c r="A113" s="254" t="s">
        <v>590</v>
      </c>
      <c r="B113" s="574" t="str">
        <f>IF(OR(K81="S6", K81="S7", K81="S8"),"pass","fail")</f>
        <v>pass</v>
      </c>
      <c r="C113" s="782" t="str">
        <f>IF(B113="pass","LLOQ lower than S6", "LLOQ higher than S6, ")</f>
        <v>LLOQ lower than S6</v>
      </c>
      <c r="D113" s="783"/>
      <c r="E113" s="783"/>
      <c r="F113" s="783"/>
      <c r="G113" s="784"/>
      <c r="H113" s="182"/>
      <c r="I113" s="583"/>
      <c r="J113" s="1"/>
      <c r="K113" s="1"/>
      <c r="N113" s="183"/>
      <c r="O113" s="183"/>
      <c r="P113" s="183"/>
      <c r="Q113" s="183"/>
      <c r="R113" s="183"/>
      <c r="S113" s="183"/>
      <c r="T113" s="183"/>
      <c r="U113" s="183"/>
      <c r="V113" s="26"/>
      <c r="W113" s="26"/>
      <c r="X113" s="26"/>
      <c r="Y113" s="26"/>
      <c r="Z113" s="26"/>
    </row>
    <row r="114" spans="1:26" x14ac:dyDescent="0.25">
      <c r="A114" s="254" t="s">
        <v>591</v>
      </c>
      <c r="B114" s="574" t="str">
        <f>IF(OR(K82="S1", K82="S2"),"pass","fail")</f>
        <v>pass</v>
      </c>
      <c r="C114" s="782" t="str">
        <f>IF(B114="pass","ULOQ higher than S2", "ULOQ lower than S2, ")</f>
        <v>ULOQ higher than S2</v>
      </c>
      <c r="D114" s="783"/>
      <c r="E114" s="783"/>
      <c r="F114" s="783"/>
      <c r="G114" s="784"/>
      <c r="H114" s="182"/>
      <c r="I114" s="583"/>
      <c r="J114" s="1"/>
      <c r="K114" s="1"/>
      <c r="N114" s="158"/>
      <c r="O114" s="179"/>
      <c r="P114" s="179"/>
      <c r="Q114" s="179"/>
      <c r="R114" s="179"/>
      <c r="S114" s="179"/>
      <c r="T114" s="169"/>
      <c r="U114" s="169"/>
      <c r="V114" s="26"/>
      <c r="W114" s="26"/>
      <c r="X114" s="26"/>
      <c r="Y114" s="26"/>
      <c r="Z114" s="26"/>
    </row>
    <row r="115" spans="1:26" x14ac:dyDescent="0.25">
      <c r="A115" s="254" t="s">
        <v>1313</v>
      </c>
      <c r="B115" s="574" t="str">
        <f>IFERROR(IF(AND(C71&gt;=0.8,C71&lt;=1.2),"pass","fail"),"ERROR")</f>
        <v>pass</v>
      </c>
      <c r="C115" s="782" t="str">
        <f>IF(B115="pass","Process Control recovery within 80/120", "Process Control recovery outside 80/120, ")</f>
        <v>Process Control recovery within 80/120</v>
      </c>
      <c r="D115" s="783"/>
      <c r="E115" s="783"/>
      <c r="F115" s="783"/>
      <c r="G115" s="784"/>
      <c r="H115" s="182"/>
      <c r="I115" s="583"/>
      <c r="J115" s="1"/>
      <c r="K115" s="1"/>
      <c r="N115" s="158"/>
      <c r="O115" s="179"/>
      <c r="P115" s="179"/>
      <c r="Q115" s="179"/>
      <c r="R115" s="179"/>
      <c r="S115" s="179"/>
      <c r="T115" s="169"/>
      <c r="U115" s="169"/>
      <c r="V115" s="26"/>
      <c r="W115" s="26"/>
      <c r="X115" s="26"/>
      <c r="Y115" s="26"/>
      <c r="Z115" s="26"/>
    </row>
    <row r="116" spans="1:26" x14ac:dyDescent="0.25">
      <c r="A116" s="254" t="s">
        <v>607</v>
      </c>
      <c r="B116" s="574" t="str">
        <f>IFERROR(IF(AND(B73&lt;=0.2),"pass","fail"),"ERROR")</f>
        <v>pass</v>
      </c>
      <c r="C116" s="782" t="str">
        <f>IF(B116="pass","%CV &lt; 20%", "%CV &gt; 20%, ")</f>
        <v>%CV &lt; 20%</v>
      </c>
      <c r="D116" s="783"/>
      <c r="E116" s="783"/>
      <c r="F116" s="783"/>
      <c r="G116" s="784"/>
      <c r="H116" s="182"/>
      <c r="I116" s="583"/>
      <c r="J116" s="1"/>
      <c r="K116" s="1"/>
      <c r="N116" s="522"/>
      <c r="O116" s="523"/>
      <c r="P116" s="523"/>
      <c r="Q116" s="523"/>
      <c r="R116" s="523"/>
      <c r="S116" s="523"/>
      <c r="T116" s="169"/>
      <c r="U116" s="169"/>
      <c r="V116" s="26"/>
      <c r="W116" s="26"/>
      <c r="X116" s="26"/>
      <c r="Y116" s="26"/>
      <c r="Z116" s="26"/>
    </row>
    <row r="117" spans="1:26" x14ac:dyDescent="0.25">
      <c r="A117" s="580"/>
      <c r="B117" s="1"/>
      <c r="C117" s="1"/>
      <c r="D117" s="1"/>
      <c r="E117" s="1"/>
      <c r="F117" s="1"/>
      <c r="G117" s="505"/>
      <c r="H117" s="505"/>
      <c r="I117" s="1"/>
      <c r="J117" s="1"/>
      <c r="K117" s="1"/>
      <c r="N117" s="575"/>
      <c r="O117" s="576"/>
      <c r="P117" s="576"/>
      <c r="Q117" s="576"/>
      <c r="R117" s="576"/>
      <c r="S117" s="576"/>
      <c r="T117" s="169"/>
      <c r="U117" s="169"/>
      <c r="V117" s="26"/>
      <c r="W117" s="26"/>
      <c r="X117" s="26"/>
      <c r="Y117" s="26"/>
      <c r="Z117" s="26"/>
    </row>
    <row r="118" spans="1:26" ht="15.75" thickBot="1" x14ac:dyDescent="0.3">
      <c r="A118" s="530" t="s">
        <v>1350</v>
      </c>
      <c r="B118" s="531" t="str">
        <f>IF(AND(B113="pass",B114="pass",B115="pass",B116="pass"),"PASS","FAIL")</f>
        <v>PASS</v>
      </c>
      <c r="C118" s="533" t="str">
        <f>IF(B113="fail",C113,"") &amp; IF(B114="fail",C114,"") &amp; IF(B115="fail",C115,"") &amp; IF(B116="fail",C116,"")</f>
        <v/>
      </c>
      <c r="D118" s="534"/>
      <c r="E118" s="534"/>
      <c r="F118" s="534"/>
      <c r="G118" s="505"/>
      <c r="H118" s="1"/>
      <c r="I118" s="1"/>
      <c r="J118" s="1"/>
      <c r="K118" s="1"/>
      <c r="N118" s="26"/>
      <c r="O118" s="26"/>
      <c r="P118" s="26"/>
      <c r="Q118" s="26"/>
      <c r="R118" s="26"/>
      <c r="S118" s="26"/>
      <c r="T118" s="26"/>
      <c r="U118" s="26"/>
      <c r="V118" s="26"/>
      <c r="W118" s="26"/>
      <c r="X118" s="26"/>
      <c r="Y118" s="26"/>
      <c r="Z118" s="26"/>
    </row>
    <row r="119" spans="1:26" ht="15.75" thickTop="1" x14ac:dyDescent="0.25">
      <c r="A119" s="1"/>
      <c r="B119" s="1"/>
      <c r="D119" s="1"/>
      <c r="E119" s="1"/>
      <c r="F119" s="505"/>
      <c r="G119" s="1"/>
      <c r="H119" s="1"/>
      <c r="I119" s="1"/>
      <c r="J119" s="1"/>
      <c r="K119" s="1"/>
      <c r="N119" s="26"/>
      <c r="O119" s="26"/>
      <c r="P119" s="26"/>
      <c r="Q119" s="26"/>
      <c r="R119" s="26"/>
      <c r="S119" s="169"/>
      <c r="T119" s="26"/>
      <c r="U119" s="26"/>
      <c r="V119" s="26"/>
      <c r="W119" s="26"/>
      <c r="X119" s="26"/>
      <c r="Y119" s="26"/>
      <c r="Z119" s="26"/>
    </row>
    <row r="120" spans="1:26" x14ac:dyDescent="0.25">
      <c r="A120" s="1"/>
      <c r="B120" s="1"/>
      <c r="C120" s="1"/>
      <c r="D120" s="1"/>
      <c r="E120" s="1"/>
      <c r="F120" s="505"/>
      <c r="G120" s="1"/>
      <c r="H120" s="1"/>
      <c r="I120" s="1"/>
      <c r="J120" s="1"/>
      <c r="K120" s="1"/>
      <c r="N120" s="26"/>
      <c r="O120" s="26"/>
      <c r="P120" s="26"/>
      <c r="Q120" s="26"/>
      <c r="R120" s="26"/>
      <c r="S120" s="169"/>
      <c r="T120" s="26"/>
      <c r="U120" s="26"/>
      <c r="V120" s="26"/>
      <c r="W120" s="26"/>
      <c r="X120" s="26"/>
      <c r="Y120" s="26"/>
      <c r="Z120" s="26"/>
    </row>
    <row r="121" spans="1:26" x14ac:dyDescent="0.25">
      <c r="A121" s="1"/>
      <c r="B121" s="505"/>
      <c r="C121" s="1"/>
      <c r="D121" s="1"/>
      <c r="E121" s="1"/>
      <c r="F121" s="505"/>
      <c r="G121" s="1"/>
      <c r="H121" s="1"/>
      <c r="I121" s="1"/>
      <c r="J121" s="1"/>
      <c r="K121" s="1"/>
      <c r="N121" s="26"/>
      <c r="O121" s="26"/>
      <c r="P121" s="26"/>
      <c r="Q121" s="26"/>
      <c r="R121" s="26"/>
      <c r="S121" s="169"/>
      <c r="T121" s="26"/>
      <c r="U121" s="26"/>
      <c r="V121" s="26"/>
      <c r="W121" s="26"/>
      <c r="X121" s="26"/>
      <c r="Y121" s="26"/>
      <c r="Z121" s="26"/>
    </row>
    <row r="122" spans="1:26" x14ac:dyDescent="0.25">
      <c r="A122" s="1"/>
      <c r="B122" s="1"/>
      <c r="C122" s="1"/>
      <c r="D122" s="1"/>
      <c r="E122" s="1"/>
      <c r="F122" s="1"/>
      <c r="G122" s="1"/>
      <c r="H122" s="1"/>
      <c r="I122" s="1"/>
      <c r="J122" s="1"/>
      <c r="K122" s="1"/>
      <c r="N122" s="26"/>
      <c r="O122" s="26"/>
      <c r="P122" s="26"/>
      <c r="Q122" s="26"/>
      <c r="R122" s="26"/>
      <c r="S122" s="26"/>
      <c r="T122" s="26"/>
      <c r="U122" s="26"/>
      <c r="V122" s="26"/>
      <c r="W122" s="26"/>
      <c r="X122" s="26"/>
      <c r="Y122" s="26"/>
      <c r="Z122" s="26"/>
    </row>
    <row r="123" spans="1:26" x14ac:dyDescent="0.25">
      <c r="A123" s="1"/>
      <c r="B123" s="1"/>
      <c r="C123" s="1"/>
      <c r="D123" s="1"/>
      <c r="E123" s="1"/>
      <c r="F123" s="1"/>
      <c r="G123" s="1"/>
      <c r="H123" s="1"/>
      <c r="I123" s="1"/>
      <c r="J123" s="1"/>
      <c r="K123" s="1"/>
      <c r="N123" s="26"/>
      <c r="O123" s="26"/>
      <c r="P123" s="26"/>
      <c r="Q123" s="26"/>
      <c r="R123" s="26"/>
      <c r="S123" s="26"/>
      <c r="T123" s="26"/>
      <c r="U123" s="26"/>
      <c r="V123" s="26"/>
      <c r="W123" s="26"/>
      <c r="X123" s="26"/>
      <c r="Y123" s="26"/>
      <c r="Z123" s="26"/>
    </row>
    <row r="124" spans="1:26" x14ac:dyDescent="0.25">
      <c r="A124" s="1"/>
      <c r="B124" s="1"/>
      <c r="C124" s="1"/>
      <c r="D124" s="1"/>
      <c r="E124" s="1"/>
      <c r="F124" s="1"/>
      <c r="G124" s="1"/>
      <c r="H124" s="1"/>
      <c r="I124" s="1"/>
      <c r="J124" s="1"/>
      <c r="K124" s="1"/>
      <c r="N124" s="26"/>
      <c r="O124" s="26"/>
      <c r="P124" s="26"/>
      <c r="Q124" s="26"/>
      <c r="R124" s="26"/>
      <c r="S124" s="26"/>
      <c r="T124" s="26"/>
      <c r="U124" s="26"/>
      <c r="V124" s="26"/>
      <c r="W124" s="26"/>
      <c r="X124" s="26"/>
      <c r="Y124" s="26"/>
      <c r="Z124" s="26"/>
    </row>
  </sheetData>
  <mergeCells count="43">
    <mergeCell ref="A100:A107"/>
    <mergeCell ref="B100:B107"/>
    <mergeCell ref="D100:D107"/>
    <mergeCell ref="E100:E107"/>
    <mergeCell ref="F100:F107"/>
    <mergeCell ref="A92:A99"/>
    <mergeCell ref="B92:B99"/>
    <mergeCell ref="D92:D99"/>
    <mergeCell ref="E92:E99"/>
    <mergeCell ref="F92:F99"/>
    <mergeCell ref="A1:B1"/>
    <mergeCell ref="A2:B2"/>
    <mergeCell ref="A3:B3"/>
    <mergeCell ref="H3:I3"/>
    <mergeCell ref="K3:L3"/>
    <mergeCell ref="A48:B48"/>
    <mergeCell ref="A60:B60"/>
    <mergeCell ref="F61:I61"/>
    <mergeCell ref="A75:C75"/>
    <mergeCell ref="A4:B4"/>
    <mergeCell ref="A5:B5"/>
    <mergeCell ref="A6:B6"/>
    <mergeCell ref="C6:F6"/>
    <mergeCell ref="D8:J8"/>
    <mergeCell ref="N89:O89"/>
    <mergeCell ref="N60:O60"/>
    <mergeCell ref="S61:V61"/>
    <mergeCell ref="N75:P75"/>
    <mergeCell ref="T66:U66"/>
    <mergeCell ref="R66:S66"/>
    <mergeCell ref="N104:N105"/>
    <mergeCell ref="O104:O105"/>
    <mergeCell ref="N92:N93"/>
    <mergeCell ref="O92:O93"/>
    <mergeCell ref="N94:N95"/>
    <mergeCell ref="O94:O95"/>
    <mergeCell ref="N102:N103"/>
    <mergeCell ref="O102:O103"/>
    <mergeCell ref="C113:G113"/>
    <mergeCell ref="C114:G114"/>
    <mergeCell ref="C115:G115"/>
    <mergeCell ref="C116:G116"/>
    <mergeCell ref="C112:G112"/>
  </mergeCells>
  <conditionalFormatting sqref="E68 F78:F85 E63:E66 R68 R63:R66">
    <cfRule type="cellIs" dxfId="159" priority="141" operator="between">
      <formula>80</formula>
      <formula>120</formula>
    </cfRule>
  </conditionalFormatting>
  <conditionalFormatting sqref="E78:E85 D63 I63:I66 R78:R85 Q63 V63:V66 S92:S95 R114:R117 R102:S105">
    <cfRule type="cellIs" dxfId="158" priority="140" operator="greaterThan">
      <formula>20</formula>
    </cfRule>
  </conditionalFormatting>
  <conditionalFormatting sqref="T92:T95 S102:T105 S114:S117">
    <cfRule type="cellIs" dxfId="157" priority="138" operator="between">
      <formula>80</formula>
      <formula>120</formula>
    </cfRule>
    <cfRule type="cellIs" dxfId="156" priority="139" operator="between">
      <formula>80</formula>
      <formula>120</formula>
    </cfRule>
  </conditionalFormatting>
  <conditionalFormatting sqref="G68:H68">
    <cfRule type="cellIs" dxfId="155" priority="95" operator="between">
      <formula>80</formula>
      <formula>120</formula>
    </cfRule>
  </conditionalFormatting>
  <conditionalFormatting sqref="H92">
    <cfRule type="cellIs" dxfId="154" priority="94" operator="between">
      <formula>80</formula>
      <formula>120</formula>
    </cfRule>
  </conditionalFormatting>
  <conditionalFormatting sqref="H94">
    <cfRule type="cellIs" dxfId="153" priority="92" operator="between">
      <formula>80</formula>
      <formula>120</formula>
    </cfRule>
    <cfRule type="cellIs" dxfId="152" priority="93" operator="between">
      <formula>80</formula>
      <formula>120</formula>
    </cfRule>
  </conditionalFormatting>
  <conditionalFormatting sqref="H102">
    <cfRule type="cellIs" dxfId="151" priority="90" operator="between">
      <formula>80</formula>
      <formula>120</formula>
    </cfRule>
  </conditionalFormatting>
  <conditionalFormatting sqref="H104">
    <cfRule type="cellIs" dxfId="150" priority="89" operator="between">
      <formula>80</formula>
      <formula>120</formula>
    </cfRule>
  </conditionalFormatting>
  <conditionalFormatting sqref="F119">
    <cfRule type="cellIs" dxfId="149" priority="86" operator="between">
      <formula>80</formula>
      <formula>120</formula>
    </cfRule>
  </conditionalFormatting>
  <conditionalFormatting sqref="P63:P67">
    <cfRule type="cellIs" dxfId="148" priority="85" operator="between">
      <formula>80</formula>
      <formula>120</formula>
    </cfRule>
  </conditionalFormatting>
  <conditionalFormatting sqref="T68:U68">
    <cfRule type="cellIs" dxfId="147" priority="83" operator="between">
      <formula>80</formula>
      <formula>120</formula>
    </cfRule>
    <cfRule type="cellIs" dxfId="146" priority="84" operator="between">
      <formula>80</formula>
      <formula>120</formula>
    </cfRule>
  </conditionalFormatting>
  <conditionalFormatting sqref="U92">
    <cfRule type="cellIs" dxfId="145" priority="82" operator="between">
      <formula>80</formula>
      <formula>120</formula>
    </cfRule>
  </conditionalFormatting>
  <conditionalFormatting sqref="U94">
    <cfRule type="cellIs" dxfId="144" priority="81" operator="between">
      <formula>80</formula>
      <formula>120</formula>
    </cfRule>
  </conditionalFormatting>
  <conditionalFormatting sqref="U102">
    <cfRule type="cellIs" dxfId="143" priority="80" operator="between">
      <formula>80</formula>
      <formula>120</formula>
    </cfRule>
  </conditionalFormatting>
  <conditionalFormatting sqref="U104">
    <cfRule type="cellIs" dxfId="142" priority="79" operator="between">
      <formula>80</formula>
      <formula>120</formula>
    </cfRule>
  </conditionalFormatting>
  <conditionalFormatting sqref="T97">
    <cfRule type="cellIs" dxfId="141" priority="78" operator="between">
      <formula>80</formula>
      <formula>120</formula>
    </cfRule>
  </conditionalFormatting>
  <conditionalFormatting sqref="T107">
    <cfRule type="cellIs" dxfId="140" priority="77" operator="between">
      <formula>80</formula>
      <formula>120</formula>
    </cfRule>
  </conditionalFormatting>
  <conditionalFormatting sqref="S119">
    <cfRule type="cellIs" dxfId="139" priority="76" operator="between">
      <formula>80</formula>
      <formula>120</formula>
    </cfRule>
  </conditionalFormatting>
  <conditionalFormatting sqref="B12:M19">
    <cfRule type="expression" dxfId="138" priority="73" stopIfTrue="1">
      <formula>NOT(ISERROR(SEARCH("S",B12)))</formula>
    </cfRule>
    <cfRule type="expression" dxfId="137" priority="74" stopIfTrue="1">
      <formula>NOT(ISERROR(SEARCH("Neg",B12)))</formula>
    </cfRule>
    <cfRule type="expression" dxfId="136" priority="75" stopIfTrue="1">
      <formula>NOT(ISERROR(SEARCH("U",B12)))</formula>
    </cfRule>
  </conditionalFormatting>
  <conditionalFormatting sqref="B12:M19">
    <cfRule type="expression" dxfId="135" priority="70" stopIfTrue="1">
      <formula>NOT(ISERROR(SEARCH("S",B12)))</formula>
    </cfRule>
    <cfRule type="expression" dxfId="134" priority="71" stopIfTrue="1">
      <formula>NOT(ISERROR(SEARCH("Neg",B12)))</formula>
    </cfRule>
    <cfRule type="expression" dxfId="133" priority="72" stopIfTrue="1">
      <formula>NOT(ISERROR(SEARCH("U",B12)))</formula>
    </cfRule>
  </conditionalFormatting>
  <conditionalFormatting sqref="N12:Y19">
    <cfRule type="expression" dxfId="132" priority="67" stopIfTrue="1">
      <formula>NOT(ISERROR(SEARCH("S",N12)))</formula>
    </cfRule>
    <cfRule type="expression" dxfId="131" priority="68" stopIfTrue="1">
      <formula>NOT(ISERROR(SEARCH("Neg",N12)))</formula>
    </cfRule>
    <cfRule type="expression" dxfId="130" priority="69" stopIfTrue="1">
      <formula>NOT(ISERROR(SEARCH("U",N12)))</formula>
    </cfRule>
  </conditionalFormatting>
  <conditionalFormatting sqref="N12:Y19">
    <cfRule type="expression" dxfId="129" priority="64" stopIfTrue="1">
      <formula>NOT(ISERROR(SEARCH("S",N12)))</formula>
    </cfRule>
    <cfRule type="expression" dxfId="128" priority="65" stopIfTrue="1">
      <formula>NOT(ISERROR(SEARCH("Neg",N12)))</formula>
    </cfRule>
    <cfRule type="expression" dxfId="127" priority="66" stopIfTrue="1">
      <formula>NOT(ISERROR(SEARCH("U",N12)))</formula>
    </cfRule>
  </conditionalFormatting>
  <conditionalFormatting sqref="Z18:AA19 Z12:Z17 AB12:AK19">
    <cfRule type="expression" dxfId="126" priority="61" stopIfTrue="1">
      <formula>NOT(ISERROR(SEARCH("S",Z12)))</formula>
    </cfRule>
    <cfRule type="expression" dxfId="125" priority="62" stopIfTrue="1">
      <formula>NOT(ISERROR(SEARCH("Neg",Z12)))</formula>
    </cfRule>
    <cfRule type="expression" dxfId="124" priority="63" stopIfTrue="1">
      <formula>NOT(ISERROR(SEARCH("U",Z12)))</formula>
    </cfRule>
  </conditionalFormatting>
  <conditionalFormatting sqref="Z18:AA19 Z12:Z17 AB12:AK19">
    <cfRule type="expression" dxfId="123" priority="58" stopIfTrue="1">
      <formula>NOT(ISERROR(SEARCH("S",Z12)))</formula>
    </cfRule>
    <cfRule type="expression" dxfId="122" priority="59" stopIfTrue="1">
      <formula>NOT(ISERROR(SEARCH("Neg",Z12)))</formula>
    </cfRule>
    <cfRule type="expression" dxfId="121" priority="60" stopIfTrue="1">
      <formula>NOT(ISERROR(SEARCH("U",Z12)))</formula>
    </cfRule>
  </conditionalFormatting>
  <conditionalFormatting sqref="AM12:AW13 AM14:AU19 AW14:AW19">
    <cfRule type="expression" dxfId="120" priority="55" stopIfTrue="1">
      <formula>NOT(ISERROR(SEARCH("S",AM12)))</formula>
    </cfRule>
    <cfRule type="expression" dxfId="119" priority="56" stopIfTrue="1">
      <formula>NOT(ISERROR(SEARCH("Neg",AM12)))</formula>
    </cfRule>
    <cfRule type="expression" dxfId="118" priority="57" stopIfTrue="1">
      <formula>NOT(ISERROR(SEARCH("U",AM12)))</formula>
    </cfRule>
  </conditionalFormatting>
  <conditionalFormatting sqref="AM12:AW13 AM14:AU19 AW14:AW19">
    <cfRule type="expression" dxfId="117" priority="52" stopIfTrue="1">
      <formula>NOT(ISERROR(SEARCH("S",AM12)))</formula>
    </cfRule>
    <cfRule type="expression" dxfId="116" priority="53" stopIfTrue="1">
      <formula>NOT(ISERROR(SEARCH("Neg",AM12)))</formula>
    </cfRule>
    <cfRule type="expression" dxfId="115" priority="54" stopIfTrue="1">
      <formula>NOT(ISERROR(SEARCH("U",AM12)))</formula>
    </cfRule>
  </conditionalFormatting>
  <conditionalFormatting sqref="AL12:AL19">
    <cfRule type="expression" dxfId="114" priority="49" stopIfTrue="1">
      <formula>NOT(ISERROR(SEARCH("S",AL12)))</formula>
    </cfRule>
    <cfRule type="expression" dxfId="113" priority="50" stopIfTrue="1">
      <formula>NOT(ISERROR(SEARCH("Neg",AL12)))</formula>
    </cfRule>
    <cfRule type="expression" dxfId="112" priority="51" stopIfTrue="1">
      <formula>NOT(ISERROR(SEARCH("U",AL12)))</formula>
    </cfRule>
  </conditionalFormatting>
  <conditionalFormatting sqref="AL12:AL19">
    <cfRule type="expression" dxfId="111" priority="46" stopIfTrue="1">
      <formula>NOT(ISERROR(SEARCH("S",AL12)))</formula>
    </cfRule>
    <cfRule type="expression" dxfId="110" priority="47" stopIfTrue="1">
      <formula>NOT(ISERROR(SEARCH("Neg",AL12)))</formula>
    </cfRule>
    <cfRule type="expression" dxfId="109" priority="48" stopIfTrue="1">
      <formula>NOT(ISERROR(SEARCH("U",AL12)))</formula>
    </cfRule>
  </conditionalFormatting>
  <conditionalFormatting sqref="AA12:AA13">
    <cfRule type="expression" dxfId="108" priority="43" stopIfTrue="1">
      <formula>NOT(ISERROR(SEARCH("S",AA12)))</formula>
    </cfRule>
    <cfRule type="expression" dxfId="107" priority="44" stopIfTrue="1">
      <formula>NOT(ISERROR(SEARCH("Neg",AA12)))</formula>
    </cfRule>
    <cfRule type="expression" dxfId="106" priority="45" stopIfTrue="1">
      <formula>NOT(ISERROR(SEARCH("U",AA12)))</formula>
    </cfRule>
  </conditionalFormatting>
  <conditionalFormatting sqref="AA12:AA13">
    <cfRule type="expression" dxfId="105" priority="40" stopIfTrue="1">
      <formula>NOT(ISERROR(SEARCH("S",AA12)))</formula>
    </cfRule>
    <cfRule type="expression" dxfId="104" priority="41" stopIfTrue="1">
      <formula>NOT(ISERROR(SEARCH("Neg",AA12)))</formula>
    </cfRule>
    <cfRule type="expression" dxfId="103" priority="42" stopIfTrue="1">
      <formula>NOT(ISERROR(SEARCH("U",AA12)))</formula>
    </cfRule>
  </conditionalFormatting>
  <conditionalFormatting sqref="AV18:AV19">
    <cfRule type="expression" dxfId="102" priority="37" stopIfTrue="1">
      <formula>NOT(ISERROR(SEARCH("S",AV18)))</formula>
    </cfRule>
    <cfRule type="expression" dxfId="101" priority="38" stopIfTrue="1">
      <formula>NOT(ISERROR(SEARCH("Neg",AV18)))</formula>
    </cfRule>
    <cfRule type="expression" dxfId="100" priority="39" stopIfTrue="1">
      <formula>NOT(ISERROR(SEARCH("U",AV18)))</formula>
    </cfRule>
  </conditionalFormatting>
  <conditionalFormatting sqref="AV18:AV19">
    <cfRule type="expression" dxfId="99" priority="34" stopIfTrue="1">
      <formula>NOT(ISERROR(SEARCH("S",AV18)))</formula>
    </cfRule>
    <cfRule type="expression" dxfId="98" priority="35" stopIfTrue="1">
      <formula>NOT(ISERROR(SEARCH("Neg",AV18)))</formula>
    </cfRule>
    <cfRule type="expression" dxfId="97" priority="36" stopIfTrue="1">
      <formula>NOT(ISERROR(SEARCH("U",AV18)))</formula>
    </cfRule>
  </conditionalFormatting>
  <conditionalFormatting sqref="C63:C71">
    <cfRule type="cellIs" dxfId="96" priority="33" operator="between">
      <formula>80%</formula>
      <formula>120%</formula>
    </cfRule>
  </conditionalFormatting>
  <conditionalFormatting sqref="F92">
    <cfRule type="cellIs" dxfId="95" priority="32" operator="greaterThan">
      <formula>20</formula>
    </cfRule>
  </conditionalFormatting>
  <conditionalFormatting sqref="G92:G99">
    <cfRule type="cellIs" dxfId="94" priority="7" operator="greaterThan">
      <formula>120%</formula>
    </cfRule>
    <cfRule type="cellIs" dxfId="93" priority="8" operator="lessThan">
      <formula>80%</formula>
    </cfRule>
    <cfRule type="cellIs" dxfId="92" priority="30" operator="between">
      <formula>80%</formula>
      <formula>120%</formula>
    </cfRule>
  </conditionalFormatting>
  <conditionalFormatting sqref="F100">
    <cfRule type="cellIs" dxfId="91" priority="29" operator="greaterThan">
      <formula>20</formula>
    </cfRule>
  </conditionalFormatting>
  <conditionalFormatting sqref="AA14:AA17">
    <cfRule type="expression" dxfId="90" priority="20" stopIfTrue="1">
      <formula>NOT(ISERROR(SEARCH("S",AA14)))</formula>
    </cfRule>
    <cfRule type="expression" dxfId="89" priority="21" stopIfTrue="1">
      <formula>NOT(ISERROR(SEARCH("Neg",AA14)))</formula>
    </cfRule>
    <cfRule type="expression" dxfId="88" priority="22" stopIfTrue="1">
      <formula>NOT(ISERROR(SEARCH("U",AA14)))</formula>
    </cfRule>
  </conditionalFormatting>
  <conditionalFormatting sqref="AA14:AA17">
    <cfRule type="expression" dxfId="87" priority="17" stopIfTrue="1">
      <formula>NOT(ISERROR(SEARCH("S",AA14)))</formula>
    </cfRule>
    <cfRule type="expression" dxfId="86" priority="18" stopIfTrue="1">
      <formula>NOT(ISERROR(SEARCH("Neg",AA14)))</formula>
    </cfRule>
    <cfRule type="expression" dxfId="85" priority="19" stopIfTrue="1">
      <formula>NOT(ISERROR(SEARCH("U",AA14)))</formula>
    </cfRule>
  </conditionalFormatting>
  <conditionalFormatting sqref="AV14:AV17">
    <cfRule type="expression" dxfId="84" priority="14" stopIfTrue="1">
      <formula>NOT(ISERROR(SEARCH("S",AV14)))</formula>
    </cfRule>
    <cfRule type="expression" dxfId="83" priority="15" stopIfTrue="1">
      <formula>NOT(ISERROR(SEARCH("Neg",AV14)))</formula>
    </cfRule>
    <cfRule type="expression" dxfId="82" priority="16" stopIfTrue="1">
      <formula>NOT(ISERROR(SEARCH("U",AV14)))</formula>
    </cfRule>
  </conditionalFormatting>
  <conditionalFormatting sqref="AV14:AV17">
    <cfRule type="expression" dxfId="81" priority="11" stopIfTrue="1">
      <formula>NOT(ISERROR(SEARCH("S",AV14)))</formula>
    </cfRule>
    <cfRule type="expression" dxfId="80" priority="12" stopIfTrue="1">
      <formula>NOT(ISERROR(SEARCH("Neg",AV14)))</formula>
    </cfRule>
    <cfRule type="expression" dxfId="79" priority="13" stopIfTrue="1">
      <formula>NOT(ISERROR(SEARCH("U",AV14)))</formula>
    </cfRule>
  </conditionalFormatting>
  <conditionalFormatting sqref="B118">
    <cfRule type="cellIs" dxfId="78" priority="9" operator="equal">
      <formula>"""PASS"""</formula>
    </cfRule>
    <cfRule type="cellIs" dxfId="77" priority="10" operator="equal">
      <formula>"FAIL"</formula>
    </cfRule>
  </conditionalFormatting>
  <conditionalFormatting sqref="G100:G107">
    <cfRule type="cellIs" dxfId="76" priority="4" operator="greaterThan">
      <formula>120%</formula>
    </cfRule>
    <cfRule type="cellIs" dxfId="75" priority="5" operator="lessThan">
      <formula>80%</formula>
    </cfRule>
    <cfRule type="cellIs" dxfId="74" priority="6" operator="between">
      <formula>80%</formula>
      <formula>120%</formula>
    </cfRule>
  </conditionalFormatting>
  <conditionalFormatting sqref="C71">
    <cfRule type="cellIs" dxfId="73" priority="1" operator="lessThan">
      <formula>80%</formula>
    </cfRule>
    <cfRule type="cellIs" dxfId="72" priority="2" operator="greaterThan">
      <formula>120%</formula>
    </cfRule>
    <cfRule type="cellIs" dxfId="71" priority="3" operator="between">
      <formula>80%</formula>
      <formula>120%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D7667-3692-4AEE-A5C0-81784BF9CE24}">
  <sheetPr codeName="Sheet23"/>
  <dimension ref="A1:AB22"/>
  <sheetViews>
    <sheetView workbookViewId="0">
      <selection activeCell="U30" sqref="U30"/>
    </sheetView>
  </sheetViews>
  <sheetFormatPr defaultRowHeight="15" x14ac:dyDescent="0.25"/>
  <cols>
    <col min="1" max="1" width="9.140625" style="122"/>
    <col min="2" max="2" width="5.28515625" style="176" customWidth="1"/>
    <col min="3" max="26" width="4.5703125" customWidth="1"/>
  </cols>
  <sheetData>
    <row r="1" spans="1:28" x14ac:dyDescent="0.25">
      <c r="A1" s="42"/>
      <c r="B1" s="388"/>
      <c r="C1" s="42"/>
      <c r="D1" s="42"/>
      <c r="E1" s="42"/>
      <c r="F1" s="42"/>
      <c r="G1" s="42"/>
      <c r="H1" s="42"/>
      <c r="I1" s="42"/>
      <c r="J1" s="42"/>
      <c r="K1" s="42"/>
      <c r="L1" s="42"/>
      <c r="M1" s="42"/>
      <c r="N1" s="42"/>
      <c r="O1" s="42"/>
      <c r="P1" s="42"/>
      <c r="Q1" s="42"/>
      <c r="R1" s="42"/>
      <c r="S1" s="42"/>
      <c r="T1" s="42"/>
      <c r="U1" s="42"/>
      <c r="V1" s="42"/>
      <c r="W1" s="42"/>
      <c r="X1" s="42"/>
      <c r="Y1" s="42"/>
      <c r="Z1" s="42"/>
      <c r="AA1" s="42"/>
      <c r="AB1" s="42"/>
    </row>
    <row r="2" spans="1:28" s="122" customFormat="1" x14ac:dyDescent="0.25">
      <c r="A2" s="42"/>
      <c r="B2" s="388"/>
      <c r="C2" s="42"/>
      <c r="D2" s="42"/>
      <c r="E2" s="42"/>
      <c r="F2" s="42"/>
      <c r="G2" s="42"/>
      <c r="H2" s="42"/>
      <c r="I2" s="42"/>
      <c r="J2" s="42"/>
      <c r="K2" s="42"/>
      <c r="L2" s="42"/>
      <c r="M2" s="42"/>
      <c r="N2" s="42"/>
      <c r="O2" s="42"/>
      <c r="P2" s="42"/>
      <c r="Q2" s="42"/>
      <c r="R2" s="42"/>
      <c r="S2" s="42"/>
      <c r="T2" s="42"/>
      <c r="U2" s="42"/>
      <c r="V2" s="42"/>
      <c r="W2" s="42"/>
      <c r="X2" s="42"/>
      <c r="Y2" s="42"/>
      <c r="Z2" s="42"/>
      <c r="AA2" s="42"/>
      <c r="AB2" s="42"/>
    </row>
    <row r="3" spans="1:28" s="385" customFormat="1" ht="12.75" thickBot="1" x14ac:dyDescent="0.3">
      <c r="A3" s="386"/>
      <c r="B3" s="386"/>
      <c r="C3" s="387">
        <v>1</v>
      </c>
      <c r="D3" s="387">
        <v>2</v>
      </c>
      <c r="E3" s="387">
        <v>3</v>
      </c>
      <c r="F3" s="387">
        <v>4</v>
      </c>
      <c r="G3" s="387">
        <v>5</v>
      </c>
      <c r="H3" s="387">
        <v>6</v>
      </c>
      <c r="I3" s="387">
        <v>7</v>
      </c>
      <c r="J3" s="387">
        <v>8</v>
      </c>
      <c r="K3" s="387">
        <v>9</v>
      </c>
      <c r="L3" s="387">
        <v>10</v>
      </c>
      <c r="M3" s="387">
        <v>11</v>
      </c>
      <c r="N3" s="387">
        <v>12</v>
      </c>
      <c r="O3" s="387">
        <v>13</v>
      </c>
      <c r="P3" s="387">
        <v>14</v>
      </c>
      <c r="Q3" s="387">
        <v>15</v>
      </c>
      <c r="R3" s="387">
        <v>16</v>
      </c>
      <c r="S3" s="387">
        <v>17</v>
      </c>
      <c r="T3" s="387">
        <v>18</v>
      </c>
      <c r="U3" s="387">
        <v>19</v>
      </c>
      <c r="V3" s="387">
        <v>20</v>
      </c>
      <c r="W3" s="387">
        <v>21</v>
      </c>
      <c r="X3" s="387">
        <v>22</v>
      </c>
      <c r="Y3" s="387">
        <v>23</v>
      </c>
      <c r="Z3" s="387">
        <v>24</v>
      </c>
      <c r="AA3" s="386"/>
      <c r="AB3" s="386"/>
    </row>
    <row r="4" spans="1:28" s="83" customFormat="1" ht="20.100000000000001" customHeight="1" x14ac:dyDescent="0.25">
      <c r="A4" s="389"/>
      <c r="B4" s="387">
        <v>1</v>
      </c>
      <c r="C4" s="433" t="s">
        <v>29</v>
      </c>
      <c r="D4" s="434" t="s">
        <v>621</v>
      </c>
      <c r="E4" s="434" t="s">
        <v>649</v>
      </c>
      <c r="F4" s="434" t="s">
        <v>650</v>
      </c>
      <c r="G4" s="434" t="s">
        <v>651</v>
      </c>
      <c r="H4" s="435" t="s">
        <v>652</v>
      </c>
      <c r="I4" s="434" t="s">
        <v>1012</v>
      </c>
      <c r="J4" s="434" t="s">
        <v>1013</v>
      </c>
      <c r="K4" s="434" t="s">
        <v>1014</v>
      </c>
      <c r="L4" s="435" t="s">
        <v>1015</v>
      </c>
      <c r="M4" s="434" t="s">
        <v>1016</v>
      </c>
      <c r="N4" s="436" t="s">
        <v>1017</v>
      </c>
      <c r="O4" s="392" t="s">
        <v>1034</v>
      </c>
      <c r="P4" s="390" t="s">
        <v>1035</v>
      </c>
      <c r="Q4" s="391" t="s">
        <v>1036</v>
      </c>
      <c r="R4" s="390" t="s">
        <v>1037</v>
      </c>
      <c r="S4" s="390" t="s">
        <v>1038</v>
      </c>
      <c r="T4" s="390" t="s">
        <v>1039</v>
      </c>
      <c r="U4" s="391" t="s">
        <v>1040</v>
      </c>
      <c r="V4" s="390" t="s">
        <v>1041</v>
      </c>
      <c r="W4" s="390" t="s">
        <v>1042</v>
      </c>
      <c r="X4" s="390" t="s">
        <v>1043</v>
      </c>
      <c r="Y4" s="390" t="s">
        <v>1044</v>
      </c>
      <c r="Z4" s="393" t="s">
        <v>228</v>
      </c>
      <c r="AA4" s="389"/>
      <c r="AB4" s="389"/>
    </row>
    <row r="5" spans="1:28" s="83" customFormat="1" ht="20.100000000000001" customHeight="1" x14ac:dyDescent="0.25">
      <c r="A5" s="389"/>
      <c r="B5" s="387">
        <v>2</v>
      </c>
      <c r="C5" s="437" t="s">
        <v>30</v>
      </c>
      <c r="D5" s="438" t="s">
        <v>621</v>
      </c>
      <c r="E5" s="438" t="s">
        <v>653</v>
      </c>
      <c r="F5" s="438" t="s">
        <v>654</v>
      </c>
      <c r="G5" s="438" t="s">
        <v>655</v>
      </c>
      <c r="H5" s="439" t="s">
        <v>656</v>
      </c>
      <c r="I5" s="438" t="s">
        <v>1045</v>
      </c>
      <c r="J5" s="438" t="s">
        <v>1046</v>
      </c>
      <c r="K5" s="438" t="s">
        <v>1047</v>
      </c>
      <c r="L5" s="439" t="s">
        <v>1048</v>
      </c>
      <c r="M5" s="438" t="s">
        <v>1049</v>
      </c>
      <c r="N5" s="440" t="s">
        <v>1050</v>
      </c>
      <c r="O5" s="398" t="s">
        <v>1067</v>
      </c>
      <c r="P5" s="396" t="s">
        <v>1068</v>
      </c>
      <c r="Q5" s="397" t="s">
        <v>1069</v>
      </c>
      <c r="R5" s="396" t="s">
        <v>1070</v>
      </c>
      <c r="S5" s="396" t="s">
        <v>1071</v>
      </c>
      <c r="T5" s="396" t="s">
        <v>1072</v>
      </c>
      <c r="U5" s="397" t="s">
        <v>1073</v>
      </c>
      <c r="V5" s="396" t="s">
        <v>1074</v>
      </c>
      <c r="W5" s="396" t="s">
        <v>1075</v>
      </c>
      <c r="X5" s="396" t="s">
        <v>1076</v>
      </c>
      <c r="Y5" s="396" t="s">
        <v>1077</v>
      </c>
      <c r="Z5" s="399" t="s">
        <v>35</v>
      </c>
      <c r="AA5" s="389"/>
      <c r="AB5" s="389"/>
    </row>
    <row r="6" spans="1:28" s="83" customFormat="1" ht="20.100000000000001" customHeight="1" x14ac:dyDescent="0.25">
      <c r="A6" s="389"/>
      <c r="B6" s="387">
        <v>3</v>
      </c>
      <c r="C6" s="437" t="s">
        <v>31</v>
      </c>
      <c r="D6" s="438" t="s">
        <v>908</v>
      </c>
      <c r="E6" s="438" t="s">
        <v>623</v>
      </c>
      <c r="F6" s="438" t="s">
        <v>624</v>
      </c>
      <c r="G6" s="438" t="s">
        <v>625</v>
      </c>
      <c r="H6" s="439" t="s">
        <v>626</v>
      </c>
      <c r="I6" s="438" t="s">
        <v>1078</v>
      </c>
      <c r="J6" s="438" t="s">
        <v>1079</v>
      </c>
      <c r="K6" s="438" t="s">
        <v>1080</v>
      </c>
      <c r="L6" s="439" t="s">
        <v>1081</v>
      </c>
      <c r="M6" s="438" t="s">
        <v>1082</v>
      </c>
      <c r="N6" s="440" t="s">
        <v>1083</v>
      </c>
      <c r="O6" s="398" t="s">
        <v>1100</v>
      </c>
      <c r="P6" s="396" t="s">
        <v>1101</v>
      </c>
      <c r="Q6" s="397" t="s">
        <v>1102</v>
      </c>
      <c r="R6" s="396" t="s">
        <v>1103</v>
      </c>
      <c r="S6" s="396" t="s">
        <v>1104</v>
      </c>
      <c r="T6" s="396" t="s">
        <v>1105</v>
      </c>
      <c r="U6" s="397" t="s">
        <v>1106</v>
      </c>
      <c r="V6" s="396" t="s">
        <v>1107</v>
      </c>
      <c r="W6" s="396" t="s">
        <v>1108</v>
      </c>
      <c r="X6" s="396" t="s">
        <v>1109</v>
      </c>
      <c r="Y6" s="401" t="s">
        <v>907</v>
      </c>
      <c r="Z6" s="399" t="s">
        <v>34</v>
      </c>
      <c r="AA6" s="389"/>
      <c r="AB6" s="389"/>
    </row>
    <row r="7" spans="1:28" s="83" customFormat="1" ht="20.100000000000001" customHeight="1" x14ac:dyDescent="0.25">
      <c r="A7" s="389"/>
      <c r="B7" s="387">
        <v>4</v>
      </c>
      <c r="C7" s="437" t="s">
        <v>32</v>
      </c>
      <c r="D7" s="438" t="s">
        <v>908</v>
      </c>
      <c r="E7" s="438" t="s">
        <v>627</v>
      </c>
      <c r="F7" s="438" t="s">
        <v>628</v>
      </c>
      <c r="G7" s="438" t="s">
        <v>629</v>
      </c>
      <c r="H7" s="439" t="s">
        <v>630</v>
      </c>
      <c r="I7" s="438" t="s">
        <v>1110</v>
      </c>
      <c r="J7" s="438" t="s">
        <v>1111</v>
      </c>
      <c r="K7" s="438" t="s">
        <v>1112</v>
      </c>
      <c r="L7" s="439" t="s">
        <v>1113</v>
      </c>
      <c r="M7" s="438" t="s">
        <v>1114</v>
      </c>
      <c r="N7" s="440" t="s">
        <v>1115</v>
      </c>
      <c r="O7" s="398" t="s">
        <v>1132</v>
      </c>
      <c r="P7" s="396" t="s">
        <v>1133</v>
      </c>
      <c r="Q7" s="397" t="s">
        <v>1134</v>
      </c>
      <c r="R7" s="396" t="s">
        <v>1135</v>
      </c>
      <c r="S7" s="396" t="s">
        <v>1136</v>
      </c>
      <c r="T7" s="396" t="s">
        <v>1137</v>
      </c>
      <c r="U7" s="397" t="s">
        <v>1138</v>
      </c>
      <c r="V7" s="396" t="s">
        <v>1139</v>
      </c>
      <c r="W7" s="396" t="s">
        <v>1140</v>
      </c>
      <c r="X7" s="396" t="s">
        <v>1141</v>
      </c>
      <c r="Y7" s="401" t="s">
        <v>907</v>
      </c>
      <c r="Z7" s="399" t="s">
        <v>33</v>
      </c>
      <c r="AA7" s="389"/>
      <c r="AB7" s="389"/>
    </row>
    <row r="8" spans="1:28" s="83" customFormat="1" ht="20.100000000000001" customHeight="1" x14ac:dyDescent="0.25">
      <c r="A8" s="389"/>
      <c r="B8" s="387">
        <v>5</v>
      </c>
      <c r="C8" s="437" t="s">
        <v>33</v>
      </c>
      <c r="D8" s="438" t="s">
        <v>907</v>
      </c>
      <c r="E8" s="438" t="s">
        <v>631</v>
      </c>
      <c r="F8" s="438" t="s">
        <v>632</v>
      </c>
      <c r="G8" s="438" t="s">
        <v>633</v>
      </c>
      <c r="H8" s="439" t="s">
        <v>634</v>
      </c>
      <c r="I8" s="438" t="s">
        <v>1121</v>
      </c>
      <c r="J8" s="438" t="s">
        <v>1120</v>
      </c>
      <c r="K8" s="438" t="s">
        <v>1119</v>
      </c>
      <c r="L8" s="439" t="s">
        <v>1118</v>
      </c>
      <c r="M8" s="438" t="s">
        <v>1117</v>
      </c>
      <c r="N8" s="440" t="s">
        <v>1116</v>
      </c>
      <c r="O8" s="398" t="s">
        <v>1131</v>
      </c>
      <c r="P8" s="396" t="s">
        <v>1130</v>
      </c>
      <c r="Q8" s="397" t="s">
        <v>1129</v>
      </c>
      <c r="R8" s="396" t="s">
        <v>1128</v>
      </c>
      <c r="S8" s="396" t="s">
        <v>1127</v>
      </c>
      <c r="T8" s="396" t="s">
        <v>1126</v>
      </c>
      <c r="U8" s="397" t="s">
        <v>1125</v>
      </c>
      <c r="V8" s="396" t="s">
        <v>1124</v>
      </c>
      <c r="W8" s="396" t="s">
        <v>1123</v>
      </c>
      <c r="X8" s="396" t="s">
        <v>1122</v>
      </c>
      <c r="Y8" s="400" t="s">
        <v>908</v>
      </c>
      <c r="Z8" s="399" t="s">
        <v>32</v>
      </c>
      <c r="AA8" s="389"/>
      <c r="AB8" s="389"/>
    </row>
    <row r="9" spans="1:28" s="83" customFormat="1" ht="20.100000000000001" customHeight="1" x14ac:dyDescent="0.25">
      <c r="A9" s="389"/>
      <c r="B9" s="387">
        <v>6</v>
      </c>
      <c r="C9" s="437" t="s">
        <v>34</v>
      </c>
      <c r="D9" s="438" t="s">
        <v>907</v>
      </c>
      <c r="E9" s="438" t="s">
        <v>635</v>
      </c>
      <c r="F9" s="438" t="s">
        <v>636</v>
      </c>
      <c r="G9" s="438" t="s">
        <v>637</v>
      </c>
      <c r="H9" s="439" t="s">
        <v>638</v>
      </c>
      <c r="I9" s="438" t="s">
        <v>1089</v>
      </c>
      <c r="J9" s="438" t="s">
        <v>1088</v>
      </c>
      <c r="K9" s="438" t="s">
        <v>1087</v>
      </c>
      <c r="L9" s="439" t="s">
        <v>1086</v>
      </c>
      <c r="M9" s="438" t="s">
        <v>1085</v>
      </c>
      <c r="N9" s="440" t="s">
        <v>1084</v>
      </c>
      <c r="O9" s="398" t="s">
        <v>1099</v>
      </c>
      <c r="P9" s="396" t="s">
        <v>1098</v>
      </c>
      <c r="Q9" s="397" t="s">
        <v>1097</v>
      </c>
      <c r="R9" s="396" t="s">
        <v>1096</v>
      </c>
      <c r="S9" s="396" t="s">
        <v>1095</v>
      </c>
      <c r="T9" s="396" t="s">
        <v>1094</v>
      </c>
      <c r="U9" s="397" t="s">
        <v>1093</v>
      </c>
      <c r="V9" s="396" t="s">
        <v>1092</v>
      </c>
      <c r="W9" s="396" t="s">
        <v>1091</v>
      </c>
      <c r="X9" s="396" t="s">
        <v>1090</v>
      </c>
      <c r="Y9" s="400" t="s">
        <v>908</v>
      </c>
      <c r="Z9" s="399" t="s">
        <v>31</v>
      </c>
      <c r="AA9" s="389"/>
      <c r="AB9" s="389"/>
    </row>
    <row r="10" spans="1:28" s="83" customFormat="1" ht="20.100000000000001" customHeight="1" x14ac:dyDescent="0.25">
      <c r="A10" s="389"/>
      <c r="B10" s="387">
        <v>7</v>
      </c>
      <c r="C10" s="437" t="s">
        <v>35</v>
      </c>
      <c r="D10" s="438" t="s">
        <v>639</v>
      </c>
      <c r="E10" s="438" t="s">
        <v>640</v>
      </c>
      <c r="F10" s="438" t="s">
        <v>641</v>
      </c>
      <c r="G10" s="438" t="s">
        <v>642</v>
      </c>
      <c r="H10" s="439" t="s">
        <v>643</v>
      </c>
      <c r="I10" s="438" t="s">
        <v>1056</v>
      </c>
      <c r="J10" s="438" t="s">
        <v>1055</v>
      </c>
      <c r="K10" s="438" t="s">
        <v>1054</v>
      </c>
      <c r="L10" s="439" t="s">
        <v>1053</v>
      </c>
      <c r="M10" s="438" t="s">
        <v>1052</v>
      </c>
      <c r="N10" s="440" t="s">
        <v>1051</v>
      </c>
      <c r="O10" s="398" t="s">
        <v>1066</v>
      </c>
      <c r="P10" s="396" t="s">
        <v>1065</v>
      </c>
      <c r="Q10" s="397" t="s">
        <v>1064</v>
      </c>
      <c r="R10" s="396" t="s">
        <v>1063</v>
      </c>
      <c r="S10" s="396" t="s">
        <v>1062</v>
      </c>
      <c r="T10" s="396" t="s">
        <v>1061</v>
      </c>
      <c r="U10" s="397" t="s">
        <v>1060</v>
      </c>
      <c r="V10" s="396" t="s">
        <v>1059</v>
      </c>
      <c r="W10" s="396" t="s">
        <v>1058</v>
      </c>
      <c r="X10" s="396" t="s">
        <v>1057</v>
      </c>
      <c r="Y10" s="395" t="s">
        <v>621</v>
      </c>
      <c r="Z10" s="399" t="s">
        <v>30</v>
      </c>
      <c r="AA10" s="389"/>
      <c r="AB10" s="389"/>
    </row>
    <row r="11" spans="1:28" s="83" customFormat="1" ht="20.100000000000001" customHeight="1" thickBot="1" x14ac:dyDescent="0.3">
      <c r="A11" s="389"/>
      <c r="B11" s="387">
        <v>8</v>
      </c>
      <c r="C11" s="441" t="s">
        <v>228</v>
      </c>
      <c r="D11" s="442" t="s">
        <v>644</v>
      </c>
      <c r="E11" s="442" t="s">
        <v>645</v>
      </c>
      <c r="F11" s="442" t="s">
        <v>646</v>
      </c>
      <c r="G11" s="442" t="s">
        <v>647</v>
      </c>
      <c r="H11" s="443" t="s">
        <v>648</v>
      </c>
      <c r="I11" s="442" t="s">
        <v>1023</v>
      </c>
      <c r="J11" s="442" t="s">
        <v>1022</v>
      </c>
      <c r="K11" s="442" t="s">
        <v>1021</v>
      </c>
      <c r="L11" s="443" t="s">
        <v>1020</v>
      </c>
      <c r="M11" s="442" t="s">
        <v>1019</v>
      </c>
      <c r="N11" s="444" t="s">
        <v>1018</v>
      </c>
      <c r="O11" s="405" t="s">
        <v>1033</v>
      </c>
      <c r="P11" s="406" t="s">
        <v>1032</v>
      </c>
      <c r="Q11" s="407" t="s">
        <v>1031</v>
      </c>
      <c r="R11" s="406" t="s">
        <v>1030</v>
      </c>
      <c r="S11" s="406" t="s">
        <v>1029</v>
      </c>
      <c r="T11" s="406" t="s">
        <v>1028</v>
      </c>
      <c r="U11" s="407" t="s">
        <v>1027</v>
      </c>
      <c r="V11" s="406" t="s">
        <v>1026</v>
      </c>
      <c r="W11" s="406" t="s">
        <v>1025</v>
      </c>
      <c r="X11" s="406" t="s">
        <v>1024</v>
      </c>
      <c r="Y11" s="408" t="s">
        <v>621</v>
      </c>
      <c r="Z11" s="409" t="s">
        <v>29</v>
      </c>
      <c r="AA11" s="389"/>
      <c r="AB11" s="389"/>
    </row>
    <row r="12" spans="1:28" s="83" customFormat="1" ht="20.100000000000001" customHeight="1" x14ac:dyDescent="0.25">
      <c r="A12" s="389"/>
      <c r="B12" s="387">
        <v>9</v>
      </c>
      <c r="C12" s="410" t="s">
        <v>29</v>
      </c>
      <c r="D12" s="411" t="s">
        <v>621</v>
      </c>
      <c r="E12" s="412" t="s">
        <v>1024</v>
      </c>
      <c r="F12" s="412" t="s">
        <v>1025</v>
      </c>
      <c r="G12" s="412" t="s">
        <v>1026</v>
      </c>
      <c r="H12" s="413" t="s">
        <v>1027</v>
      </c>
      <c r="I12" s="412" t="s">
        <v>1028</v>
      </c>
      <c r="J12" s="412" t="s">
        <v>1029</v>
      </c>
      <c r="K12" s="412" t="s">
        <v>1030</v>
      </c>
      <c r="L12" s="413" t="s">
        <v>1031</v>
      </c>
      <c r="M12" s="412" t="s">
        <v>1032</v>
      </c>
      <c r="N12" s="414" t="s">
        <v>1033</v>
      </c>
      <c r="O12" s="433" t="s">
        <v>1018</v>
      </c>
      <c r="P12" s="434" t="s">
        <v>1019</v>
      </c>
      <c r="Q12" s="435" t="s">
        <v>1020</v>
      </c>
      <c r="R12" s="434" t="s">
        <v>1021</v>
      </c>
      <c r="S12" s="434" t="s">
        <v>1022</v>
      </c>
      <c r="T12" s="434" t="s">
        <v>1023</v>
      </c>
      <c r="U12" s="435" t="s">
        <v>648</v>
      </c>
      <c r="V12" s="434" t="s">
        <v>647</v>
      </c>
      <c r="W12" s="434" t="s">
        <v>646</v>
      </c>
      <c r="X12" s="434" t="s">
        <v>645</v>
      </c>
      <c r="Y12" s="434" t="s">
        <v>644</v>
      </c>
      <c r="Z12" s="445" t="s">
        <v>228</v>
      </c>
      <c r="AA12" s="389"/>
      <c r="AB12" s="389"/>
    </row>
    <row r="13" spans="1:28" s="83" customFormat="1" ht="20.100000000000001" customHeight="1" x14ac:dyDescent="0.25">
      <c r="A13" s="389"/>
      <c r="B13" s="387">
        <v>10</v>
      </c>
      <c r="C13" s="394" t="s">
        <v>30</v>
      </c>
      <c r="D13" s="395" t="s">
        <v>621</v>
      </c>
      <c r="E13" s="396" t="s">
        <v>1057</v>
      </c>
      <c r="F13" s="396" t="s">
        <v>1058</v>
      </c>
      <c r="G13" s="396" t="s">
        <v>1059</v>
      </c>
      <c r="H13" s="397" t="s">
        <v>1060</v>
      </c>
      <c r="I13" s="396" t="s">
        <v>1061</v>
      </c>
      <c r="J13" s="396" t="s">
        <v>1062</v>
      </c>
      <c r="K13" s="396" t="s">
        <v>1063</v>
      </c>
      <c r="L13" s="397" t="s">
        <v>1064</v>
      </c>
      <c r="M13" s="396" t="s">
        <v>1065</v>
      </c>
      <c r="N13" s="415" t="s">
        <v>1066</v>
      </c>
      <c r="O13" s="437" t="s">
        <v>1051</v>
      </c>
      <c r="P13" s="438" t="s">
        <v>1052</v>
      </c>
      <c r="Q13" s="439" t="s">
        <v>1053</v>
      </c>
      <c r="R13" s="438" t="s">
        <v>1054</v>
      </c>
      <c r="S13" s="438" t="s">
        <v>1055</v>
      </c>
      <c r="T13" s="438" t="s">
        <v>1056</v>
      </c>
      <c r="U13" s="439" t="s">
        <v>643</v>
      </c>
      <c r="V13" s="438" t="s">
        <v>642</v>
      </c>
      <c r="W13" s="438" t="s">
        <v>641</v>
      </c>
      <c r="X13" s="438" t="s">
        <v>640</v>
      </c>
      <c r="Y13" s="438" t="s">
        <v>639</v>
      </c>
      <c r="Z13" s="446" t="s">
        <v>35</v>
      </c>
      <c r="AA13" s="389"/>
      <c r="AB13" s="389"/>
    </row>
    <row r="14" spans="1:28" s="83" customFormat="1" ht="20.100000000000001" customHeight="1" x14ac:dyDescent="0.25">
      <c r="A14" s="389"/>
      <c r="B14" s="387">
        <v>11</v>
      </c>
      <c r="C14" s="394" t="s">
        <v>31</v>
      </c>
      <c r="D14" s="400" t="s">
        <v>908</v>
      </c>
      <c r="E14" s="396" t="s">
        <v>1090</v>
      </c>
      <c r="F14" s="396" t="s">
        <v>1091</v>
      </c>
      <c r="G14" s="396" t="s">
        <v>1092</v>
      </c>
      <c r="H14" s="397" t="s">
        <v>1093</v>
      </c>
      <c r="I14" s="396" t="s">
        <v>1094</v>
      </c>
      <c r="J14" s="396" t="s">
        <v>1095</v>
      </c>
      <c r="K14" s="396" t="s">
        <v>1096</v>
      </c>
      <c r="L14" s="397" t="s">
        <v>1097</v>
      </c>
      <c r="M14" s="396" t="s">
        <v>1098</v>
      </c>
      <c r="N14" s="415" t="s">
        <v>1099</v>
      </c>
      <c r="O14" s="437" t="s">
        <v>1084</v>
      </c>
      <c r="P14" s="438" t="s">
        <v>1085</v>
      </c>
      <c r="Q14" s="439" t="s">
        <v>1086</v>
      </c>
      <c r="R14" s="438" t="s">
        <v>1087</v>
      </c>
      <c r="S14" s="438" t="s">
        <v>1088</v>
      </c>
      <c r="T14" s="438" t="s">
        <v>1089</v>
      </c>
      <c r="U14" s="439" t="s">
        <v>638</v>
      </c>
      <c r="V14" s="438" t="s">
        <v>637</v>
      </c>
      <c r="W14" s="438" t="s">
        <v>636</v>
      </c>
      <c r="X14" s="438" t="s">
        <v>635</v>
      </c>
      <c r="Y14" s="438" t="s">
        <v>907</v>
      </c>
      <c r="Z14" s="446" t="s">
        <v>34</v>
      </c>
      <c r="AA14" s="389"/>
      <c r="AB14" s="389"/>
    </row>
    <row r="15" spans="1:28" s="83" customFormat="1" ht="20.100000000000001" customHeight="1" x14ac:dyDescent="0.25">
      <c r="A15" s="389"/>
      <c r="B15" s="387">
        <v>12</v>
      </c>
      <c r="C15" s="394" t="s">
        <v>32</v>
      </c>
      <c r="D15" s="400" t="s">
        <v>908</v>
      </c>
      <c r="E15" s="396" t="s">
        <v>1122</v>
      </c>
      <c r="F15" s="396" t="s">
        <v>1123</v>
      </c>
      <c r="G15" s="396" t="s">
        <v>1124</v>
      </c>
      <c r="H15" s="397" t="s">
        <v>1125</v>
      </c>
      <c r="I15" s="396" t="s">
        <v>1126</v>
      </c>
      <c r="J15" s="396" t="s">
        <v>1127</v>
      </c>
      <c r="K15" s="396" t="s">
        <v>1128</v>
      </c>
      <c r="L15" s="397" t="s">
        <v>1129</v>
      </c>
      <c r="M15" s="396" t="s">
        <v>1130</v>
      </c>
      <c r="N15" s="415" t="s">
        <v>1131</v>
      </c>
      <c r="O15" s="437" t="s">
        <v>1116</v>
      </c>
      <c r="P15" s="438" t="s">
        <v>1117</v>
      </c>
      <c r="Q15" s="439" t="s">
        <v>1118</v>
      </c>
      <c r="R15" s="438" t="s">
        <v>1119</v>
      </c>
      <c r="S15" s="438" t="s">
        <v>1120</v>
      </c>
      <c r="T15" s="438" t="s">
        <v>1121</v>
      </c>
      <c r="U15" s="439" t="s">
        <v>634</v>
      </c>
      <c r="V15" s="438" t="s">
        <v>633</v>
      </c>
      <c r="W15" s="438" t="s">
        <v>632</v>
      </c>
      <c r="X15" s="438" t="s">
        <v>631</v>
      </c>
      <c r="Y15" s="438" t="s">
        <v>907</v>
      </c>
      <c r="Z15" s="446" t="s">
        <v>33</v>
      </c>
      <c r="AA15" s="389"/>
      <c r="AB15" s="389"/>
    </row>
    <row r="16" spans="1:28" s="83" customFormat="1" ht="20.100000000000001" customHeight="1" x14ac:dyDescent="0.25">
      <c r="A16" s="389"/>
      <c r="B16" s="387">
        <v>13</v>
      </c>
      <c r="C16" s="394" t="s">
        <v>33</v>
      </c>
      <c r="D16" s="401" t="s">
        <v>907</v>
      </c>
      <c r="E16" s="396" t="s">
        <v>1141</v>
      </c>
      <c r="F16" s="396" t="s">
        <v>1140</v>
      </c>
      <c r="G16" s="396" t="s">
        <v>1139</v>
      </c>
      <c r="H16" s="397" t="s">
        <v>1138</v>
      </c>
      <c r="I16" s="396" t="s">
        <v>1137</v>
      </c>
      <c r="J16" s="396" t="s">
        <v>1136</v>
      </c>
      <c r="K16" s="396" t="s">
        <v>1135</v>
      </c>
      <c r="L16" s="397" t="s">
        <v>1134</v>
      </c>
      <c r="M16" s="396" t="s">
        <v>1133</v>
      </c>
      <c r="N16" s="415" t="s">
        <v>1132</v>
      </c>
      <c r="O16" s="437" t="s">
        <v>1115</v>
      </c>
      <c r="P16" s="438" t="s">
        <v>1114</v>
      </c>
      <c r="Q16" s="439" t="s">
        <v>1113</v>
      </c>
      <c r="R16" s="438" t="s">
        <v>1112</v>
      </c>
      <c r="S16" s="438" t="s">
        <v>1111</v>
      </c>
      <c r="T16" s="438" t="s">
        <v>1110</v>
      </c>
      <c r="U16" s="439" t="s">
        <v>630</v>
      </c>
      <c r="V16" s="438" t="s">
        <v>629</v>
      </c>
      <c r="W16" s="438" t="s">
        <v>628</v>
      </c>
      <c r="X16" s="438" t="s">
        <v>627</v>
      </c>
      <c r="Y16" s="438" t="s">
        <v>908</v>
      </c>
      <c r="Z16" s="446" t="s">
        <v>32</v>
      </c>
      <c r="AA16" s="389"/>
      <c r="AB16" s="389"/>
    </row>
    <row r="17" spans="1:28" s="83" customFormat="1" ht="20.100000000000001" customHeight="1" x14ac:dyDescent="0.25">
      <c r="A17" s="389"/>
      <c r="B17" s="387">
        <v>14</v>
      </c>
      <c r="C17" s="394" t="s">
        <v>34</v>
      </c>
      <c r="D17" s="401" t="s">
        <v>907</v>
      </c>
      <c r="E17" s="396" t="s">
        <v>1109</v>
      </c>
      <c r="F17" s="396" t="s">
        <v>1108</v>
      </c>
      <c r="G17" s="396" t="s">
        <v>1107</v>
      </c>
      <c r="H17" s="397" t="s">
        <v>1106</v>
      </c>
      <c r="I17" s="396" t="s">
        <v>1105</v>
      </c>
      <c r="J17" s="396" t="s">
        <v>1104</v>
      </c>
      <c r="K17" s="396" t="s">
        <v>1103</v>
      </c>
      <c r="L17" s="397" t="s">
        <v>1102</v>
      </c>
      <c r="M17" s="396" t="s">
        <v>1101</v>
      </c>
      <c r="N17" s="415" t="s">
        <v>1100</v>
      </c>
      <c r="O17" s="437" t="s">
        <v>1083</v>
      </c>
      <c r="P17" s="438" t="s">
        <v>1082</v>
      </c>
      <c r="Q17" s="439" t="s">
        <v>1081</v>
      </c>
      <c r="R17" s="438" t="s">
        <v>1080</v>
      </c>
      <c r="S17" s="438" t="s">
        <v>1079</v>
      </c>
      <c r="T17" s="438" t="s">
        <v>1078</v>
      </c>
      <c r="U17" s="439" t="s">
        <v>626</v>
      </c>
      <c r="V17" s="438" t="s">
        <v>625</v>
      </c>
      <c r="W17" s="438" t="s">
        <v>624</v>
      </c>
      <c r="X17" s="438" t="s">
        <v>623</v>
      </c>
      <c r="Y17" s="438" t="s">
        <v>908</v>
      </c>
      <c r="Z17" s="446" t="s">
        <v>31</v>
      </c>
      <c r="AA17" s="389"/>
      <c r="AB17" s="389"/>
    </row>
    <row r="18" spans="1:28" s="83" customFormat="1" ht="20.100000000000001" customHeight="1" x14ac:dyDescent="0.25">
      <c r="A18" s="389"/>
      <c r="B18" s="387">
        <v>15</v>
      </c>
      <c r="C18" s="394" t="s">
        <v>35</v>
      </c>
      <c r="D18" s="396" t="s">
        <v>1077</v>
      </c>
      <c r="E18" s="396" t="s">
        <v>1076</v>
      </c>
      <c r="F18" s="396" t="s">
        <v>1075</v>
      </c>
      <c r="G18" s="396" t="s">
        <v>1074</v>
      </c>
      <c r="H18" s="397" t="s">
        <v>1073</v>
      </c>
      <c r="I18" s="396" t="s">
        <v>1072</v>
      </c>
      <c r="J18" s="396" t="s">
        <v>1071</v>
      </c>
      <c r="K18" s="396" t="s">
        <v>1070</v>
      </c>
      <c r="L18" s="397" t="s">
        <v>1069</v>
      </c>
      <c r="M18" s="396" t="s">
        <v>1068</v>
      </c>
      <c r="N18" s="415" t="s">
        <v>1067</v>
      </c>
      <c r="O18" s="437" t="s">
        <v>1050</v>
      </c>
      <c r="P18" s="438" t="s">
        <v>1049</v>
      </c>
      <c r="Q18" s="439" t="s">
        <v>1048</v>
      </c>
      <c r="R18" s="438" t="s">
        <v>1047</v>
      </c>
      <c r="S18" s="438" t="s">
        <v>1046</v>
      </c>
      <c r="T18" s="438" t="s">
        <v>1012</v>
      </c>
      <c r="U18" s="439" t="s">
        <v>656</v>
      </c>
      <c r="V18" s="438" t="s">
        <v>655</v>
      </c>
      <c r="W18" s="438" t="s">
        <v>654</v>
      </c>
      <c r="X18" s="438" t="s">
        <v>653</v>
      </c>
      <c r="Y18" s="438" t="s">
        <v>621</v>
      </c>
      <c r="Z18" s="446" t="s">
        <v>30</v>
      </c>
      <c r="AA18" s="389"/>
      <c r="AB18" s="389"/>
    </row>
    <row r="19" spans="1:28" s="83" customFormat="1" ht="20.100000000000001" customHeight="1" thickBot="1" x14ac:dyDescent="0.3">
      <c r="A19" s="389"/>
      <c r="B19" s="387">
        <v>16</v>
      </c>
      <c r="C19" s="402" t="s">
        <v>228</v>
      </c>
      <c r="D19" s="403" t="s">
        <v>1044</v>
      </c>
      <c r="E19" s="403" t="s">
        <v>1043</v>
      </c>
      <c r="F19" s="403" t="s">
        <v>1042</v>
      </c>
      <c r="G19" s="403" t="s">
        <v>1041</v>
      </c>
      <c r="H19" s="404" t="s">
        <v>1040</v>
      </c>
      <c r="I19" s="403" t="s">
        <v>1039</v>
      </c>
      <c r="J19" s="403" t="s">
        <v>1038</v>
      </c>
      <c r="K19" s="403" t="s">
        <v>1037</v>
      </c>
      <c r="L19" s="404" t="s">
        <v>1036</v>
      </c>
      <c r="M19" s="403" t="s">
        <v>1035</v>
      </c>
      <c r="N19" s="416" t="s">
        <v>1034</v>
      </c>
      <c r="O19" s="441" t="s">
        <v>1017</v>
      </c>
      <c r="P19" s="442" t="s">
        <v>1016</v>
      </c>
      <c r="Q19" s="443" t="s">
        <v>1015</v>
      </c>
      <c r="R19" s="442" t="s">
        <v>1014</v>
      </c>
      <c r="S19" s="442" t="s">
        <v>1013</v>
      </c>
      <c r="T19" s="442" t="s">
        <v>1012</v>
      </c>
      <c r="U19" s="443" t="s">
        <v>652</v>
      </c>
      <c r="V19" s="442" t="s">
        <v>651</v>
      </c>
      <c r="W19" s="442" t="s">
        <v>650</v>
      </c>
      <c r="X19" s="442" t="s">
        <v>649</v>
      </c>
      <c r="Y19" s="442" t="s">
        <v>621</v>
      </c>
      <c r="Z19" s="447" t="s">
        <v>29</v>
      </c>
      <c r="AA19" s="389"/>
      <c r="AB19" s="389"/>
    </row>
    <row r="20" spans="1:28" x14ac:dyDescent="0.25">
      <c r="A20" s="42"/>
      <c r="B20" s="388"/>
      <c r="C20" s="42"/>
      <c r="D20" s="42"/>
      <c r="E20" s="42"/>
      <c r="F20" s="42"/>
      <c r="G20" s="42"/>
      <c r="H20" s="42"/>
      <c r="I20" s="42"/>
      <c r="J20" s="42"/>
      <c r="K20" s="42"/>
      <c r="L20" s="42"/>
      <c r="M20" s="42"/>
      <c r="N20" s="42"/>
      <c r="O20" s="42"/>
      <c r="P20" s="42"/>
      <c r="Q20" s="42"/>
      <c r="R20" s="42"/>
      <c r="S20" s="42"/>
      <c r="T20" s="42"/>
      <c r="U20" s="42"/>
      <c r="V20" s="42"/>
      <c r="W20" s="42"/>
      <c r="X20" s="42"/>
      <c r="Y20" s="42"/>
      <c r="Z20" s="42"/>
      <c r="AA20" s="42"/>
      <c r="AB20" s="42"/>
    </row>
    <row r="21" spans="1:28" x14ac:dyDescent="0.25">
      <c r="A21" s="42"/>
      <c r="B21" s="388"/>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row>
    <row r="22" spans="1:28" x14ac:dyDescent="0.25">
      <c r="A22" s="42"/>
      <c r="B22" s="388"/>
      <c r="C22" s="42"/>
      <c r="D22" s="42"/>
      <c r="E22" s="42"/>
      <c r="F22" s="42"/>
      <c r="G22" s="42"/>
      <c r="H22" s="42"/>
      <c r="I22" s="42"/>
      <c r="J22" s="42"/>
      <c r="K22" s="42"/>
      <c r="L22" s="42"/>
      <c r="M22" s="42"/>
      <c r="N22" s="42"/>
      <c r="O22" s="42"/>
      <c r="P22" s="42"/>
      <c r="Q22" s="42"/>
      <c r="R22" s="42"/>
      <c r="S22" s="42"/>
      <c r="T22" s="42"/>
      <c r="U22" s="42"/>
      <c r="V22" s="42"/>
      <c r="W22" s="42"/>
      <c r="X22" s="42"/>
      <c r="Y22" s="42"/>
      <c r="Z22" s="42"/>
      <c r="AA22" s="42"/>
      <c r="AB22" s="42"/>
    </row>
  </sheetData>
  <conditionalFormatting sqref="C4:N11">
    <cfRule type="expression" dxfId="70" priority="40" stopIfTrue="1">
      <formula>NOT(ISERROR(SEARCH("S",C4)))</formula>
    </cfRule>
    <cfRule type="expression" dxfId="69" priority="41" stopIfTrue="1">
      <formula>NOT(ISERROR(SEARCH("Neg",C4)))</formula>
    </cfRule>
    <cfRule type="expression" dxfId="68" priority="42" stopIfTrue="1">
      <formula>NOT(ISERROR(SEARCH("U",C4)))</formula>
    </cfRule>
  </conditionalFormatting>
  <conditionalFormatting sqref="C4:N11">
    <cfRule type="expression" dxfId="67" priority="37" stopIfTrue="1">
      <formula>NOT(ISERROR(SEARCH("S",C4)))</formula>
    </cfRule>
    <cfRule type="expression" dxfId="66" priority="38" stopIfTrue="1">
      <formula>NOT(ISERROR(SEARCH("Neg",C4)))</formula>
    </cfRule>
    <cfRule type="expression" dxfId="65" priority="39" stopIfTrue="1">
      <formula>NOT(ISERROR(SEARCH("U",C4)))</formula>
    </cfRule>
  </conditionalFormatting>
  <conditionalFormatting sqref="O12:Z19">
    <cfRule type="expression" dxfId="64" priority="34" stopIfTrue="1">
      <formula>NOT(ISERROR(SEARCH("S",O12)))</formula>
    </cfRule>
    <cfRule type="expression" dxfId="63" priority="35" stopIfTrue="1">
      <formula>NOT(ISERROR(SEARCH("Neg",O12)))</formula>
    </cfRule>
    <cfRule type="expression" dxfId="62" priority="36" stopIfTrue="1">
      <formula>NOT(ISERROR(SEARCH("U",O12)))</formula>
    </cfRule>
  </conditionalFormatting>
  <conditionalFormatting sqref="O12:Z19">
    <cfRule type="expression" dxfId="61" priority="31" stopIfTrue="1">
      <formula>NOT(ISERROR(SEARCH("S",O12)))</formula>
    </cfRule>
    <cfRule type="expression" dxfId="60" priority="32" stopIfTrue="1">
      <formula>NOT(ISERROR(SEARCH("Neg",O12)))</formula>
    </cfRule>
    <cfRule type="expression" dxfId="59" priority="33" stopIfTrue="1">
      <formula>NOT(ISERROR(SEARCH("U",O12)))</formula>
    </cfRule>
  </conditionalFormatting>
  <conditionalFormatting sqref="C18:D19 C12:C17 E12:N19">
    <cfRule type="expression" dxfId="58" priority="28" stopIfTrue="1">
      <formula>NOT(ISERROR(SEARCH("S",C12)))</formula>
    </cfRule>
    <cfRule type="expression" dxfId="57" priority="29" stopIfTrue="1">
      <formula>NOT(ISERROR(SEARCH("Neg",C12)))</formula>
    </cfRule>
    <cfRule type="expression" dxfId="56" priority="30" stopIfTrue="1">
      <formula>NOT(ISERROR(SEARCH("U",C12)))</formula>
    </cfRule>
  </conditionalFormatting>
  <conditionalFormatting sqref="C18:D19 C12:C17 E12:N19">
    <cfRule type="expression" dxfId="55" priority="25" stopIfTrue="1">
      <formula>NOT(ISERROR(SEARCH("S",C12)))</formula>
    </cfRule>
    <cfRule type="expression" dxfId="54" priority="26" stopIfTrue="1">
      <formula>NOT(ISERROR(SEARCH("Neg",C12)))</formula>
    </cfRule>
    <cfRule type="expression" dxfId="53" priority="27" stopIfTrue="1">
      <formula>NOT(ISERROR(SEARCH("U",C12)))</formula>
    </cfRule>
  </conditionalFormatting>
  <conditionalFormatting sqref="P4:Z5 P6:X11 Z6:Z11">
    <cfRule type="expression" dxfId="52" priority="22" stopIfTrue="1">
      <formula>NOT(ISERROR(SEARCH("S",P4)))</formula>
    </cfRule>
    <cfRule type="expression" dxfId="51" priority="23" stopIfTrue="1">
      <formula>NOT(ISERROR(SEARCH("Neg",P4)))</formula>
    </cfRule>
    <cfRule type="expression" dxfId="50" priority="24" stopIfTrue="1">
      <formula>NOT(ISERROR(SEARCH("U",P4)))</formula>
    </cfRule>
  </conditionalFormatting>
  <conditionalFormatting sqref="P4:Z5 P6:X11 Z6:Z11">
    <cfRule type="expression" dxfId="49" priority="19" stopIfTrue="1">
      <formula>NOT(ISERROR(SEARCH("S",P4)))</formula>
    </cfRule>
    <cfRule type="expression" dxfId="48" priority="20" stopIfTrue="1">
      <formula>NOT(ISERROR(SEARCH("Neg",P4)))</formula>
    </cfRule>
    <cfRule type="expression" dxfId="47" priority="21" stopIfTrue="1">
      <formula>NOT(ISERROR(SEARCH("U",P4)))</formula>
    </cfRule>
  </conditionalFormatting>
  <conditionalFormatting sqref="O4:O11">
    <cfRule type="expression" dxfId="46" priority="16" stopIfTrue="1">
      <formula>NOT(ISERROR(SEARCH("S",O4)))</formula>
    </cfRule>
    <cfRule type="expression" dxfId="45" priority="17" stopIfTrue="1">
      <formula>NOT(ISERROR(SEARCH("Neg",O4)))</formula>
    </cfRule>
    <cfRule type="expression" dxfId="44" priority="18" stopIfTrue="1">
      <formula>NOT(ISERROR(SEARCH("U",O4)))</formula>
    </cfRule>
  </conditionalFormatting>
  <conditionalFormatting sqref="O4:O11">
    <cfRule type="expression" dxfId="43" priority="13" stopIfTrue="1">
      <formula>NOT(ISERROR(SEARCH("S",O4)))</formula>
    </cfRule>
    <cfRule type="expression" dxfId="42" priority="14" stopIfTrue="1">
      <formula>NOT(ISERROR(SEARCH("Neg",O4)))</formula>
    </cfRule>
    <cfRule type="expression" dxfId="41" priority="15" stopIfTrue="1">
      <formula>NOT(ISERROR(SEARCH("U",O4)))</formula>
    </cfRule>
  </conditionalFormatting>
  <conditionalFormatting sqref="D12:D17">
    <cfRule type="expression" dxfId="40" priority="10" stopIfTrue="1">
      <formula>NOT(ISERROR(SEARCH("S",D12)))</formula>
    </cfRule>
    <cfRule type="expression" dxfId="39" priority="11" stopIfTrue="1">
      <formula>NOT(ISERROR(SEARCH("Neg",D12)))</formula>
    </cfRule>
    <cfRule type="expression" dxfId="38" priority="12" stopIfTrue="1">
      <formula>NOT(ISERROR(SEARCH("U",D12)))</formula>
    </cfRule>
  </conditionalFormatting>
  <conditionalFormatting sqref="D12:D17">
    <cfRule type="expression" dxfId="37" priority="7" stopIfTrue="1">
      <formula>NOT(ISERROR(SEARCH("S",D12)))</formula>
    </cfRule>
    <cfRule type="expression" dxfId="36" priority="8" stopIfTrue="1">
      <formula>NOT(ISERROR(SEARCH("Neg",D12)))</formula>
    </cfRule>
    <cfRule type="expression" dxfId="35" priority="9" stopIfTrue="1">
      <formula>NOT(ISERROR(SEARCH("U",D12)))</formula>
    </cfRule>
  </conditionalFormatting>
  <conditionalFormatting sqref="Y6:Y11">
    <cfRule type="expression" dxfId="34" priority="4" stopIfTrue="1">
      <formula>NOT(ISERROR(SEARCH("S",Y6)))</formula>
    </cfRule>
    <cfRule type="expression" dxfId="33" priority="5" stopIfTrue="1">
      <formula>NOT(ISERROR(SEARCH("Neg",Y6)))</formula>
    </cfRule>
    <cfRule type="expression" dxfId="32" priority="6" stopIfTrue="1">
      <formula>NOT(ISERROR(SEARCH("U",Y6)))</formula>
    </cfRule>
  </conditionalFormatting>
  <conditionalFormatting sqref="Y6:Y11">
    <cfRule type="expression" dxfId="31" priority="1" stopIfTrue="1">
      <formula>NOT(ISERROR(SEARCH("S",Y6)))</formula>
    </cfRule>
    <cfRule type="expression" dxfId="30" priority="2" stopIfTrue="1">
      <formula>NOT(ISERROR(SEARCH("Neg",Y6)))</formula>
    </cfRule>
    <cfRule type="expression" dxfId="29" priority="3" stopIfTrue="1">
      <formula>NOT(ISERROR(SEARCH("U",Y6)))</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AI167"/>
  <sheetViews>
    <sheetView zoomScale="60" zoomScaleNormal="60" workbookViewId="0">
      <selection activeCell="V5" sqref="V5"/>
    </sheetView>
  </sheetViews>
  <sheetFormatPr defaultColWidth="9.140625" defaultRowHeight="15" x14ac:dyDescent="0.25"/>
  <cols>
    <col min="1" max="1" width="14.42578125" style="122" bestFit="1" customWidth="1"/>
    <col min="2" max="2" width="15.140625" style="122" bestFit="1" customWidth="1"/>
    <col min="3" max="3" width="17.42578125" style="122" customWidth="1"/>
    <col min="4" max="4" width="13.85546875" style="122" customWidth="1"/>
    <col min="5" max="5" width="13.28515625" style="122" customWidth="1"/>
    <col min="6" max="6" width="17.140625" style="122" customWidth="1"/>
    <col min="7" max="7" width="16.28515625" style="122" customWidth="1"/>
    <col min="8" max="8" width="18.28515625" style="122" customWidth="1"/>
    <col min="9" max="9" width="17.7109375" style="122" customWidth="1"/>
    <col min="10" max="10" width="16.28515625" style="122" customWidth="1"/>
    <col min="11" max="11" width="19.42578125" style="122" customWidth="1"/>
    <col min="12" max="12" width="17.5703125" style="122" customWidth="1"/>
    <col min="13" max="13" width="18.85546875" style="122" customWidth="1"/>
    <col min="14" max="14" width="16.85546875" style="122" customWidth="1"/>
    <col min="15" max="15" width="17.140625" style="122" customWidth="1"/>
    <col min="16" max="16" width="29.28515625" style="199" customWidth="1"/>
    <col min="17" max="17" width="16.5703125" style="122" customWidth="1"/>
    <col min="18" max="18" width="15.7109375" style="122" bestFit="1" customWidth="1"/>
    <col min="19" max="19" width="15.140625" style="122" customWidth="1"/>
    <col min="20" max="22" width="13" style="122" bestFit="1" customWidth="1"/>
    <col min="23" max="23" width="9.140625" style="122"/>
    <col min="24" max="24" width="22" style="122" bestFit="1" customWidth="1"/>
    <col min="25" max="25" width="25.140625" style="122" customWidth="1"/>
    <col min="26" max="26" width="15.42578125" style="122" customWidth="1"/>
    <col min="27" max="28" width="9.140625" style="122"/>
    <col min="29" max="29" width="12.5703125" style="122" bestFit="1" customWidth="1"/>
    <col min="30" max="30" width="11.28515625" style="122" customWidth="1"/>
    <col min="31" max="31" width="9.5703125" style="122" bestFit="1" customWidth="1"/>
    <col min="32" max="16384" width="9.140625" style="122"/>
  </cols>
  <sheetData>
    <row r="1" spans="1:35" x14ac:dyDescent="0.25">
      <c r="A1" s="27" t="s">
        <v>695</v>
      </c>
      <c r="B1" s="813" t="str">
        <f>Data!C1</f>
        <v>GDF-15</v>
      </c>
      <c r="C1" s="813"/>
      <c r="D1" s="427"/>
      <c r="P1" s="607"/>
    </row>
    <row r="2" spans="1:35" x14ac:dyDescent="0.25">
      <c r="A2" s="164" t="s">
        <v>677</v>
      </c>
      <c r="B2" s="504">
        <f>Data!C5</f>
        <v>10</v>
      </c>
      <c r="C2" s="427"/>
      <c r="D2" s="26"/>
      <c r="M2" s="503" t="s">
        <v>1337</v>
      </c>
      <c r="P2" s="607"/>
    </row>
    <row r="3" spans="1:35" ht="47.25" customHeight="1" x14ac:dyDescent="0.25">
      <c r="A3" s="486" t="s">
        <v>678</v>
      </c>
      <c r="B3" s="486" t="s">
        <v>679</v>
      </c>
      <c r="C3" s="486" t="s">
        <v>680</v>
      </c>
      <c r="D3" s="486" t="s">
        <v>700</v>
      </c>
      <c r="E3" s="487" t="s">
        <v>681</v>
      </c>
      <c r="F3" s="487" t="s">
        <v>682</v>
      </c>
      <c r="G3" s="487" t="s">
        <v>683</v>
      </c>
      <c r="H3" s="487" t="s">
        <v>684</v>
      </c>
      <c r="I3" s="488" t="s">
        <v>679</v>
      </c>
      <c r="J3" s="488" t="s">
        <v>680</v>
      </c>
      <c r="K3" s="488" t="s">
        <v>700</v>
      </c>
      <c r="L3" s="487" t="str">
        <f>Data!I4</f>
        <v>pg/mL</v>
      </c>
      <c r="M3" s="487" t="str">
        <f>Data!I4</f>
        <v>pg/mL</v>
      </c>
      <c r="N3" s="487" t="s">
        <v>661</v>
      </c>
      <c r="O3" s="487" t="s">
        <v>607</v>
      </c>
      <c r="P3" s="608" t="s">
        <v>685</v>
      </c>
      <c r="Q3" s="613" t="s">
        <v>52</v>
      </c>
      <c r="R3" s="613" t="s">
        <v>1373</v>
      </c>
      <c r="S3" s="614" t="s">
        <v>1374</v>
      </c>
      <c r="U3" s="520" t="s">
        <v>686</v>
      </c>
      <c r="V3" s="521">
        <f>Data!C3</f>
        <v>164</v>
      </c>
      <c r="X3" s="83"/>
    </row>
    <row r="4" spans="1:35" ht="15.75" x14ac:dyDescent="0.25">
      <c r="A4" s="489" t="s">
        <v>639</v>
      </c>
      <c r="B4" s="191" t="str">
        <f>Imported_Template!B2</f>
        <v>07-026</v>
      </c>
      <c r="C4" s="191" t="str">
        <f>Imported_Template!C2</f>
        <v>B</v>
      </c>
      <c r="D4" s="191" t="str">
        <f>Imported_Template!D2</f>
        <v>1A</v>
      </c>
      <c r="E4" s="145">
        <f>Data!C42</f>
        <v>79.545511883471917</v>
      </c>
      <c r="F4" s="145">
        <f>Data!X37</f>
        <v>76.716745628395117</v>
      </c>
      <c r="G4" s="145">
        <f>E4*$B$2</f>
        <v>795.4551188347192</v>
      </c>
      <c r="H4" s="145">
        <f>F4*$B$2</f>
        <v>767.1674562839512</v>
      </c>
      <c r="I4" s="192" t="str">
        <f>B4</f>
        <v>07-026</v>
      </c>
      <c r="J4" s="177" t="str">
        <f t="shared" ref="J4:K19" si="0">C4</f>
        <v>B</v>
      </c>
      <c r="K4" s="177" t="str">
        <f t="shared" si="0"/>
        <v>1A</v>
      </c>
      <c r="L4" s="145">
        <f>AVERAGE(G4:H4)</f>
        <v>781.31128755933514</v>
      </c>
      <c r="M4" s="145">
        <f>IF(L4&lt;$Y$17,$Y$17, IF(L4&gt;$Y$18,$Y$18,L4))</f>
        <v>781.31128755933514</v>
      </c>
      <c r="N4" s="145">
        <f>STDEV(G4:H4)</f>
        <v>20.002398013564807</v>
      </c>
      <c r="O4" s="145">
        <f>(N4/L4)*100</f>
        <v>2.5601061103377143</v>
      </c>
      <c r="P4" s="606">
        <v>1</v>
      </c>
      <c r="Q4" s="610" t="str">
        <f>Report!A44</f>
        <v>U4</v>
      </c>
      <c r="R4" s="611">
        <f>Report!H44</f>
        <v>2.5601061103376871E-2</v>
      </c>
      <c r="S4" s="612">
        <f>O4/R4</f>
        <v>100.00000000000107</v>
      </c>
      <c r="U4" s="27" t="s">
        <v>687</v>
      </c>
      <c r="V4" s="27" t="s">
        <v>667</v>
      </c>
      <c r="W4" s="27" t="s">
        <v>688</v>
      </c>
      <c r="X4" s="27" t="s">
        <v>598</v>
      </c>
      <c r="Y4" s="27" t="s">
        <v>599</v>
      </c>
      <c r="Z4" s="26"/>
      <c r="AA4" s="26"/>
      <c r="AB4" s="26"/>
      <c r="AC4" s="26"/>
      <c r="AD4" s="26"/>
      <c r="AE4" s="26"/>
      <c r="AF4" s="812"/>
      <c r="AG4" s="812"/>
      <c r="AH4" s="812"/>
      <c r="AI4" s="812"/>
    </row>
    <row r="5" spans="1:35" ht="15.75" x14ac:dyDescent="0.25">
      <c r="A5" s="489" t="s">
        <v>644</v>
      </c>
      <c r="B5" s="191" t="str">
        <f>Imported_Template!B3</f>
        <v>07-027</v>
      </c>
      <c r="C5" s="191" t="str">
        <f>Imported_Template!C3</f>
        <v>B</v>
      </c>
      <c r="D5" s="191" t="str">
        <f>Imported_Template!D3</f>
        <v>1B</v>
      </c>
      <c r="E5" s="145">
        <f>Data!C43</f>
        <v>71.825280444937235</v>
      </c>
      <c r="F5" s="145">
        <f>Data!X36</f>
        <v>73.600941977502472</v>
      </c>
      <c r="G5" s="145">
        <f t="shared" ref="G5:H11" si="1">E5*$B$2</f>
        <v>718.25280444937232</v>
      </c>
      <c r="H5" s="145">
        <f t="shared" si="1"/>
        <v>736.00941977502475</v>
      </c>
      <c r="I5" s="177" t="str">
        <f t="shared" ref="I5:K37" si="2">B5</f>
        <v>07-027</v>
      </c>
      <c r="J5" s="177" t="str">
        <f t="shared" si="0"/>
        <v>B</v>
      </c>
      <c r="K5" s="177" t="str">
        <f t="shared" si="0"/>
        <v>1B</v>
      </c>
      <c r="L5" s="145">
        <f t="shared" ref="L5:L68" si="3">AVERAGE(G5:H5)</f>
        <v>727.13111211219848</v>
      </c>
      <c r="M5" s="145">
        <f t="shared" ref="M5:M68" si="4">IF(L5&lt;$Y$17,$Y$17, IF(L5&gt;$Y$18,$Y$18,L5))</f>
        <v>727.13111211219848</v>
      </c>
      <c r="N5" s="145">
        <f t="shared" ref="N5:N68" si="5">STDEV(G5:H5)</f>
        <v>12.555823107689811</v>
      </c>
      <c r="O5" s="145">
        <f t="shared" ref="O5:O68" si="6">(N5/L5)*100</f>
        <v>1.7267619138475827</v>
      </c>
      <c r="P5" s="606">
        <v>2</v>
      </c>
      <c r="Q5" s="610" t="str">
        <f>Report!A45</f>
        <v>U5</v>
      </c>
      <c r="R5" s="611">
        <f>Report!H45</f>
        <v>1.7267619138475774E-2</v>
      </c>
      <c r="S5" s="612">
        <f t="shared" ref="S5:S60" si="7">O5/R5</f>
        <v>100.00000000000031</v>
      </c>
      <c r="U5" s="27" t="str">
        <f>L3</f>
        <v>pg/mL</v>
      </c>
      <c r="V5" s="519">
        <f t="array" ref="V5">AVERAGE(IF(ISNUMBER(L4:L167),L4:L167))</f>
        <v>548.32703223913347</v>
      </c>
      <c r="W5" s="519">
        <f t="array" ref="W5">MEDIAN(IF(ISNUMBER(L4:L167),L4:L167))</f>
        <v>617.51424385351061</v>
      </c>
      <c r="X5" s="519">
        <f t="array" ref="X5">MIN(IF(ISNUMBER(L4:L167),L4:L167))</f>
        <v>0.16552427638263878</v>
      </c>
      <c r="Y5" s="519">
        <f t="array" ref="Y5">MAX(IF(ISNUMBER(L4:L167),L4:L167))</f>
        <v>969.04705681010796</v>
      </c>
      <c r="Z5" s="173"/>
      <c r="AA5" s="515"/>
      <c r="AB5" s="26"/>
      <c r="AC5" s="26"/>
      <c r="AD5" s="26"/>
      <c r="AE5" s="26"/>
      <c r="AF5" s="26"/>
      <c r="AG5" s="26"/>
      <c r="AH5" s="26"/>
      <c r="AI5" s="26"/>
    </row>
    <row r="6" spans="1:35" ht="15.75" x14ac:dyDescent="0.25">
      <c r="A6" s="489" t="s">
        <v>649</v>
      </c>
      <c r="B6" s="191" t="str">
        <f>Imported_Template!B4</f>
        <v>08-002</v>
      </c>
      <c r="C6" s="191" t="str">
        <f>Imported_Template!C4</f>
        <v>B</v>
      </c>
      <c r="D6" s="191" t="str">
        <f>Imported_Template!D4</f>
        <v>2A</v>
      </c>
      <c r="E6" s="145">
        <f>Data!D36</f>
        <v>31.921253513763681</v>
      </c>
      <c r="F6" s="145">
        <f>Data!W43</f>
        <v>33.654994341217979</v>
      </c>
      <c r="G6" s="145">
        <f>E6*$B$2</f>
        <v>319.21253513763679</v>
      </c>
      <c r="H6" s="145">
        <f t="shared" si="1"/>
        <v>336.5499434121798</v>
      </c>
      <c r="I6" s="177" t="str">
        <f t="shared" si="2"/>
        <v>08-002</v>
      </c>
      <c r="J6" s="177" t="str">
        <f t="shared" si="0"/>
        <v>B</v>
      </c>
      <c r="K6" s="177" t="str">
        <f t="shared" si="0"/>
        <v>2A</v>
      </c>
      <c r="L6" s="145">
        <f t="shared" si="3"/>
        <v>327.8812392749083</v>
      </c>
      <c r="M6" s="145">
        <f t="shared" si="4"/>
        <v>327.8812392749083</v>
      </c>
      <c r="N6" s="145">
        <f t="shared" si="5"/>
        <v>12.259398959129122</v>
      </c>
      <c r="O6" s="145">
        <f t="shared" si="6"/>
        <v>3.7389754248337361</v>
      </c>
      <c r="P6" s="606">
        <v>3</v>
      </c>
      <c r="Q6" s="610" t="str">
        <f>Report!A46</f>
        <v>U6</v>
      </c>
      <c r="R6" s="611">
        <f>Report!H46</f>
        <v>3.7389754248337008E-2</v>
      </c>
      <c r="S6" s="612">
        <f t="shared" si="7"/>
        <v>100.00000000000094</v>
      </c>
      <c r="U6" s="27" t="s">
        <v>670</v>
      </c>
      <c r="V6" s="145">
        <f t="array" ref="V6">STDEV(IF(ISNUMBER(N4:N167),N4:N167))</f>
        <v>17.715234811725132</v>
      </c>
      <c r="W6" s="145">
        <f t="array" ref="W6">MEDIAN(IF(ISNUMBER(N4:N167),N4:N167))</f>
        <v>11.785139282020372</v>
      </c>
      <c r="X6" s="145">
        <f t="array" ref="X6">MIN(IF(ISNUMBER(N4:N167),N4:N167))</f>
        <v>0</v>
      </c>
      <c r="Y6" s="145">
        <f t="array" ref="Y6">MAX(IF(ISNUMBER(N4:N167),N4:N167))</f>
        <v>109.65082924583581</v>
      </c>
      <c r="Z6" s="173"/>
      <c r="AA6" s="517"/>
      <c r="AB6" s="169"/>
      <c r="AC6" s="169"/>
      <c r="AD6" s="169"/>
      <c r="AE6" s="169"/>
      <c r="AF6" s="169"/>
      <c r="AG6" s="26"/>
      <c r="AH6" s="26"/>
      <c r="AI6" s="26"/>
    </row>
    <row r="7" spans="1:35" ht="15.75" x14ac:dyDescent="0.25">
      <c r="A7" s="489" t="s">
        <v>653</v>
      </c>
      <c r="B7" s="191" t="str">
        <f>Imported_Template!B5</f>
        <v>08-003</v>
      </c>
      <c r="C7" s="191" t="str">
        <f>Imported_Template!C5</f>
        <v>B</v>
      </c>
      <c r="D7" s="191" t="str">
        <f>Imported_Template!D5</f>
        <v>2B</v>
      </c>
      <c r="E7" s="145">
        <f>Data!D37</f>
        <v>78.949188599957125</v>
      </c>
      <c r="F7" s="145">
        <f>Data!W42</f>
        <v>75.825395039168697</v>
      </c>
      <c r="G7" s="145">
        <f t="shared" si="1"/>
        <v>789.4918859995712</v>
      </c>
      <c r="H7" s="145">
        <f t="shared" si="1"/>
        <v>758.253950391687</v>
      </c>
      <c r="I7" s="177" t="str">
        <f t="shared" si="2"/>
        <v>08-003</v>
      </c>
      <c r="J7" s="177" t="str">
        <f t="shared" si="0"/>
        <v>B</v>
      </c>
      <c r="K7" s="177" t="str">
        <f t="shared" si="0"/>
        <v>2B</v>
      </c>
      <c r="L7" s="145">
        <f t="shared" si="3"/>
        <v>773.87291819562915</v>
      </c>
      <c r="M7" s="145">
        <f t="shared" si="4"/>
        <v>773.87291819562915</v>
      </c>
      <c r="N7" s="145">
        <f t="shared" si="5"/>
        <v>22.088556098603632</v>
      </c>
      <c r="O7" s="145">
        <f t="shared" si="6"/>
        <v>2.8542872581851757</v>
      </c>
      <c r="P7" s="606">
        <v>4</v>
      </c>
      <c r="Q7" s="610" t="str">
        <f>Report!A47</f>
        <v>U7</v>
      </c>
      <c r="R7" s="611">
        <f>Report!H47</f>
        <v>2.8542872581851828E-2</v>
      </c>
      <c r="S7" s="612">
        <f t="shared" si="7"/>
        <v>99.999999999999758</v>
      </c>
      <c r="U7" s="27" t="s">
        <v>607</v>
      </c>
      <c r="V7" s="145">
        <f t="array" ref="V7">AVERAGE(IF(ISNUMBER(O4:O167),O4:O167))</f>
        <v>6.7929692771822499</v>
      </c>
      <c r="W7" s="145">
        <f t="array" ref="W7">MEDIAN(IF(ISNUMBER(O4:O167),O4:O167))</f>
        <v>2.5788534893983988</v>
      </c>
      <c r="X7" s="145">
        <f t="array" ref="X7">MIN(IF(ISNUMBER(O4:O167),O4:O167))</f>
        <v>0</v>
      </c>
      <c r="Y7" s="145">
        <f t="array" ref="Y7">MAX(IF(ISNUMBER(O4:O167),O4:O167))</f>
        <v>137.25080347640161</v>
      </c>
      <c r="Z7" s="173"/>
      <c r="AA7" s="517"/>
      <c r="AB7" s="169"/>
      <c r="AC7" s="169"/>
      <c r="AD7" s="169"/>
      <c r="AE7" s="169"/>
      <c r="AF7" s="26"/>
      <c r="AG7" s="26"/>
      <c r="AH7" s="26"/>
      <c r="AI7" s="26"/>
    </row>
    <row r="8" spans="1:35" ht="15.75" x14ac:dyDescent="0.25">
      <c r="A8" s="489" t="s">
        <v>623</v>
      </c>
      <c r="B8" s="191" t="str">
        <f>Imported_Template!B6</f>
        <v>08-005</v>
      </c>
      <c r="C8" s="191" t="str">
        <f>Imported_Template!C6</f>
        <v>B</v>
      </c>
      <c r="D8" s="191" t="str">
        <f>Imported_Template!D6</f>
        <v>2C</v>
      </c>
      <c r="E8" s="145">
        <f>Data!D38</f>
        <v>72.41679160154554</v>
      </c>
      <c r="F8" s="145">
        <f>Data!W41</f>
        <v>71.234138876485659</v>
      </c>
      <c r="G8" s="145">
        <f t="shared" si="1"/>
        <v>724.16791601545538</v>
      </c>
      <c r="H8" s="145">
        <f t="shared" si="1"/>
        <v>712.34138876485656</v>
      </c>
      <c r="I8" s="177" t="str">
        <f t="shared" si="2"/>
        <v>08-005</v>
      </c>
      <c r="J8" s="177" t="str">
        <f t="shared" si="0"/>
        <v>B</v>
      </c>
      <c r="K8" s="177" t="str">
        <f t="shared" si="0"/>
        <v>2C</v>
      </c>
      <c r="L8" s="145">
        <f t="shared" si="3"/>
        <v>718.25465239015602</v>
      </c>
      <c r="M8" s="145">
        <f t="shared" si="4"/>
        <v>718.25465239015602</v>
      </c>
      <c r="N8" s="145">
        <f t="shared" si="5"/>
        <v>8.3626176167859185</v>
      </c>
      <c r="O8" s="145">
        <f t="shared" si="6"/>
        <v>1.1642970343397572</v>
      </c>
      <c r="P8" s="606">
        <v>5</v>
      </c>
      <c r="Q8" s="610" t="str">
        <f>Report!A48</f>
        <v>U8</v>
      </c>
      <c r="R8" s="611">
        <f>Report!H48</f>
        <v>1.1642970343397712E-2</v>
      </c>
      <c r="S8" s="612">
        <f t="shared" si="7"/>
        <v>99.999999999998792</v>
      </c>
      <c r="U8" s="27"/>
      <c r="V8" s="27" t="s">
        <v>689</v>
      </c>
      <c r="W8" s="164" t="s">
        <v>690</v>
      </c>
      <c r="X8" s="1"/>
      <c r="Y8" s="1"/>
      <c r="Z8" s="169"/>
      <c r="AA8" s="169"/>
      <c r="AB8" s="169"/>
      <c r="AC8" s="169"/>
      <c r="AD8" s="169"/>
      <c r="AE8" s="169"/>
      <c r="AF8" s="26"/>
      <c r="AG8" s="26"/>
      <c r="AH8" s="26"/>
      <c r="AI8" s="26"/>
    </row>
    <row r="9" spans="1:35" ht="15.75" x14ac:dyDescent="0.25">
      <c r="A9" s="489" t="s">
        <v>627</v>
      </c>
      <c r="B9" s="191" t="str">
        <f>Imported_Template!B7</f>
        <v>08-006</v>
      </c>
      <c r="C9" s="191" t="str">
        <f>Imported_Template!C7</f>
        <v>B</v>
      </c>
      <c r="D9" s="191" t="str">
        <f>Imported_Template!D7</f>
        <v>2D</v>
      </c>
      <c r="E9" s="145">
        <f>Data!D39</f>
        <v>71.086410667312975</v>
      </c>
      <c r="F9" s="145">
        <f>Data!W40</f>
        <v>71.086410667312975</v>
      </c>
      <c r="G9" s="145">
        <f t="shared" si="1"/>
        <v>710.86410667312975</v>
      </c>
      <c r="H9" s="145">
        <f t="shared" si="1"/>
        <v>710.86410667312975</v>
      </c>
      <c r="I9" s="177" t="str">
        <f t="shared" si="2"/>
        <v>08-006</v>
      </c>
      <c r="J9" s="177" t="str">
        <f t="shared" si="0"/>
        <v>B</v>
      </c>
      <c r="K9" s="177" t="str">
        <f t="shared" si="0"/>
        <v>2D</v>
      </c>
      <c r="L9" s="145">
        <f t="shared" si="3"/>
        <v>710.86410667312975</v>
      </c>
      <c r="M9" s="145">
        <f t="shared" si="4"/>
        <v>710.86410667312975</v>
      </c>
      <c r="N9" s="145">
        <f t="shared" si="5"/>
        <v>0</v>
      </c>
      <c r="O9" s="145">
        <f t="shared" si="6"/>
        <v>0</v>
      </c>
      <c r="P9" s="606">
        <v>6</v>
      </c>
      <c r="Q9" s="610" t="str">
        <f>Report!A49</f>
        <v>U9</v>
      </c>
      <c r="R9" s="611">
        <f>Report!H49</f>
        <v>0</v>
      </c>
      <c r="S9" s="612" t="e">
        <f t="shared" si="7"/>
        <v>#DIV/0!</v>
      </c>
      <c r="U9" s="27" t="s">
        <v>691</v>
      </c>
      <c r="V9" s="27">
        <f>COUNTIF(O4:O167, "&lt;=10")</f>
        <v>112</v>
      </c>
      <c r="W9" s="145">
        <f>(V9/V3)*100</f>
        <v>68.292682926829272</v>
      </c>
      <c r="X9" s="1"/>
      <c r="Y9" s="1"/>
      <c r="Z9" s="169"/>
      <c r="AA9" s="169"/>
      <c r="AB9" s="169"/>
      <c r="AC9" s="169"/>
      <c r="AD9" s="169"/>
      <c r="AE9" s="169"/>
      <c r="AF9" s="26"/>
      <c r="AG9" s="26"/>
      <c r="AH9" s="26"/>
      <c r="AI9" s="26"/>
    </row>
    <row r="10" spans="1:35" ht="15.75" x14ac:dyDescent="0.25">
      <c r="A10" s="489" t="s">
        <v>631</v>
      </c>
      <c r="B10" s="191" t="str">
        <f>Imported_Template!B8</f>
        <v>08-007</v>
      </c>
      <c r="C10" s="191" t="str">
        <f>Imported_Template!C8</f>
        <v>B</v>
      </c>
      <c r="D10" s="191" t="str">
        <f>Imported_Template!D8</f>
        <v>2E</v>
      </c>
      <c r="E10" s="145">
        <f>Data!D40</f>
        <v>72.120989523245854</v>
      </c>
      <c r="F10" s="145">
        <f>Data!W39</f>
        <v>74.341813645178917</v>
      </c>
      <c r="G10" s="145">
        <f t="shared" si="1"/>
        <v>721.20989523245851</v>
      </c>
      <c r="H10" s="145">
        <f t="shared" si="1"/>
        <v>743.41813645178922</v>
      </c>
      <c r="I10" s="177" t="str">
        <f t="shared" si="2"/>
        <v>08-007</v>
      </c>
      <c r="J10" s="177" t="str">
        <f t="shared" si="0"/>
        <v>B</v>
      </c>
      <c r="K10" s="177" t="str">
        <f t="shared" si="0"/>
        <v>2E</v>
      </c>
      <c r="L10" s="145">
        <f t="shared" si="3"/>
        <v>732.31401584212381</v>
      </c>
      <c r="M10" s="145">
        <f t="shared" si="4"/>
        <v>732.31401584212381</v>
      </c>
      <c r="N10" s="145">
        <f t="shared" si="5"/>
        <v>15.70359796441535</v>
      </c>
      <c r="O10" s="145">
        <f t="shared" si="6"/>
        <v>2.1443803648025241</v>
      </c>
      <c r="P10" s="606">
        <v>7</v>
      </c>
      <c r="Q10" s="610" t="str">
        <f>Report!A50</f>
        <v>U10</v>
      </c>
      <c r="R10" s="611">
        <f>Report!H50</f>
        <v>2.1443803648025294E-2</v>
      </c>
      <c r="S10" s="612">
        <f t="shared" si="7"/>
        <v>99.999999999999758</v>
      </c>
      <c r="U10" s="27" t="s">
        <v>692</v>
      </c>
      <c r="V10" s="27">
        <f>(V3-V9-V11-V12)</f>
        <v>47</v>
      </c>
      <c r="W10" s="145">
        <f>(V10/V3)*100</f>
        <v>28.658536585365852</v>
      </c>
      <c r="X10" s="1"/>
      <c r="Y10" s="1"/>
      <c r="Z10" s="169"/>
      <c r="AA10" s="169"/>
      <c r="AB10" s="169"/>
      <c r="AC10" s="169"/>
      <c r="AD10" s="169"/>
      <c r="AE10" s="169"/>
      <c r="AF10" s="26"/>
      <c r="AG10" s="26"/>
      <c r="AH10" s="26"/>
      <c r="AI10" s="26"/>
    </row>
    <row r="11" spans="1:35" ht="15.75" x14ac:dyDescent="0.25">
      <c r="A11" s="489" t="s">
        <v>635</v>
      </c>
      <c r="B11" s="191" t="str">
        <f>Imported_Template!B9</f>
        <v>08-011</v>
      </c>
      <c r="C11" s="191" t="str">
        <f>Imported_Template!C9</f>
        <v>B</v>
      </c>
      <c r="D11" s="191" t="str">
        <f>Imported_Template!D9</f>
        <v>2F</v>
      </c>
      <c r="E11" s="145">
        <f>Data!D41</f>
        <v>74.045392362002403</v>
      </c>
      <c r="F11" s="145">
        <f>Data!W38</f>
        <v>76.122410545870508</v>
      </c>
      <c r="G11" s="145">
        <f t="shared" si="1"/>
        <v>740.45392362002406</v>
      </c>
      <c r="H11" s="145">
        <f t="shared" si="1"/>
        <v>761.22410545870503</v>
      </c>
      <c r="I11" s="177" t="str">
        <f t="shared" si="2"/>
        <v>08-011</v>
      </c>
      <c r="J11" s="177" t="str">
        <f t="shared" si="0"/>
        <v>B</v>
      </c>
      <c r="K11" s="177" t="str">
        <f t="shared" si="0"/>
        <v>2F</v>
      </c>
      <c r="L11" s="145">
        <f t="shared" si="3"/>
        <v>750.8390145393646</v>
      </c>
      <c r="M11" s="145">
        <f t="shared" si="4"/>
        <v>750.8390145393646</v>
      </c>
      <c r="N11" s="145">
        <f t="shared" si="5"/>
        <v>14.686736424608988</v>
      </c>
      <c r="O11" s="145">
        <f t="shared" si="6"/>
        <v>1.9560433248955793</v>
      </c>
      <c r="P11" s="606">
        <v>8</v>
      </c>
      <c r="Q11" s="610" t="str">
        <f>Report!A51</f>
        <v>U11</v>
      </c>
      <c r="R11" s="611">
        <f>Report!H51</f>
        <v>1.956043324895573E-2</v>
      </c>
      <c r="S11" s="612">
        <f t="shared" si="7"/>
        <v>100.00000000000033</v>
      </c>
      <c r="U11" s="27" t="s">
        <v>693</v>
      </c>
      <c r="V11" s="27">
        <f>COUNTIF(O4:O167, "&gt;20")</f>
        <v>5</v>
      </c>
      <c r="W11" s="145">
        <f>(V11/V3)*100</f>
        <v>3.0487804878048781</v>
      </c>
      <c r="X11" s="1"/>
      <c r="Y11" s="1"/>
      <c r="Z11" s="169"/>
      <c r="AA11" s="169"/>
      <c r="AB11" s="169"/>
      <c r="AC11" s="169"/>
      <c r="AD11" s="169"/>
      <c r="AE11" s="169"/>
      <c r="AF11" s="169"/>
      <c r="AG11" s="26"/>
      <c r="AH11" s="26"/>
      <c r="AI11" s="26"/>
    </row>
    <row r="12" spans="1:35" ht="15.75" x14ac:dyDescent="0.25">
      <c r="A12" s="489" t="s">
        <v>640</v>
      </c>
      <c r="B12" s="191" t="str">
        <f>Imported_Template!B10</f>
        <v>08-014</v>
      </c>
      <c r="C12" s="191" t="str">
        <f>Imported_Template!C10</f>
        <v>B</v>
      </c>
      <c r="D12" s="191" t="str">
        <f>Imported_Template!D10</f>
        <v>2G</v>
      </c>
      <c r="E12" s="145">
        <f>Data!D42</f>
        <v>74.786628620168315</v>
      </c>
      <c r="F12" s="145">
        <f>Data!W37</f>
        <v>75.231665068185848</v>
      </c>
      <c r="G12" s="145">
        <f>E12*$B$2</f>
        <v>747.86628620168312</v>
      </c>
      <c r="H12" s="145">
        <f>F12*$B$2</f>
        <v>752.3166506818585</v>
      </c>
      <c r="I12" s="177" t="str">
        <f t="shared" si="2"/>
        <v>08-014</v>
      </c>
      <c r="J12" s="177" t="str">
        <f t="shared" si="0"/>
        <v>B</v>
      </c>
      <c r="K12" s="177" t="str">
        <f t="shared" si="0"/>
        <v>2G</v>
      </c>
      <c r="L12" s="145">
        <f t="shared" si="3"/>
        <v>750.09146844177076</v>
      </c>
      <c r="M12" s="145">
        <f t="shared" si="4"/>
        <v>750.09146844177076</v>
      </c>
      <c r="N12" s="145">
        <f t="shared" si="5"/>
        <v>3.1468829026837564</v>
      </c>
      <c r="O12" s="145">
        <f t="shared" si="6"/>
        <v>0.41953322162443013</v>
      </c>
      <c r="P12" s="606">
        <v>9</v>
      </c>
      <c r="Q12" s="610" t="str">
        <f>Report!A52</f>
        <v>U12</v>
      </c>
      <c r="R12" s="611">
        <f>Report!H52</f>
        <v>4.1953322162443804E-3</v>
      </c>
      <c r="S12" s="612">
        <f t="shared" si="7"/>
        <v>99.99999999999811</v>
      </c>
      <c r="U12" s="163" t="s">
        <v>694</v>
      </c>
      <c r="V12" s="161">
        <f>COUNTBLANK(O4:O37)</f>
        <v>0</v>
      </c>
      <c r="W12" s="145">
        <f>(V12/V3)*100</f>
        <v>0</v>
      </c>
      <c r="Z12" s="517"/>
      <c r="AA12" s="169"/>
      <c r="AB12" s="169"/>
      <c r="AC12" s="169"/>
      <c r="AD12" s="169"/>
      <c r="AE12" s="169"/>
      <c r="AF12" s="26"/>
      <c r="AG12" s="26"/>
      <c r="AH12" s="26"/>
      <c r="AI12" s="26"/>
    </row>
    <row r="13" spans="1:35" ht="15.75" x14ac:dyDescent="0.25">
      <c r="A13" s="489" t="s">
        <v>645</v>
      </c>
      <c r="B13" s="191" t="str">
        <f>Imported_Template!B11</f>
        <v>08-017</v>
      </c>
      <c r="C13" s="191" t="str">
        <f>Imported_Template!C11</f>
        <v>B</v>
      </c>
      <c r="D13" s="191" t="str">
        <f>Imported_Template!D11</f>
        <v>2H</v>
      </c>
      <c r="E13" s="145">
        <f>Data!D43</f>
        <v>75.528480081633546</v>
      </c>
      <c r="F13" s="145">
        <f>Data!W36</f>
        <v>78.949188599957139</v>
      </c>
      <c r="G13" s="145">
        <f t="shared" ref="G13:H19" si="8">E13*$B$2</f>
        <v>755.28480081633552</v>
      </c>
      <c r="H13" s="145">
        <f t="shared" si="8"/>
        <v>789.49188599957142</v>
      </c>
      <c r="I13" s="177" t="str">
        <f t="shared" si="2"/>
        <v>08-017</v>
      </c>
      <c r="J13" s="177" t="str">
        <f t="shared" si="0"/>
        <v>B</v>
      </c>
      <c r="K13" s="177" t="str">
        <f t="shared" si="0"/>
        <v>2H</v>
      </c>
      <c r="L13" s="145">
        <f t="shared" si="3"/>
        <v>772.38834340795347</v>
      </c>
      <c r="M13" s="145">
        <f t="shared" si="4"/>
        <v>772.38834340795347</v>
      </c>
      <c r="N13" s="145">
        <f t="shared" si="5"/>
        <v>24.188061897691981</v>
      </c>
      <c r="O13" s="145">
        <f t="shared" si="6"/>
        <v>3.1315933369694235</v>
      </c>
      <c r="P13" s="606">
        <v>10</v>
      </c>
      <c r="Q13" s="610" t="str">
        <f>Report!A53</f>
        <v>U13</v>
      </c>
      <c r="R13" s="611">
        <f>Report!H53</f>
        <v>3.1315933369694134E-2</v>
      </c>
      <c r="S13" s="612">
        <f t="shared" si="7"/>
        <v>100.00000000000033</v>
      </c>
      <c r="X13" s="174"/>
      <c r="Y13" s="516"/>
      <c r="Z13" s="517"/>
      <c r="AA13" s="169"/>
      <c r="AB13" s="169"/>
      <c r="AC13" s="169"/>
      <c r="AD13" s="169"/>
      <c r="AE13" s="169"/>
      <c r="AF13" s="26"/>
      <c r="AG13" s="26"/>
      <c r="AH13" s="26"/>
      <c r="AI13" s="26"/>
    </row>
    <row r="14" spans="1:35" ht="15.75" x14ac:dyDescent="0.25">
      <c r="A14" s="489" t="s">
        <v>650</v>
      </c>
      <c r="B14" s="191" t="str">
        <f>Imported_Template!B12</f>
        <v>08-020</v>
      </c>
      <c r="C14" s="191" t="str">
        <f>Imported_Template!C12</f>
        <v>B</v>
      </c>
      <c r="D14" s="191" t="str">
        <f>Imported_Template!D12</f>
        <v>3A</v>
      </c>
      <c r="E14" s="145">
        <f>Data!E36</f>
        <v>82.683419241760177</v>
      </c>
      <c r="F14" s="145">
        <f>Data!V43</f>
        <v>79.545511883471931</v>
      </c>
      <c r="G14" s="145">
        <f t="shared" si="8"/>
        <v>826.8341924176018</v>
      </c>
      <c r="H14" s="145">
        <f t="shared" si="8"/>
        <v>795.45511883471931</v>
      </c>
      <c r="I14" s="177" t="str">
        <f t="shared" si="2"/>
        <v>08-020</v>
      </c>
      <c r="J14" s="177" t="str">
        <f t="shared" si="0"/>
        <v>B</v>
      </c>
      <c r="K14" s="177" t="str">
        <f t="shared" si="0"/>
        <v>3A</v>
      </c>
      <c r="L14" s="145">
        <f t="shared" si="3"/>
        <v>811.14465562616056</v>
      </c>
      <c r="M14" s="145">
        <f t="shared" si="4"/>
        <v>811.14465562616056</v>
      </c>
      <c r="N14" s="145">
        <f t="shared" si="5"/>
        <v>22.188355717807859</v>
      </c>
      <c r="O14" s="145">
        <f t="shared" si="6"/>
        <v>2.7354375774909876</v>
      </c>
      <c r="P14" s="606">
        <v>11</v>
      </c>
      <c r="Q14" s="610" t="str">
        <f>Report!A54</f>
        <v>U14</v>
      </c>
      <c r="R14" s="611">
        <f>Report!H54</f>
        <v>2.7354375774909841E-2</v>
      </c>
      <c r="S14" s="612">
        <f t="shared" si="7"/>
        <v>100.00000000000013</v>
      </c>
      <c r="X14" s="174"/>
      <c r="Y14" s="516"/>
      <c r="Z14" s="169"/>
      <c r="AA14" s="169"/>
      <c r="AB14" s="169"/>
      <c r="AC14" s="169"/>
      <c r="AD14" s="169"/>
      <c r="AE14" s="169"/>
      <c r="AF14" s="26"/>
      <c r="AG14" s="26"/>
      <c r="AH14" s="26"/>
      <c r="AI14" s="26"/>
    </row>
    <row r="15" spans="1:35" ht="15.75" x14ac:dyDescent="0.25">
      <c r="A15" s="489" t="s">
        <v>654</v>
      </c>
      <c r="B15" s="191" t="str">
        <f>Imported_Template!B13</f>
        <v>08-021</v>
      </c>
      <c r="C15" s="191" t="str">
        <f>Imported_Template!C13</f>
        <v>B</v>
      </c>
      <c r="D15" s="191" t="str">
        <f>Imported_Template!D13</f>
        <v>3B</v>
      </c>
      <c r="E15" s="145">
        <f>Data!E37</f>
        <v>77.311490175235676</v>
      </c>
      <c r="F15" s="145">
        <f>Data!V42</f>
        <v>75.825395039168697</v>
      </c>
      <c r="G15" s="145">
        <f t="shared" si="8"/>
        <v>773.11490175235679</v>
      </c>
      <c r="H15" s="145">
        <f t="shared" si="8"/>
        <v>758.253950391687</v>
      </c>
      <c r="I15" s="177" t="str">
        <f t="shared" si="2"/>
        <v>08-021</v>
      </c>
      <c r="J15" s="177" t="str">
        <f t="shared" si="0"/>
        <v>B</v>
      </c>
      <c r="K15" s="177" t="str">
        <f t="shared" si="0"/>
        <v>3B</v>
      </c>
      <c r="L15" s="145">
        <f t="shared" si="3"/>
        <v>765.68442607202189</v>
      </c>
      <c r="M15" s="145">
        <f t="shared" si="4"/>
        <v>765.68442607202189</v>
      </c>
      <c r="N15" s="145">
        <f t="shared" si="5"/>
        <v>10.508279482013057</v>
      </c>
      <c r="O15" s="145">
        <f t="shared" si="6"/>
        <v>1.3724034503249287</v>
      </c>
      <c r="P15" s="606">
        <v>12</v>
      </c>
      <c r="Q15" s="610" t="str">
        <f>Report!A55</f>
        <v>U15</v>
      </c>
      <c r="R15" s="611">
        <f>Report!H55</f>
        <v>1.3724034503249286E-2</v>
      </c>
      <c r="S15" s="612">
        <f t="shared" si="7"/>
        <v>100.00000000000001</v>
      </c>
      <c r="X15" s="174"/>
      <c r="Y15" s="173"/>
      <c r="Z15" s="26"/>
      <c r="AA15" s="26"/>
    </row>
    <row r="16" spans="1:35" ht="15.75" x14ac:dyDescent="0.25">
      <c r="A16" s="489" t="s">
        <v>624</v>
      </c>
      <c r="B16" s="191" t="str">
        <f>Imported_Template!B14</f>
        <v>08-023</v>
      </c>
      <c r="C16" s="191" t="str">
        <f>Imported_Template!C14</f>
        <v>B</v>
      </c>
      <c r="D16" s="191" t="str">
        <f>Imported_Template!D14</f>
        <v>3C</v>
      </c>
      <c r="E16" s="145">
        <f>Data!E38</f>
        <v>81.187645949640739</v>
      </c>
      <c r="F16" s="145">
        <f>Data!V41</f>
        <v>80.739460992317888</v>
      </c>
      <c r="G16" s="145">
        <f t="shared" si="8"/>
        <v>811.87645949640739</v>
      </c>
      <c r="H16" s="145">
        <f t="shared" si="8"/>
        <v>807.3946099231789</v>
      </c>
      <c r="I16" s="177" t="str">
        <f t="shared" si="2"/>
        <v>08-023</v>
      </c>
      <c r="J16" s="177" t="str">
        <f t="shared" si="0"/>
        <v>B</v>
      </c>
      <c r="K16" s="177" t="str">
        <f t="shared" si="0"/>
        <v>3C</v>
      </c>
      <c r="L16" s="145">
        <f t="shared" si="3"/>
        <v>809.63553470979309</v>
      </c>
      <c r="M16" s="145">
        <f t="shared" si="4"/>
        <v>809.63553470979309</v>
      </c>
      <c r="N16" s="145">
        <f t="shared" si="5"/>
        <v>3.1691462254878973</v>
      </c>
      <c r="O16" s="145">
        <f t="shared" si="6"/>
        <v>0.39142874659322491</v>
      </c>
      <c r="P16" s="606">
        <v>13</v>
      </c>
      <c r="Q16" s="610" t="str">
        <f>Report!A56</f>
        <v>U16</v>
      </c>
      <c r="R16" s="611">
        <f>Report!H56</f>
        <v>3.9142874659321494E-3</v>
      </c>
      <c r="S16" s="612">
        <f t="shared" si="7"/>
        <v>100.00000000000254</v>
      </c>
      <c r="X16" s="174"/>
      <c r="Y16" s="174"/>
      <c r="Z16" s="26"/>
      <c r="AA16" s="26"/>
    </row>
    <row r="17" spans="1:27" ht="15.75" x14ac:dyDescent="0.25">
      <c r="A17" s="489" t="s">
        <v>628</v>
      </c>
      <c r="B17" s="191" t="str">
        <f>Imported_Template!B15</f>
        <v>08-025</v>
      </c>
      <c r="C17" s="191" t="str">
        <f>Imported_Template!C15</f>
        <v>B</v>
      </c>
      <c r="D17" s="191" t="str">
        <f>Imported_Template!D15</f>
        <v>3D</v>
      </c>
      <c r="E17" s="145">
        <f>Data!E39</f>
        <v>78.353292998802999</v>
      </c>
      <c r="F17" s="145">
        <f>Data!V40</f>
        <v>77.460240859084664</v>
      </c>
      <c r="G17" s="145">
        <f t="shared" si="8"/>
        <v>783.53292998802999</v>
      </c>
      <c r="H17" s="145">
        <f t="shared" si="8"/>
        <v>774.60240859084661</v>
      </c>
      <c r="I17" s="177" t="str">
        <f t="shared" si="2"/>
        <v>08-025</v>
      </c>
      <c r="J17" s="177" t="str">
        <f t="shared" si="0"/>
        <v>B</v>
      </c>
      <c r="K17" s="177" t="str">
        <f t="shared" si="0"/>
        <v>3D</v>
      </c>
      <c r="L17" s="145">
        <f t="shared" si="3"/>
        <v>779.0676692894383</v>
      </c>
      <c r="M17" s="145">
        <f t="shared" si="4"/>
        <v>779.0676692894383</v>
      </c>
      <c r="N17" s="145">
        <f t="shared" si="5"/>
        <v>6.314832239479931</v>
      </c>
      <c r="O17" s="145">
        <f t="shared" si="6"/>
        <v>0.81056273908009546</v>
      </c>
      <c r="P17" s="606">
        <v>14</v>
      </c>
      <c r="Q17" s="610" t="str">
        <f>Report!A57</f>
        <v>U17</v>
      </c>
      <c r="R17" s="611">
        <f>Report!H57</f>
        <v>8.105627390800927E-3</v>
      </c>
      <c r="S17" s="612">
        <f t="shared" si="7"/>
        <v>100.00000000000034</v>
      </c>
      <c r="X17" s="172" t="s">
        <v>705</v>
      </c>
      <c r="Y17" s="161">
        <f>Data!J81</f>
        <v>38.542238048596779</v>
      </c>
      <c r="Z17" s="26"/>
      <c r="AA17" s="26"/>
    </row>
    <row r="18" spans="1:27" ht="15.75" x14ac:dyDescent="0.25">
      <c r="A18" s="489" t="s">
        <v>632</v>
      </c>
      <c r="B18" s="191" t="str">
        <f>Imported_Template!B16</f>
        <v>08-027</v>
      </c>
      <c r="C18" s="191" t="str">
        <f>Imported_Template!C16</f>
        <v>B</v>
      </c>
      <c r="D18" s="191" t="str">
        <f>Imported_Template!D16</f>
        <v>3E</v>
      </c>
      <c r="E18" s="145">
        <f>Data!E40</f>
        <v>77.014066415718688</v>
      </c>
      <c r="F18" s="145">
        <f>Data!V39</f>
        <v>78.353292998802999</v>
      </c>
      <c r="G18" s="145">
        <f t="shared" si="8"/>
        <v>770.14066415718685</v>
      </c>
      <c r="H18" s="145">
        <f t="shared" si="8"/>
        <v>783.53292998802999</v>
      </c>
      <c r="I18" s="177" t="str">
        <f t="shared" si="2"/>
        <v>08-027</v>
      </c>
      <c r="J18" s="177" t="str">
        <f t="shared" si="0"/>
        <v>B</v>
      </c>
      <c r="K18" s="177" t="str">
        <f t="shared" si="0"/>
        <v>3E</v>
      </c>
      <c r="L18" s="145">
        <f t="shared" si="3"/>
        <v>776.83679707260842</v>
      </c>
      <c r="M18" s="145">
        <f t="shared" si="4"/>
        <v>776.83679707260842</v>
      </c>
      <c r="N18" s="145">
        <f t="shared" si="5"/>
        <v>9.4697619844420799</v>
      </c>
      <c r="O18" s="145">
        <f t="shared" si="6"/>
        <v>1.2190156310987637</v>
      </c>
      <c r="P18" s="606">
        <v>15</v>
      </c>
      <c r="Q18" s="610" t="str">
        <f>Report!A58</f>
        <v>U18</v>
      </c>
      <c r="R18" s="611">
        <f>Report!H58</f>
        <v>1.2190156310987606E-2</v>
      </c>
      <c r="S18" s="612">
        <f t="shared" si="7"/>
        <v>100.00000000000026</v>
      </c>
      <c r="X18" s="172" t="s">
        <v>704</v>
      </c>
      <c r="Y18" s="161">
        <f>Data!J82</f>
        <v>9678.5773922502303</v>
      </c>
    </row>
    <row r="19" spans="1:27" ht="15.75" x14ac:dyDescent="0.25">
      <c r="A19" s="489" t="s">
        <v>636</v>
      </c>
      <c r="B19" s="191" t="str">
        <f>Imported_Template!B17</f>
        <v>08-028</v>
      </c>
      <c r="C19" s="191" t="str">
        <f>Imported_Template!C17</f>
        <v>B</v>
      </c>
      <c r="D19" s="191" t="str">
        <f>Imported_Template!D17</f>
        <v>3F</v>
      </c>
      <c r="E19" s="145">
        <f>Data!E41</f>
        <v>75.083294851475003</v>
      </c>
      <c r="F19" s="145">
        <f>Data!V38</f>
        <v>75.528480081633546</v>
      </c>
      <c r="G19" s="145">
        <f t="shared" si="8"/>
        <v>750.83294851475</v>
      </c>
      <c r="H19" s="145">
        <f t="shared" si="8"/>
        <v>755.28480081633552</v>
      </c>
      <c r="I19" s="177" t="str">
        <f t="shared" si="2"/>
        <v>08-028</v>
      </c>
      <c r="J19" s="177" t="str">
        <f t="shared" si="0"/>
        <v>B</v>
      </c>
      <c r="K19" s="177" t="str">
        <f t="shared" si="0"/>
        <v>3F</v>
      </c>
      <c r="L19" s="145">
        <f t="shared" si="3"/>
        <v>753.05887466554282</v>
      </c>
      <c r="M19" s="145">
        <f t="shared" si="4"/>
        <v>753.05887466554282</v>
      </c>
      <c r="N19" s="145">
        <f t="shared" si="5"/>
        <v>3.1479349512920587</v>
      </c>
      <c r="O19" s="145">
        <f t="shared" si="6"/>
        <v>0.41801976674003816</v>
      </c>
      <c r="P19" s="606">
        <v>16</v>
      </c>
      <c r="Q19" s="610" t="str">
        <f>Report!A59</f>
        <v>U19</v>
      </c>
      <c r="R19" s="611">
        <f>Report!H59</f>
        <v>4.1801976674003018E-3</v>
      </c>
      <c r="S19" s="612">
        <f t="shared" si="7"/>
        <v>100.0000000000019</v>
      </c>
      <c r="X19" s="174"/>
      <c r="Y19" s="26"/>
    </row>
    <row r="20" spans="1:27" ht="15.75" x14ac:dyDescent="0.25">
      <c r="A20" s="489" t="s">
        <v>641</v>
      </c>
      <c r="B20" s="191" t="str">
        <f>Imported_Template!B18</f>
        <v>08-030</v>
      </c>
      <c r="C20" s="191" t="str">
        <f>Imported_Template!C18</f>
        <v>B</v>
      </c>
      <c r="D20" s="191" t="str">
        <f>Imported_Template!D18</f>
        <v>3G</v>
      </c>
      <c r="E20" s="145">
        <f>Data!E42</f>
        <v>78.055504058305715</v>
      </c>
      <c r="F20" s="145">
        <f>Data!V37</f>
        <v>77.609017513443305</v>
      </c>
      <c r="G20" s="145">
        <f>E20*$B$2</f>
        <v>780.55504058305712</v>
      </c>
      <c r="H20" s="145">
        <f>F20*$B$2</f>
        <v>776.09017513443303</v>
      </c>
      <c r="I20" s="177" t="str">
        <f t="shared" si="2"/>
        <v>08-030</v>
      </c>
      <c r="J20" s="177" t="str">
        <f t="shared" si="2"/>
        <v>B</v>
      </c>
      <c r="K20" s="177" t="str">
        <f t="shared" si="2"/>
        <v>3G</v>
      </c>
      <c r="L20" s="145">
        <f t="shared" si="3"/>
        <v>778.32260785874507</v>
      </c>
      <c r="M20" s="145">
        <f t="shared" si="4"/>
        <v>778.32260785874507</v>
      </c>
      <c r="N20" s="145">
        <f t="shared" si="5"/>
        <v>3.1571366358076149</v>
      </c>
      <c r="O20" s="145">
        <f t="shared" si="6"/>
        <v>0.40563342294440868</v>
      </c>
      <c r="P20" s="606">
        <v>17</v>
      </c>
      <c r="Q20" s="610" t="str">
        <f>Report!A60</f>
        <v>U20</v>
      </c>
      <c r="R20" s="611">
        <f>Report!H60</f>
        <v>4.0563342294442145E-3</v>
      </c>
      <c r="S20" s="612">
        <f t="shared" si="7"/>
        <v>99.999999999996859</v>
      </c>
      <c r="X20" s="174"/>
      <c r="Y20" s="26"/>
    </row>
    <row r="21" spans="1:27" ht="15.75" x14ac:dyDescent="0.25">
      <c r="A21" s="489" t="s">
        <v>646</v>
      </c>
      <c r="B21" s="191" t="str">
        <f>Imported_Template!B19</f>
        <v>08-031</v>
      </c>
      <c r="C21" s="191" t="str">
        <f>Imported_Template!C19</f>
        <v>B</v>
      </c>
      <c r="D21" s="191" t="str">
        <f>Imported_Template!D19</f>
        <v>3H</v>
      </c>
      <c r="E21" s="145">
        <f>Data!E43</f>
        <v>75.825395039168697</v>
      </c>
      <c r="F21" s="145">
        <f>Data!V36</f>
        <v>76.122410545870508</v>
      </c>
      <c r="G21" s="145">
        <f t="shared" ref="G21:H36" si="9">E21*$B$2</f>
        <v>758.253950391687</v>
      </c>
      <c r="H21" s="145">
        <f t="shared" si="9"/>
        <v>761.22410545870503</v>
      </c>
      <c r="I21" s="177" t="str">
        <f t="shared" si="2"/>
        <v>08-031</v>
      </c>
      <c r="J21" s="177" t="str">
        <f t="shared" si="2"/>
        <v>B</v>
      </c>
      <c r="K21" s="177" t="str">
        <f t="shared" si="2"/>
        <v>3H</v>
      </c>
      <c r="L21" s="145">
        <f t="shared" si="3"/>
        <v>759.73902792519607</v>
      </c>
      <c r="M21" s="145">
        <f t="shared" si="4"/>
        <v>759.73902792519607</v>
      </c>
      <c r="N21" s="145">
        <f t="shared" si="5"/>
        <v>2.1002167890640315</v>
      </c>
      <c r="O21" s="145">
        <f t="shared" si="6"/>
        <v>0.27643923924766689</v>
      </c>
      <c r="P21" s="606">
        <v>18</v>
      </c>
      <c r="Q21" s="610" t="str">
        <f>Report!A61</f>
        <v>U21</v>
      </c>
      <c r="R21" s="611">
        <f>Report!H61</f>
        <v>2.7643923924767473E-3</v>
      </c>
      <c r="S21" s="612">
        <f t="shared" si="7"/>
        <v>99.999999999997158</v>
      </c>
    </row>
    <row r="22" spans="1:27" ht="15.75" x14ac:dyDescent="0.25">
      <c r="A22" s="489" t="s">
        <v>651</v>
      </c>
      <c r="B22" s="191" t="str">
        <f>Imported_Template!B20</f>
        <v>08-033</v>
      </c>
      <c r="C22" s="191" t="str">
        <f>Imported_Template!C20</f>
        <v>B</v>
      </c>
      <c r="D22" s="191" t="str">
        <f>Imported_Template!D20</f>
        <v>4A</v>
      </c>
      <c r="E22" s="145">
        <f>Data!F36</f>
        <v>66.517732781915669</v>
      </c>
      <c r="F22" s="145">
        <f>Data!U43</f>
        <v>61.822200243661158</v>
      </c>
      <c r="G22" s="145">
        <f t="shared" si="9"/>
        <v>665.17732781915674</v>
      </c>
      <c r="H22" s="145">
        <f t="shared" si="9"/>
        <v>618.22200243661155</v>
      </c>
      <c r="I22" s="177" t="str">
        <f t="shared" si="2"/>
        <v>08-033</v>
      </c>
      <c r="J22" s="177" t="str">
        <f t="shared" si="2"/>
        <v>B</v>
      </c>
      <c r="K22" s="177" t="str">
        <f t="shared" si="2"/>
        <v>4A</v>
      </c>
      <c r="L22" s="145">
        <f t="shared" si="3"/>
        <v>641.69966512788415</v>
      </c>
      <c r="M22" s="145">
        <f t="shared" si="4"/>
        <v>641.69966512788415</v>
      </c>
      <c r="N22" s="145">
        <f t="shared" si="5"/>
        <v>33.202428990818525</v>
      </c>
      <c r="O22" s="145">
        <f t="shared" si="6"/>
        <v>5.174138431909828</v>
      </c>
      <c r="P22" s="606">
        <v>19</v>
      </c>
      <c r="Q22" s="610" t="str">
        <f>Report!A62</f>
        <v>U22</v>
      </c>
      <c r="R22" s="611">
        <f>Report!H62</f>
        <v>5.1741384319098187E-2</v>
      </c>
      <c r="S22" s="612">
        <f t="shared" si="7"/>
        <v>100.00000000000018</v>
      </c>
    </row>
    <row r="23" spans="1:27" ht="15.75" x14ac:dyDescent="0.25">
      <c r="A23" s="489" t="s">
        <v>655</v>
      </c>
      <c r="B23" s="191" t="str">
        <f>Imported_Template!B21</f>
        <v>08-035</v>
      </c>
      <c r="C23" s="191" t="str">
        <f>Imported_Template!C21</f>
        <v>B</v>
      </c>
      <c r="D23" s="191" t="str">
        <f>Imported_Template!D21</f>
        <v>4B</v>
      </c>
      <c r="E23" s="145">
        <f>Data!F37</f>
        <v>56.561580031216806</v>
      </c>
      <c r="F23" s="145">
        <f>Data!U42</f>
        <v>64.75459497813695</v>
      </c>
      <c r="G23" s="145">
        <f t="shared" si="9"/>
        <v>565.61580031216806</v>
      </c>
      <c r="H23" s="145">
        <f t="shared" si="9"/>
        <v>647.54594978136947</v>
      </c>
      <c r="I23" s="177" t="str">
        <f t="shared" si="2"/>
        <v>08-035</v>
      </c>
      <c r="J23" s="177" t="str">
        <f t="shared" si="2"/>
        <v>B</v>
      </c>
      <c r="K23" s="177" t="str">
        <f t="shared" si="2"/>
        <v>4B</v>
      </c>
      <c r="L23" s="145">
        <f t="shared" si="3"/>
        <v>606.58087504676882</v>
      </c>
      <c r="M23" s="145">
        <f t="shared" si="4"/>
        <v>606.58087504676882</v>
      </c>
      <c r="N23" s="145">
        <f t="shared" si="5"/>
        <v>57.933364273299738</v>
      </c>
      <c r="O23" s="145">
        <f t="shared" si="6"/>
        <v>9.5508062744037119</v>
      </c>
      <c r="P23" s="606">
        <v>20</v>
      </c>
      <c r="Q23" s="610" t="str">
        <f>Report!A63</f>
        <v>U23</v>
      </c>
      <c r="R23" s="611">
        <f>Report!H63</f>
        <v>9.5508062744037156E-2</v>
      </c>
      <c r="S23" s="612">
        <f t="shared" si="7"/>
        <v>99.999999999999957</v>
      </c>
    </row>
    <row r="24" spans="1:27" ht="15.75" x14ac:dyDescent="0.25">
      <c r="A24" s="489" t="s">
        <v>625</v>
      </c>
      <c r="B24" s="191" t="str">
        <f>Imported_Template!B22</f>
        <v>08-036</v>
      </c>
      <c r="C24" s="191" t="str">
        <f>Imported_Template!C22</f>
        <v>B</v>
      </c>
      <c r="D24" s="191" t="str">
        <f>Imported_Template!D22</f>
        <v>4C</v>
      </c>
      <c r="E24" s="145">
        <f>Data!F38</f>
        <v>54.521297609255392</v>
      </c>
      <c r="F24" s="145">
        <f>Data!U41</f>
        <v>57.582824197595933</v>
      </c>
      <c r="G24" s="145">
        <f t="shared" si="9"/>
        <v>545.21297609255396</v>
      </c>
      <c r="H24" s="145">
        <f t="shared" si="9"/>
        <v>575.82824197595937</v>
      </c>
      <c r="I24" s="177" t="str">
        <f t="shared" si="2"/>
        <v>08-036</v>
      </c>
      <c r="J24" s="177" t="str">
        <f t="shared" si="2"/>
        <v>B</v>
      </c>
      <c r="K24" s="177" t="str">
        <f t="shared" si="2"/>
        <v>4C</v>
      </c>
      <c r="L24" s="145">
        <f t="shared" si="3"/>
        <v>560.52060903425672</v>
      </c>
      <c r="M24" s="145">
        <f t="shared" si="4"/>
        <v>560.52060903425672</v>
      </c>
      <c r="N24" s="145">
        <f t="shared" si="5"/>
        <v>21.648262113985126</v>
      </c>
      <c r="O24" s="145">
        <f t="shared" si="6"/>
        <v>3.8621705901739771</v>
      </c>
      <c r="P24" s="606">
        <v>21</v>
      </c>
      <c r="Q24" s="610" t="str">
        <f>Report!A64</f>
        <v>U24</v>
      </c>
      <c r="R24" s="611">
        <f>Report!H64</f>
        <v>3.8621705901739779E-2</v>
      </c>
      <c r="S24" s="612">
        <f t="shared" si="7"/>
        <v>99.999999999999986</v>
      </c>
    </row>
    <row r="25" spans="1:27" ht="15.75" x14ac:dyDescent="0.25">
      <c r="A25" s="489" t="s">
        <v>629</v>
      </c>
      <c r="B25" s="191" t="str">
        <f>Imported_Template!B23</f>
        <v>09-005</v>
      </c>
      <c r="C25" s="191" t="str">
        <f>Imported_Template!C23</f>
        <v>B</v>
      </c>
      <c r="D25" s="191" t="str">
        <f>Imported_Template!D23</f>
        <v>4D</v>
      </c>
      <c r="E25" s="145">
        <f>Data!F39</f>
        <v>63.287461614754861</v>
      </c>
      <c r="F25" s="145">
        <f>Data!U40</f>
        <v>67.842005412573798</v>
      </c>
      <c r="G25" s="145">
        <f t="shared" si="9"/>
        <v>632.87461614754864</v>
      </c>
      <c r="H25" s="145">
        <f t="shared" si="9"/>
        <v>678.42005412573803</v>
      </c>
      <c r="I25" s="177" t="str">
        <f t="shared" si="2"/>
        <v>09-005</v>
      </c>
      <c r="J25" s="177" t="str">
        <f t="shared" si="2"/>
        <v>B</v>
      </c>
      <c r="K25" s="177" t="str">
        <f t="shared" si="2"/>
        <v>4D</v>
      </c>
      <c r="L25" s="145">
        <f t="shared" si="3"/>
        <v>655.64733513664328</v>
      </c>
      <c r="M25" s="145">
        <f t="shared" si="4"/>
        <v>655.64733513664328</v>
      </c>
      <c r="N25" s="145">
        <f t="shared" si="5"/>
        <v>32.205488046489045</v>
      </c>
      <c r="O25" s="145">
        <f t="shared" si="6"/>
        <v>4.9120138709596226</v>
      </c>
      <c r="P25" s="606">
        <v>22</v>
      </c>
      <c r="Q25" s="610" t="str">
        <f>Report!A65</f>
        <v>U25</v>
      </c>
      <c r="R25" s="611">
        <f>Report!H65</f>
        <v>4.9120138709596049E-2</v>
      </c>
      <c r="S25" s="612">
        <f t="shared" si="7"/>
        <v>100.00000000000036</v>
      </c>
    </row>
    <row r="26" spans="1:27" ht="15.75" x14ac:dyDescent="0.25">
      <c r="A26" s="489" t="s">
        <v>633</v>
      </c>
      <c r="B26" s="191" t="str">
        <f>Imported_Template!B24</f>
        <v>09-006</v>
      </c>
      <c r="C26" s="191" t="str">
        <f>Imported_Template!C24</f>
        <v>B</v>
      </c>
      <c r="D26" s="191" t="str">
        <f>Imported_Template!D24</f>
        <v>4E</v>
      </c>
      <c r="E26" s="145">
        <f>Data!F40</f>
        <v>67.842005412573798</v>
      </c>
      <c r="F26" s="145">
        <f>Data!U39</f>
        <v>64.75459497813695</v>
      </c>
      <c r="G26" s="145">
        <f t="shared" si="9"/>
        <v>678.42005412573803</v>
      </c>
      <c r="H26" s="145">
        <f t="shared" si="9"/>
        <v>647.54594978136947</v>
      </c>
      <c r="I26" s="177" t="str">
        <f t="shared" si="2"/>
        <v>09-006</v>
      </c>
      <c r="J26" s="177" t="str">
        <f t="shared" si="2"/>
        <v>B</v>
      </c>
      <c r="K26" s="177" t="str">
        <f t="shared" si="2"/>
        <v>4E</v>
      </c>
      <c r="L26" s="145">
        <f t="shared" si="3"/>
        <v>662.98300195355375</v>
      </c>
      <c r="M26" s="145">
        <f t="shared" si="4"/>
        <v>662.98300195355375</v>
      </c>
      <c r="N26" s="145">
        <f t="shared" si="5"/>
        <v>21.831288544964057</v>
      </c>
      <c r="O26" s="145">
        <f t="shared" si="6"/>
        <v>3.2928881254324347</v>
      </c>
      <c r="P26" s="606">
        <v>23</v>
      </c>
      <c r="Q26" s="610" t="str">
        <f>Report!A66</f>
        <v>U26</v>
      </c>
      <c r="R26" s="611">
        <f>Report!H66</f>
        <v>3.2928881254324104E-2</v>
      </c>
      <c r="S26" s="612">
        <f t="shared" si="7"/>
        <v>100.00000000000074</v>
      </c>
    </row>
    <row r="27" spans="1:27" ht="15.75" x14ac:dyDescent="0.25">
      <c r="A27" s="490" t="s">
        <v>637</v>
      </c>
      <c r="B27" s="191" t="str">
        <f>Imported_Template!B25</f>
        <v>09-008</v>
      </c>
      <c r="C27" s="191" t="str">
        <f>Imported_Template!C25</f>
        <v>B</v>
      </c>
      <c r="D27" s="191" t="str">
        <f>Imported_Template!D25</f>
        <v>4F</v>
      </c>
      <c r="E27" s="145">
        <f>Data!F41</f>
        <v>57.582824197595933</v>
      </c>
      <c r="F27" s="145">
        <f>Data!U38</f>
        <v>58.458788886742383</v>
      </c>
      <c r="G27" s="145">
        <f t="shared" si="9"/>
        <v>575.82824197595937</v>
      </c>
      <c r="H27" s="145">
        <f t="shared" si="9"/>
        <v>584.58788886742377</v>
      </c>
      <c r="I27" s="177" t="str">
        <f t="shared" si="2"/>
        <v>09-008</v>
      </c>
      <c r="J27" s="177" t="str">
        <f t="shared" si="2"/>
        <v>B</v>
      </c>
      <c r="K27" s="177" t="str">
        <f t="shared" si="2"/>
        <v>4F</v>
      </c>
      <c r="L27" s="145">
        <f t="shared" si="3"/>
        <v>580.20806542169157</v>
      </c>
      <c r="M27" s="145">
        <f t="shared" si="4"/>
        <v>580.20806542169157</v>
      </c>
      <c r="N27" s="145">
        <f t="shared" si="5"/>
        <v>6.1940057177541377</v>
      </c>
      <c r="O27" s="145">
        <f t="shared" si="6"/>
        <v>1.0675490547089126</v>
      </c>
      <c r="P27" s="609">
        <v>24</v>
      </c>
      <c r="Q27" s="610" t="str">
        <f>Report!A67</f>
        <v>U27</v>
      </c>
      <c r="R27" s="611">
        <f>Report!H67</f>
        <v>1.0675490547089163E-2</v>
      </c>
      <c r="S27" s="612">
        <f t="shared" si="7"/>
        <v>99.999999999999645</v>
      </c>
    </row>
    <row r="28" spans="1:27" ht="15.75" x14ac:dyDescent="0.25">
      <c r="A28" s="490" t="s">
        <v>642</v>
      </c>
      <c r="B28" s="191" t="str">
        <f>Imported_Template!B26</f>
        <v>09-011</v>
      </c>
      <c r="C28" s="191" t="str">
        <f>Imported_Template!C26</f>
        <v>B</v>
      </c>
      <c r="D28" s="191" t="str">
        <f>Imported_Template!D26</f>
        <v>4G</v>
      </c>
      <c r="E28" s="145">
        <f>Data!F42</f>
        <v>61.236602821588633</v>
      </c>
      <c r="F28" s="145">
        <f>Data!U37</f>
        <v>62.847690100232896</v>
      </c>
      <c r="G28" s="145">
        <f t="shared" si="9"/>
        <v>612.36602821588633</v>
      </c>
      <c r="H28" s="145">
        <f t="shared" si="9"/>
        <v>628.47690100232899</v>
      </c>
      <c r="I28" s="177" t="str">
        <f t="shared" si="2"/>
        <v>09-011</v>
      </c>
      <c r="J28" s="177" t="str">
        <f t="shared" si="2"/>
        <v>B</v>
      </c>
      <c r="K28" s="177" t="str">
        <f t="shared" si="2"/>
        <v>4G</v>
      </c>
      <c r="L28" s="145">
        <f t="shared" si="3"/>
        <v>620.42146460910772</v>
      </c>
      <c r="M28" s="145">
        <f t="shared" si="4"/>
        <v>620.42146460910772</v>
      </c>
      <c r="N28" s="145">
        <f t="shared" si="5"/>
        <v>11.392107398127409</v>
      </c>
      <c r="O28" s="145">
        <f t="shared" si="6"/>
        <v>1.836188469930667</v>
      </c>
      <c r="P28" s="606">
        <v>25</v>
      </c>
      <c r="Q28" s="610" t="str">
        <f>Report!A68</f>
        <v>U28</v>
      </c>
      <c r="R28" s="611">
        <f>Report!H68</f>
        <v>1.8361884699306642E-2</v>
      </c>
      <c r="S28" s="612">
        <f t="shared" si="7"/>
        <v>100.00000000000016</v>
      </c>
    </row>
    <row r="29" spans="1:27" ht="15.75" x14ac:dyDescent="0.25">
      <c r="A29" s="490" t="s">
        <v>647</v>
      </c>
      <c r="B29" s="191" t="str">
        <f>Imported_Template!B27</f>
        <v>09-012</v>
      </c>
      <c r="C29" s="191" t="str">
        <f>Imported_Template!C27</f>
        <v>B</v>
      </c>
      <c r="D29" s="191" t="str">
        <f>Imported_Template!D27</f>
        <v>4H</v>
      </c>
      <c r="E29" s="145">
        <f>Data!F43</f>
        <v>59.043088239444337</v>
      </c>
      <c r="F29" s="145">
        <f>Data!U36</f>
        <v>61.675774139685515</v>
      </c>
      <c r="G29" s="145">
        <f t="shared" si="9"/>
        <v>590.43088239444342</v>
      </c>
      <c r="H29" s="145">
        <f t="shared" si="9"/>
        <v>616.75774139685518</v>
      </c>
      <c r="I29" s="177" t="str">
        <f t="shared" si="2"/>
        <v>09-012</v>
      </c>
      <c r="J29" s="177" t="str">
        <f t="shared" si="2"/>
        <v>B</v>
      </c>
      <c r="K29" s="177" t="str">
        <f t="shared" si="2"/>
        <v>4H</v>
      </c>
      <c r="L29" s="145">
        <f t="shared" si="3"/>
        <v>603.5943118956493</v>
      </c>
      <c r="M29" s="145">
        <f t="shared" si="4"/>
        <v>603.5943118956493</v>
      </c>
      <c r="N29" s="145">
        <f t="shared" si="5"/>
        <v>18.615900527947467</v>
      </c>
      <c r="O29" s="145">
        <f t="shared" si="6"/>
        <v>3.0841742808149299</v>
      </c>
      <c r="P29" s="606">
        <v>26</v>
      </c>
      <c r="Q29" s="610" t="str">
        <f>Report!A69</f>
        <v>U29</v>
      </c>
      <c r="R29" s="611">
        <f>Report!H69</f>
        <v>3.0841742808149396E-2</v>
      </c>
      <c r="S29" s="612">
        <f t="shared" si="7"/>
        <v>99.999999999999687</v>
      </c>
    </row>
    <row r="30" spans="1:27" ht="15.75" x14ac:dyDescent="0.25">
      <c r="A30" s="490" t="s">
        <v>652</v>
      </c>
      <c r="B30" s="191" t="str">
        <f>Imported_Template!B28</f>
        <v>09-013</v>
      </c>
      <c r="C30" s="191" t="str">
        <f>Imported_Template!C28</f>
        <v>B</v>
      </c>
      <c r="D30" s="191" t="str">
        <f>Imported_Template!D28</f>
        <v>5A</v>
      </c>
      <c r="E30" s="145">
        <f>Data!G36</f>
        <v>65.78274277740185</v>
      </c>
      <c r="F30" s="145">
        <f>Data!T43</f>
        <v>71.677460592348112</v>
      </c>
      <c r="G30" s="145">
        <f t="shared" si="9"/>
        <v>657.82742777401847</v>
      </c>
      <c r="H30" s="145">
        <f t="shared" si="9"/>
        <v>716.77460592348109</v>
      </c>
      <c r="I30" s="177" t="str">
        <f t="shared" si="2"/>
        <v>09-013</v>
      </c>
      <c r="J30" s="177" t="str">
        <f t="shared" si="2"/>
        <v>B</v>
      </c>
      <c r="K30" s="177" t="str">
        <f t="shared" si="2"/>
        <v>5A</v>
      </c>
      <c r="L30" s="145">
        <f t="shared" si="3"/>
        <v>687.30101684874978</v>
      </c>
      <c r="M30" s="145">
        <f t="shared" si="4"/>
        <v>687.30101684874978</v>
      </c>
      <c r="N30" s="145">
        <f t="shared" si="5"/>
        <v>41.6819494012965</v>
      </c>
      <c r="O30" s="145">
        <f t="shared" si="6"/>
        <v>6.0645842766837053</v>
      </c>
      <c r="P30" s="606">
        <v>27</v>
      </c>
      <c r="Q30" s="610" t="str">
        <f>Report!A70</f>
        <v>U30</v>
      </c>
      <c r="R30" s="611">
        <f>Report!H70</f>
        <v>6.0645842766837321E-2</v>
      </c>
      <c r="S30" s="612">
        <f t="shared" si="7"/>
        <v>99.999999999999559</v>
      </c>
    </row>
    <row r="31" spans="1:27" ht="15.75" x14ac:dyDescent="0.25">
      <c r="A31" s="490" t="s">
        <v>656</v>
      </c>
      <c r="B31" s="191" t="str">
        <f>Imported_Template!B29</f>
        <v>09-014</v>
      </c>
      <c r="C31" s="191" t="str">
        <f>Imported_Template!C29</f>
        <v>B</v>
      </c>
      <c r="D31" s="191" t="str">
        <f>Imported_Template!D29</f>
        <v>5B</v>
      </c>
      <c r="E31" s="145">
        <f>Data!G37</f>
        <v>62.40808501550741</v>
      </c>
      <c r="F31" s="145">
        <f>Data!T42</f>
        <v>67.694780756702215</v>
      </c>
      <c r="G31" s="145">
        <f t="shared" si="9"/>
        <v>624.08085015507413</v>
      </c>
      <c r="H31" s="145">
        <f t="shared" si="9"/>
        <v>676.94780756702221</v>
      </c>
      <c r="I31" s="177" t="str">
        <f t="shared" si="2"/>
        <v>09-014</v>
      </c>
      <c r="J31" s="177" t="str">
        <f t="shared" si="2"/>
        <v>B</v>
      </c>
      <c r="K31" s="177" t="str">
        <f t="shared" si="2"/>
        <v>5B</v>
      </c>
      <c r="L31" s="145">
        <f t="shared" si="3"/>
        <v>650.51432886104817</v>
      </c>
      <c r="M31" s="145">
        <f t="shared" si="4"/>
        <v>650.51432886104817</v>
      </c>
      <c r="N31" s="145">
        <f t="shared" si="5"/>
        <v>37.382584086688894</v>
      </c>
      <c r="O31" s="145">
        <f t="shared" si="6"/>
        <v>5.7466196251418662</v>
      </c>
      <c r="P31" s="606">
        <v>28</v>
      </c>
      <c r="Q31" s="610" t="str">
        <f>Report!A71</f>
        <v>U31</v>
      </c>
      <c r="R31" s="611">
        <f>Report!H71</f>
        <v>5.7466196251418342E-2</v>
      </c>
      <c r="S31" s="612">
        <f t="shared" si="7"/>
        <v>100.00000000000055</v>
      </c>
    </row>
    <row r="32" spans="1:27" ht="15.75" x14ac:dyDescent="0.25">
      <c r="A32" s="490" t="s">
        <v>626</v>
      </c>
      <c r="B32" s="191" t="str">
        <f>Imported_Template!B30</f>
        <v>09-019</v>
      </c>
      <c r="C32" s="191" t="str">
        <f>Imported_Template!C30</f>
        <v>B</v>
      </c>
      <c r="D32" s="191" t="str">
        <f>Imported_Template!D30</f>
        <v>5C</v>
      </c>
      <c r="E32" s="145">
        <f>Data!G38</f>
        <v>59.627651662758019</v>
      </c>
      <c r="F32" s="145">
        <f>Data!T41</f>
        <v>58.020734702032001</v>
      </c>
      <c r="G32" s="145">
        <f t="shared" si="9"/>
        <v>596.27651662758024</v>
      </c>
      <c r="H32" s="145">
        <f t="shared" si="9"/>
        <v>580.20734702031996</v>
      </c>
      <c r="I32" s="177" t="str">
        <f t="shared" si="2"/>
        <v>09-019</v>
      </c>
      <c r="J32" s="177" t="str">
        <f t="shared" si="2"/>
        <v>B</v>
      </c>
      <c r="K32" s="177" t="str">
        <f t="shared" si="2"/>
        <v>5C</v>
      </c>
      <c r="L32" s="145">
        <f t="shared" si="3"/>
        <v>588.24193182395015</v>
      </c>
      <c r="M32" s="145">
        <f t="shared" si="4"/>
        <v>588.24193182395015</v>
      </c>
      <c r="N32" s="145">
        <f t="shared" si="5"/>
        <v>11.362618797330514</v>
      </c>
      <c r="O32" s="145">
        <f t="shared" si="6"/>
        <v>1.9316233989132101</v>
      </c>
      <c r="P32" s="606">
        <v>29</v>
      </c>
      <c r="Q32" s="610" t="str">
        <f>Report!A72</f>
        <v>U32</v>
      </c>
      <c r="R32" s="611">
        <f>Report!H72</f>
        <v>1.9316233989132153E-2</v>
      </c>
      <c r="S32" s="612">
        <f t="shared" si="7"/>
        <v>99.99999999999973</v>
      </c>
    </row>
    <row r="33" spans="1:20" ht="15.75" x14ac:dyDescent="0.25">
      <c r="A33" s="490" t="s">
        <v>630</v>
      </c>
      <c r="B33" s="191" t="str">
        <f>Imported_Template!B31</f>
        <v>09-021</v>
      </c>
      <c r="C33" s="191" t="str">
        <f>Imported_Template!C31</f>
        <v>B</v>
      </c>
      <c r="D33" s="191" t="str">
        <f>Imported_Template!D31</f>
        <v>5D</v>
      </c>
      <c r="E33" s="145">
        <f>Data!G39</f>
        <v>65.048252965808459</v>
      </c>
      <c r="F33" s="145">
        <f>Data!T40</f>
        <v>67.106091270327866</v>
      </c>
      <c r="G33" s="145">
        <f t="shared" si="9"/>
        <v>650.48252965808456</v>
      </c>
      <c r="H33" s="145">
        <f t="shared" si="9"/>
        <v>671.06091270327863</v>
      </c>
      <c r="I33" s="177" t="str">
        <f t="shared" si="2"/>
        <v>09-021</v>
      </c>
      <c r="J33" s="177" t="str">
        <f t="shared" si="2"/>
        <v>B</v>
      </c>
      <c r="K33" s="177" t="str">
        <f t="shared" si="2"/>
        <v>5D</v>
      </c>
      <c r="L33" s="145">
        <f t="shared" si="3"/>
        <v>660.77172118068165</v>
      </c>
      <c r="M33" s="145">
        <f t="shared" si="4"/>
        <v>660.77172118068165</v>
      </c>
      <c r="N33" s="145">
        <f t="shared" si="5"/>
        <v>14.551114197111005</v>
      </c>
      <c r="O33" s="145">
        <f t="shared" si="6"/>
        <v>2.2021393668468061</v>
      </c>
      <c r="P33" s="606">
        <v>30</v>
      </c>
      <c r="Q33" s="610" t="str">
        <f>Report!A73</f>
        <v>U33</v>
      </c>
      <c r="R33" s="611">
        <f>Report!H73</f>
        <v>2.2021393668468062E-2</v>
      </c>
      <c r="S33" s="612">
        <f t="shared" si="7"/>
        <v>100</v>
      </c>
    </row>
    <row r="34" spans="1:20" ht="15.75" x14ac:dyDescent="0.25">
      <c r="A34" s="490" t="s">
        <v>634</v>
      </c>
      <c r="B34" s="191" t="str">
        <f>Imported_Template!B32</f>
        <v>09-023</v>
      </c>
      <c r="C34" s="191" t="str">
        <f>Imported_Template!C32</f>
        <v>B</v>
      </c>
      <c r="D34" s="191" t="str">
        <f>Imported_Template!D32</f>
        <v>5E</v>
      </c>
      <c r="E34" s="145">
        <f>Data!G40</f>
        <v>67.694780756702215</v>
      </c>
      <c r="F34" s="145">
        <f>Data!T39</f>
        <v>65.635805101984914</v>
      </c>
      <c r="G34" s="145">
        <f t="shared" si="9"/>
        <v>676.94780756702221</v>
      </c>
      <c r="H34" s="145">
        <f t="shared" si="9"/>
        <v>656.3580510198492</v>
      </c>
      <c r="I34" s="177" t="str">
        <f t="shared" si="2"/>
        <v>09-023</v>
      </c>
      <c r="J34" s="177" t="str">
        <f t="shared" si="2"/>
        <v>B</v>
      </c>
      <c r="K34" s="177" t="str">
        <f t="shared" si="2"/>
        <v>5E</v>
      </c>
      <c r="L34" s="145">
        <f t="shared" si="3"/>
        <v>666.6529292934357</v>
      </c>
      <c r="M34" s="145">
        <f t="shared" si="4"/>
        <v>666.6529292934357</v>
      </c>
      <c r="N34" s="145">
        <f t="shared" si="5"/>
        <v>14.55915647748615</v>
      </c>
      <c r="O34" s="145">
        <f t="shared" si="6"/>
        <v>2.1839184735776889</v>
      </c>
      <c r="P34" s="606">
        <v>31</v>
      </c>
      <c r="Q34" s="610" t="str">
        <f>Report!A74</f>
        <v>U34</v>
      </c>
      <c r="R34" s="611">
        <f>Report!H74</f>
        <v>2.1839184735776593E-2</v>
      </c>
      <c r="S34" s="612">
        <f t="shared" si="7"/>
        <v>100.00000000000135</v>
      </c>
    </row>
    <row r="35" spans="1:20" ht="15.75" x14ac:dyDescent="0.25">
      <c r="A35" s="490" t="s">
        <v>638</v>
      </c>
      <c r="B35" s="191" t="str">
        <f>Imported_Template!B33</f>
        <v>09-041</v>
      </c>
      <c r="C35" s="191" t="str">
        <f>Imported_Template!C33</f>
        <v>B</v>
      </c>
      <c r="D35" s="191" t="str">
        <f>Imported_Template!D33</f>
        <v>5F</v>
      </c>
      <c r="E35" s="145">
        <f>Data!G41</f>
        <v>64.020789553378023</v>
      </c>
      <c r="F35" s="145">
        <f>Data!T38</f>
        <v>63.727401610355784</v>
      </c>
      <c r="G35" s="145">
        <f t="shared" si="9"/>
        <v>640.20789553378017</v>
      </c>
      <c r="H35" s="145">
        <f t="shared" si="9"/>
        <v>637.27401610355787</v>
      </c>
      <c r="I35" s="177" t="str">
        <f t="shared" si="2"/>
        <v>09-041</v>
      </c>
      <c r="J35" s="177" t="str">
        <f t="shared" si="2"/>
        <v>B</v>
      </c>
      <c r="K35" s="177" t="str">
        <f t="shared" si="2"/>
        <v>5F</v>
      </c>
      <c r="L35" s="145">
        <f t="shared" si="3"/>
        <v>638.74095581866902</v>
      </c>
      <c r="M35" s="145">
        <f t="shared" si="4"/>
        <v>638.74095581866902</v>
      </c>
      <c r="N35" s="145">
        <f t="shared" si="5"/>
        <v>2.0745660402939161</v>
      </c>
      <c r="O35" s="145">
        <f t="shared" si="6"/>
        <v>0.32478988882667809</v>
      </c>
      <c r="P35" s="606">
        <v>32</v>
      </c>
      <c r="Q35" s="610" t="str">
        <f>Report!A75</f>
        <v>U35</v>
      </c>
      <c r="R35" s="611">
        <f>Report!H75</f>
        <v>3.2478988882668753E-3</v>
      </c>
      <c r="S35" s="612">
        <f t="shared" si="7"/>
        <v>99.999999999997087</v>
      </c>
    </row>
    <row r="36" spans="1:20" ht="15.75" x14ac:dyDescent="0.25">
      <c r="A36" s="490" t="s">
        <v>643</v>
      </c>
      <c r="B36" s="191" t="str">
        <f>Imported_Template!B34</f>
        <v>09-042</v>
      </c>
      <c r="C36" s="191" t="str">
        <f>Imported_Template!C34</f>
        <v>B</v>
      </c>
      <c r="D36" s="191" t="str">
        <f>Imported_Template!D34</f>
        <v>5G</v>
      </c>
      <c r="E36" s="145">
        <f>Data!G42</f>
        <v>67.106091270327866</v>
      </c>
      <c r="F36" s="145">
        <f>Data!T37</f>
        <v>62.40808501550741</v>
      </c>
      <c r="G36" s="145">
        <f t="shared" si="9"/>
        <v>671.06091270327863</v>
      </c>
      <c r="H36" s="145">
        <f t="shared" si="9"/>
        <v>624.08085015507413</v>
      </c>
      <c r="I36" s="177" t="str">
        <f t="shared" si="2"/>
        <v>09-042</v>
      </c>
      <c r="J36" s="177" t="str">
        <f t="shared" si="2"/>
        <v>B</v>
      </c>
      <c r="K36" s="177" t="str">
        <f t="shared" si="2"/>
        <v>5G</v>
      </c>
      <c r="L36" s="145">
        <f t="shared" si="3"/>
        <v>647.57088142917632</v>
      </c>
      <c r="M36" s="145">
        <f t="shared" si="4"/>
        <v>647.57088142917632</v>
      </c>
      <c r="N36" s="145">
        <f t="shared" si="5"/>
        <v>33.21992080840355</v>
      </c>
      <c r="O36" s="145">
        <f t="shared" si="6"/>
        <v>5.1299281300431288</v>
      </c>
      <c r="P36" s="606">
        <v>33</v>
      </c>
      <c r="Q36" s="610" t="str">
        <f>Report!A76</f>
        <v>U36</v>
      </c>
      <c r="R36" s="611">
        <f>Report!H76</f>
        <v>5.1299281300431349E-2</v>
      </c>
      <c r="S36" s="612">
        <f t="shared" si="7"/>
        <v>99.999999999999886</v>
      </c>
    </row>
    <row r="37" spans="1:20" ht="15.75" x14ac:dyDescent="0.25">
      <c r="A37" s="489" t="s">
        <v>648</v>
      </c>
      <c r="B37" s="191" t="str">
        <f>Imported_Template!B35</f>
        <v>09-043</v>
      </c>
      <c r="C37" s="191" t="str">
        <f>Imported_Template!C35</f>
        <v>B</v>
      </c>
      <c r="D37" s="191" t="str">
        <f>Imported_Template!D35</f>
        <v>5H</v>
      </c>
      <c r="E37" s="145">
        <f>Data!G43</f>
        <v>63.287461614754861</v>
      </c>
      <c r="F37" s="145">
        <f>Data!T36</f>
        <v>64.314253894342116</v>
      </c>
      <c r="G37" s="145">
        <f t="shared" ref="G37:H52" si="10">E37*$B$2</f>
        <v>632.87461614754864</v>
      </c>
      <c r="H37" s="145">
        <f t="shared" si="10"/>
        <v>643.14253894342119</v>
      </c>
      <c r="I37" s="177" t="str">
        <f t="shared" si="2"/>
        <v>09-043</v>
      </c>
      <c r="J37" s="177" t="str">
        <f t="shared" si="2"/>
        <v>B</v>
      </c>
      <c r="K37" s="177" t="str">
        <f t="shared" si="2"/>
        <v>5H</v>
      </c>
      <c r="L37" s="145">
        <f t="shared" si="3"/>
        <v>638.00857754548497</v>
      </c>
      <c r="M37" s="145">
        <f t="shared" si="4"/>
        <v>638.00857754548497</v>
      </c>
      <c r="N37" s="145">
        <f t="shared" si="5"/>
        <v>7.260517837661415</v>
      </c>
      <c r="O37" s="145">
        <f t="shared" si="6"/>
        <v>1.1379969005422654</v>
      </c>
      <c r="P37" s="606">
        <v>34</v>
      </c>
      <c r="Q37" s="610" t="str">
        <f>Report!A77</f>
        <v>U37</v>
      </c>
      <c r="R37" s="611">
        <f>Report!H77</f>
        <v>1.1379969005422657E-2</v>
      </c>
      <c r="S37" s="612">
        <f t="shared" si="7"/>
        <v>99.999999999999972</v>
      </c>
    </row>
    <row r="38" spans="1:20" ht="15.75" x14ac:dyDescent="0.25">
      <c r="A38" s="489" t="s">
        <v>1012</v>
      </c>
      <c r="B38" s="191" t="str">
        <f>Imported_Template!B36</f>
        <v>09-044</v>
      </c>
      <c r="C38" s="191" t="str">
        <f>Imported_Template!C36</f>
        <v>B</v>
      </c>
      <c r="D38" s="191" t="str">
        <f>Imported_Template!D36</f>
        <v>6A</v>
      </c>
      <c r="E38" s="145">
        <f>Data!H36</f>
        <v>71.381889883480142</v>
      </c>
      <c r="F38" s="145">
        <f>Data!S43</f>
        <v>64.461014903538015</v>
      </c>
      <c r="G38" s="145">
        <f t="shared" si="10"/>
        <v>713.81889883480142</v>
      </c>
      <c r="H38" s="145">
        <f t="shared" si="10"/>
        <v>644.61014903538012</v>
      </c>
      <c r="I38" s="177" t="str">
        <f t="shared" ref="I38:K101" si="11">B38</f>
        <v>09-044</v>
      </c>
      <c r="J38" s="177" t="str">
        <f t="shared" si="11"/>
        <v>B</v>
      </c>
      <c r="K38" s="177" t="str">
        <f t="shared" si="11"/>
        <v>6A</v>
      </c>
      <c r="L38" s="145">
        <f t="shared" si="3"/>
        <v>679.21452393509071</v>
      </c>
      <c r="M38" s="145">
        <f t="shared" si="4"/>
        <v>679.21452393509071</v>
      </c>
      <c r="N38" s="145">
        <f t="shared" si="5"/>
        <v>48.937976300613904</v>
      </c>
      <c r="O38" s="145">
        <f t="shared" si="6"/>
        <v>7.205083898543176</v>
      </c>
      <c r="P38" s="606">
        <v>35</v>
      </c>
      <c r="Q38" s="610" t="str">
        <f>Report!A78</f>
        <v>U38</v>
      </c>
      <c r="R38" s="611">
        <f>Report!H78</f>
        <v>7.2050838985431589E-2</v>
      </c>
      <c r="S38" s="612">
        <f t="shared" si="7"/>
        <v>100.00000000000024</v>
      </c>
    </row>
    <row r="39" spans="1:20" ht="15.75" x14ac:dyDescent="0.25">
      <c r="A39" s="489" t="s">
        <v>1045</v>
      </c>
      <c r="B39" s="191" t="str">
        <f>Imported_Template!B37</f>
        <v>09-045</v>
      </c>
      <c r="C39" s="191" t="str">
        <f>Imported_Template!C37</f>
        <v>B</v>
      </c>
      <c r="D39" s="191" t="str">
        <f>Imported_Template!D37</f>
        <v>6B</v>
      </c>
      <c r="E39" s="145">
        <f>Data!H37</f>
        <v>68.873172033464172</v>
      </c>
      <c r="F39" s="145">
        <f>Data!S42</f>
        <v>66.370694312192683</v>
      </c>
      <c r="G39" s="145">
        <f t="shared" si="10"/>
        <v>688.73172033464175</v>
      </c>
      <c r="H39" s="145">
        <f t="shared" si="10"/>
        <v>663.70694312192677</v>
      </c>
      <c r="I39" s="177" t="str">
        <f t="shared" si="11"/>
        <v>09-045</v>
      </c>
      <c r="J39" s="177" t="str">
        <f t="shared" si="11"/>
        <v>B</v>
      </c>
      <c r="K39" s="177" t="str">
        <f t="shared" si="11"/>
        <v>6B</v>
      </c>
      <c r="L39" s="145">
        <f t="shared" si="3"/>
        <v>676.21933172828426</v>
      </c>
      <c r="M39" s="145">
        <f t="shared" si="4"/>
        <v>676.21933172828426</v>
      </c>
      <c r="N39" s="145">
        <f t="shared" si="5"/>
        <v>17.695189664793354</v>
      </c>
      <c r="O39" s="145">
        <f t="shared" si="6"/>
        <v>2.6167825784524545</v>
      </c>
      <c r="P39" s="606">
        <v>36</v>
      </c>
      <c r="Q39" s="610" t="str">
        <f>Report!A79</f>
        <v>U39</v>
      </c>
      <c r="R39" s="611">
        <f>Report!H79</f>
        <v>2.6167825784524309E-2</v>
      </c>
      <c r="S39" s="612">
        <f t="shared" si="7"/>
        <v>100.00000000000091</v>
      </c>
    </row>
    <row r="40" spans="1:20" ht="15.75" x14ac:dyDescent="0.25">
      <c r="A40" s="489" t="s">
        <v>1078</v>
      </c>
      <c r="B40" s="191" t="str">
        <f>Imported_Template!B38</f>
        <v>09-046</v>
      </c>
      <c r="C40" s="191" t="str">
        <f>Imported_Template!C38</f>
        <v>B</v>
      </c>
      <c r="D40" s="191" t="str">
        <f>Imported_Template!D38</f>
        <v>6A</v>
      </c>
      <c r="E40" s="145">
        <f>Data!H38</f>
        <v>32.354682902209575</v>
      </c>
      <c r="F40" s="145">
        <f>Data!S41</f>
        <v>30.620945600970376</v>
      </c>
      <c r="G40" s="145">
        <f t="shared" si="10"/>
        <v>323.54682902209572</v>
      </c>
      <c r="H40" s="145">
        <f t="shared" si="10"/>
        <v>306.20945600970379</v>
      </c>
      <c r="I40" s="177" t="str">
        <f t="shared" si="11"/>
        <v>09-046</v>
      </c>
      <c r="J40" s="177" t="str">
        <f t="shared" si="11"/>
        <v>B</v>
      </c>
      <c r="K40" s="177" t="str">
        <f t="shared" si="11"/>
        <v>6A</v>
      </c>
      <c r="L40" s="145">
        <f t="shared" si="3"/>
        <v>314.87814251589975</v>
      </c>
      <c r="M40" s="145">
        <f t="shared" si="4"/>
        <v>314.87814251589975</v>
      </c>
      <c r="N40" s="145">
        <f t="shared" si="5"/>
        <v>12.259374025022979</v>
      </c>
      <c r="O40" s="145">
        <f t="shared" si="6"/>
        <v>3.8933709171013491</v>
      </c>
      <c r="P40" s="606">
        <v>37</v>
      </c>
      <c r="Q40" s="610" t="str">
        <f>Report!A80</f>
        <v>U40</v>
      </c>
      <c r="R40" s="611">
        <f>Report!H80</f>
        <v>3.8933709171013915E-2</v>
      </c>
      <c r="S40" s="612">
        <f t="shared" si="7"/>
        <v>99.999999999998906</v>
      </c>
    </row>
    <row r="41" spans="1:20" ht="15.75" x14ac:dyDescent="0.25">
      <c r="A41" s="489" t="s">
        <v>1110</v>
      </c>
      <c r="B41" s="191" t="str">
        <f>Imported_Template!B39</f>
        <v>09-047</v>
      </c>
      <c r="C41" s="191" t="str">
        <f>Imported_Template!C39</f>
        <v>B</v>
      </c>
      <c r="D41" s="191" t="str">
        <f>Imported_Template!D39</f>
        <v>6B</v>
      </c>
      <c r="E41" s="145">
        <f>Data!H39</f>
        <v>31.487822918657422</v>
      </c>
      <c r="F41" s="145">
        <f>Data!S40</f>
        <v>31.921253513763677</v>
      </c>
      <c r="G41" s="145">
        <f t="shared" si="10"/>
        <v>314.87822918657423</v>
      </c>
      <c r="H41" s="145">
        <f t="shared" si="10"/>
        <v>319.21253513763679</v>
      </c>
      <c r="I41" s="177" t="str">
        <f t="shared" si="11"/>
        <v>09-047</v>
      </c>
      <c r="J41" s="177" t="str">
        <f t="shared" si="11"/>
        <v>B</v>
      </c>
      <c r="K41" s="177" t="str">
        <f t="shared" si="11"/>
        <v>6B</v>
      </c>
      <c r="L41" s="145">
        <f t="shared" si="3"/>
        <v>317.04538216210551</v>
      </c>
      <c r="M41" s="145">
        <f t="shared" si="4"/>
        <v>317.04538216210551</v>
      </c>
      <c r="N41" s="145">
        <f t="shared" si="5"/>
        <v>3.0648171297335449</v>
      </c>
      <c r="O41" s="145">
        <f t="shared" si="6"/>
        <v>0.96668089244286848</v>
      </c>
      <c r="P41" s="606">
        <v>38</v>
      </c>
      <c r="Q41" s="610" t="str">
        <f>Report!A81</f>
        <v>U41</v>
      </c>
      <c r="R41" s="611">
        <f>Report!H81</f>
        <v>9.6668089244287478E-3</v>
      </c>
      <c r="S41" s="612">
        <f t="shared" si="7"/>
        <v>99.999999999999346</v>
      </c>
    </row>
    <row r="42" spans="1:20" ht="15.75" x14ac:dyDescent="0.25">
      <c r="A42" s="489" t="s">
        <v>1121</v>
      </c>
      <c r="B42" s="191" t="str">
        <f>Imported_Template!B40</f>
        <v>09-048</v>
      </c>
      <c r="C42" s="191" t="str">
        <f>Imported_Template!C40</f>
        <v>B</v>
      </c>
      <c r="D42" s="191" t="str">
        <f>Imported_Template!D40</f>
        <v>6A</v>
      </c>
      <c r="E42" s="145">
        <f>Data!H40</f>
        <v>31.19886698154065</v>
      </c>
      <c r="F42" s="145">
        <f>Data!S39</f>
        <v>30.187492509030278</v>
      </c>
      <c r="G42" s="145">
        <f t="shared" si="10"/>
        <v>311.98866981540652</v>
      </c>
      <c r="H42" s="145">
        <f t="shared" si="10"/>
        <v>301.87492509030278</v>
      </c>
      <c r="I42" s="177" t="str">
        <f t="shared" si="11"/>
        <v>09-048</v>
      </c>
      <c r="J42" s="177" t="str">
        <f t="shared" si="11"/>
        <v>B</v>
      </c>
      <c r="K42" s="177" t="str">
        <f t="shared" si="11"/>
        <v>6A</v>
      </c>
      <c r="L42" s="145">
        <f t="shared" si="3"/>
        <v>306.93179745285465</v>
      </c>
      <c r="M42" s="145">
        <f t="shared" si="4"/>
        <v>306.93179745285465</v>
      </c>
      <c r="N42" s="145">
        <f t="shared" si="5"/>
        <v>7.1514974783105316</v>
      </c>
      <c r="O42" s="145">
        <f t="shared" si="6"/>
        <v>2.3299956334465528</v>
      </c>
      <c r="P42" s="606">
        <v>39</v>
      </c>
      <c r="Q42" s="610" t="str">
        <f>Report!A82</f>
        <v>U42</v>
      </c>
      <c r="R42" s="611">
        <f>Report!H82</f>
        <v>2.329995633446548E-2</v>
      </c>
      <c r="S42" s="612">
        <f t="shared" si="7"/>
        <v>100.00000000000021</v>
      </c>
    </row>
    <row r="43" spans="1:20" ht="15.75" x14ac:dyDescent="0.25">
      <c r="A43" s="489" t="s">
        <v>1089</v>
      </c>
      <c r="B43" s="191" t="str">
        <f>Imported_Template!B41</f>
        <v>09-049</v>
      </c>
      <c r="C43" s="191" t="str">
        <f>Imported_Template!C41</f>
        <v>B</v>
      </c>
      <c r="D43" s="191" t="str">
        <f>Imported_Template!D41</f>
        <v>6B</v>
      </c>
      <c r="E43" s="145">
        <f>Data!H41</f>
        <v>29.89851623452704</v>
      </c>
      <c r="F43" s="145">
        <f>Data!S38</f>
        <v>28.453507271563087</v>
      </c>
      <c r="G43" s="145">
        <f t="shared" si="10"/>
        <v>298.9851623452704</v>
      </c>
      <c r="H43" s="145">
        <f t="shared" si="10"/>
        <v>284.53507271563086</v>
      </c>
      <c r="I43" s="177" t="str">
        <f t="shared" si="11"/>
        <v>09-049</v>
      </c>
      <c r="J43" s="177" t="str">
        <f t="shared" si="11"/>
        <v>B</v>
      </c>
      <c r="K43" s="177" t="str">
        <f t="shared" si="11"/>
        <v>6B</v>
      </c>
      <c r="L43" s="145">
        <f t="shared" si="3"/>
        <v>291.76011753045066</v>
      </c>
      <c r="M43" s="145">
        <f t="shared" si="4"/>
        <v>291.76011753045066</v>
      </c>
      <c r="N43" s="145">
        <f t="shared" si="5"/>
        <v>10.217756365871523</v>
      </c>
      <c r="O43" s="145">
        <f t="shared" si="6"/>
        <v>3.5021086680242055</v>
      </c>
      <c r="P43" s="606">
        <v>40</v>
      </c>
      <c r="Q43" s="610" t="str">
        <f>Report!A83</f>
        <v>U43</v>
      </c>
      <c r="R43" s="611">
        <f>Report!H83</f>
        <v>3.5021086680242147E-2</v>
      </c>
      <c r="S43" s="612">
        <f t="shared" si="7"/>
        <v>99.99999999999973</v>
      </c>
      <c r="T43" s="25"/>
    </row>
    <row r="44" spans="1:20" ht="15.75" x14ac:dyDescent="0.25">
      <c r="A44" s="489" t="s">
        <v>1056</v>
      </c>
      <c r="B44" s="191" t="str">
        <f>Imported_Template!B42</f>
        <v>09-050</v>
      </c>
      <c r="C44" s="191" t="str">
        <f>Imported_Template!C42</f>
        <v>B</v>
      </c>
      <c r="D44" s="191" t="str">
        <f>Imported_Template!D42</f>
        <v>6A</v>
      </c>
      <c r="E44" s="145">
        <f>Data!H42</f>
        <v>31.343345248280443</v>
      </c>
      <c r="F44" s="145">
        <f>Data!S37</f>
        <v>29.465038057718775</v>
      </c>
      <c r="G44" s="145">
        <f t="shared" si="10"/>
        <v>313.43345248280446</v>
      </c>
      <c r="H44" s="145">
        <f t="shared" si="10"/>
        <v>294.65038057718778</v>
      </c>
      <c r="I44" s="177" t="str">
        <f t="shared" si="11"/>
        <v>09-050</v>
      </c>
      <c r="J44" s="177" t="str">
        <f t="shared" si="11"/>
        <v>B</v>
      </c>
      <c r="K44" s="177" t="str">
        <f t="shared" si="11"/>
        <v>6A</v>
      </c>
      <c r="L44" s="145">
        <f t="shared" si="3"/>
        <v>304.04191652999612</v>
      </c>
      <c r="M44" s="145">
        <f t="shared" si="4"/>
        <v>304.04191652999612</v>
      </c>
      <c r="N44" s="145">
        <f t="shared" si="5"/>
        <v>13.281637515976081</v>
      </c>
      <c r="O44" s="145">
        <f t="shared" si="6"/>
        <v>4.3683573855730993</v>
      </c>
      <c r="P44" s="606">
        <v>41</v>
      </c>
      <c r="Q44" s="610" t="str">
        <f>Report!A84</f>
        <v>U44</v>
      </c>
      <c r="R44" s="611">
        <f>Report!H84</f>
        <v>4.3683573855731142E-2</v>
      </c>
      <c r="S44" s="612">
        <f t="shared" si="7"/>
        <v>99.999999999999659</v>
      </c>
      <c r="T44" s="25"/>
    </row>
    <row r="45" spans="1:20" ht="15.75" x14ac:dyDescent="0.25">
      <c r="A45" s="489" t="s">
        <v>1023</v>
      </c>
      <c r="B45" s="191" t="str">
        <f>Imported_Template!B43</f>
        <v>09-051</v>
      </c>
      <c r="C45" s="191" t="str">
        <f>Imported_Template!C43</f>
        <v>B</v>
      </c>
      <c r="D45" s="191" t="str">
        <f>Imported_Template!D43</f>
        <v>6B</v>
      </c>
      <c r="E45" s="145">
        <f>Data!H43</f>
        <v>30.043005207507235</v>
      </c>
      <c r="F45" s="145">
        <f>Data!S36</f>
        <v>30.765427429613318</v>
      </c>
      <c r="G45" s="145">
        <f t="shared" si="10"/>
        <v>300.43005207507235</v>
      </c>
      <c r="H45" s="145">
        <f t="shared" si="10"/>
        <v>307.65427429613317</v>
      </c>
      <c r="I45" s="177" t="str">
        <f t="shared" si="11"/>
        <v>09-051</v>
      </c>
      <c r="J45" s="177" t="str">
        <f t="shared" si="11"/>
        <v>B</v>
      </c>
      <c r="K45" s="177" t="str">
        <f t="shared" si="11"/>
        <v>6B</v>
      </c>
      <c r="L45" s="145">
        <f t="shared" si="3"/>
        <v>304.04216318560276</v>
      </c>
      <c r="M45" s="145">
        <f t="shared" si="4"/>
        <v>304.04216318560276</v>
      </c>
      <c r="N45" s="145">
        <f t="shared" si="5"/>
        <v>5.1082965213106428</v>
      </c>
      <c r="O45" s="145">
        <f t="shared" si="6"/>
        <v>1.6801276730136534</v>
      </c>
      <c r="P45" s="606">
        <v>42</v>
      </c>
      <c r="Q45" s="610" t="str">
        <f>Report!A85</f>
        <v>U45</v>
      </c>
      <c r="R45" s="611">
        <f>Report!H85</f>
        <v>1.680127673013657E-2</v>
      </c>
      <c r="S45" s="612">
        <f t="shared" si="7"/>
        <v>99.999999999999787</v>
      </c>
      <c r="T45" s="25"/>
    </row>
    <row r="46" spans="1:20" ht="15.75" x14ac:dyDescent="0.25">
      <c r="A46" s="489" t="s">
        <v>1013</v>
      </c>
      <c r="B46" s="191" t="str">
        <f>Imported_Template!B44</f>
        <v>09-052</v>
      </c>
      <c r="C46" s="191" t="str">
        <f>Imported_Template!C44</f>
        <v>B</v>
      </c>
      <c r="D46" s="191" t="str">
        <f>Imported_Template!D44</f>
        <v>6A</v>
      </c>
      <c r="E46" s="145">
        <f>Data!I36</f>
        <v>34.810905992708015</v>
      </c>
      <c r="F46" s="145">
        <f>Data!R43</f>
        <v>32.643636676255007</v>
      </c>
      <c r="G46" s="145">
        <f t="shared" si="10"/>
        <v>348.10905992708012</v>
      </c>
      <c r="H46" s="145">
        <f t="shared" si="10"/>
        <v>326.43636676255005</v>
      </c>
      <c r="I46" s="177" t="str">
        <f t="shared" si="11"/>
        <v>09-052</v>
      </c>
      <c r="J46" s="177" t="str">
        <f t="shared" si="11"/>
        <v>B</v>
      </c>
      <c r="K46" s="177" t="str">
        <f t="shared" si="11"/>
        <v>6A</v>
      </c>
      <c r="L46" s="145">
        <f t="shared" si="3"/>
        <v>337.27271334481509</v>
      </c>
      <c r="M46" s="145">
        <f t="shared" si="4"/>
        <v>337.27271334481509</v>
      </c>
      <c r="N46" s="145">
        <f t="shared" si="5"/>
        <v>15.324908303214551</v>
      </c>
      <c r="O46" s="145">
        <f t="shared" si="6"/>
        <v>4.5437735389957075</v>
      </c>
      <c r="P46" s="606">
        <v>43</v>
      </c>
      <c r="Q46" s="610" t="str">
        <f>Report!A86</f>
        <v>U46</v>
      </c>
      <c r="R46" s="611">
        <f>Report!H86</f>
        <v>4.5437735389957094E-2</v>
      </c>
      <c r="S46" s="612">
        <f t="shared" si="7"/>
        <v>99.999999999999957</v>
      </c>
      <c r="T46" s="25"/>
    </row>
    <row r="47" spans="1:20" ht="15.75" x14ac:dyDescent="0.25">
      <c r="A47" s="489" t="s">
        <v>1046</v>
      </c>
      <c r="B47" s="191" t="str">
        <f>Imported_Template!B45</f>
        <v>09-053</v>
      </c>
      <c r="C47" s="191" t="str">
        <f>Imported_Template!C45</f>
        <v>B</v>
      </c>
      <c r="D47" s="191" t="str">
        <f>Imported_Template!D45</f>
        <v>6B</v>
      </c>
      <c r="E47" s="145">
        <f>Data!I37</f>
        <v>31.343345248280443</v>
      </c>
      <c r="F47" s="145">
        <f>Data!R42</f>
        <v>31.054388001374441</v>
      </c>
      <c r="G47" s="145">
        <f t="shared" si="10"/>
        <v>313.43345248280446</v>
      </c>
      <c r="H47" s="145">
        <f t="shared" si="10"/>
        <v>310.5438800137444</v>
      </c>
      <c r="I47" s="177" t="str">
        <f t="shared" si="11"/>
        <v>09-053</v>
      </c>
      <c r="J47" s="177" t="str">
        <f t="shared" si="11"/>
        <v>B</v>
      </c>
      <c r="K47" s="177" t="str">
        <f t="shared" si="11"/>
        <v>6B</v>
      </c>
      <c r="L47" s="145">
        <f t="shared" si="3"/>
        <v>311.9886662482744</v>
      </c>
      <c r="M47" s="145">
        <f t="shared" si="4"/>
        <v>311.9886662482744</v>
      </c>
      <c r="N47" s="145">
        <f t="shared" si="5"/>
        <v>2.0432362876023209</v>
      </c>
      <c r="O47" s="145">
        <f t="shared" si="6"/>
        <v>0.65490721575647048</v>
      </c>
      <c r="P47" s="606">
        <v>44</v>
      </c>
      <c r="Q47" s="610" t="str">
        <f>Report!A87</f>
        <v>U47</v>
      </c>
      <c r="R47" s="611">
        <f>Report!H87</f>
        <v>6.5490721575647681E-3</v>
      </c>
      <c r="S47" s="612">
        <f t="shared" si="7"/>
        <v>99.999999999999034</v>
      </c>
      <c r="T47" s="25"/>
    </row>
    <row r="48" spans="1:20" ht="15.75" x14ac:dyDescent="0.25">
      <c r="A48" s="489" t="s">
        <v>1079</v>
      </c>
      <c r="B48" s="191" t="str">
        <f>Imported_Template!B46</f>
        <v>09-054</v>
      </c>
      <c r="C48" s="191" t="str">
        <f>Imported_Template!C46</f>
        <v>B</v>
      </c>
      <c r="D48" s="191" t="str">
        <f>Imported_Template!D46</f>
        <v>6A</v>
      </c>
      <c r="E48" s="145">
        <f>Data!I38</f>
        <v>30.620945600970369</v>
      </c>
      <c r="F48" s="145">
        <f>Data!R41</f>
        <v>32.93259218007573</v>
      </c>
      <c r="G48" s="145">
        <f t="shared" si="10"/>
        <v>306.20945600970367</v>
      </c>
      <c r="H48" s="145">
        <f t="shared" si="10"/>
        <v>329.32592180075733</v>
      </c>
      <c r="I48" s="177" t="str">
        <f t="shared" si="11"/>
        <v>09-054</v>
      </c>
      <c r="J48" s="177" t="str">
        <f t="shared" si="11"/>
        <v>B</v>
      </c>
      <c r="K48" s="177" t="str">
        <f t="shared" si="11"/>
        <v>6A</v>
      </c>
      <c r="L48" s="145">
        <f t="shared" si="3"/>
        <v>317.7676889052305</v>
      </c>
      <c r="M48" s="145">
        <f t="shared" si="4"/>
        <v>317.7676889052305</v>
      </c>
      <c r="N48" s="145">
        <f t="shared" si="5"/>
        <v>16.34580971792089</v>
      </c>
      <c r="O48" s="145">
        <f t="shared" si="6"/>
        <v>5.1439495860121216</v>
      </c>
      <c r="P48" s="606">
        <v>45</v>
      </c>
      <c r="Q48" s="610" t="str">
        <f>Report!A88</f>
        <v>U48</v>
      </c>
      <c r="R48" s="611">
        <f>Report!H88</f>
        <v>5.1439495860121101E-2</v>
      </c>
      <c r="S48" s="612">
        <f t="shared" si="7"/>
        <v>100.00000000000023</v>
      </c>
      <c r="T48" s="25"/>
    </row>
    <row r="49" spans="1:20" ht="15.75" x14ac:dyDescent="0.25">
      <c r="A49" s="489" t="s">
        <v>1111</v>
      </c>
      <c r="B49" s="191" t="str">
        <f>Imported_Template!B47</f>
        <v>09-055</v>
      </c>
      <c r="C49" s="191" t="str">
        <f>Imported_Template!C47</f>
        <v>B</v>
      </c>
      <c r="D49" s="191" t="str">
        <f>Imported_Template!D47</f>
        <v>6B</v>
      </c>
      <c r="E49" s="145">
        <f>Data!I39</f>
        <v>29.754025467508455</v>
      </c>
      <c r="F49" s="145">
        <f>Data!R40</f>
        <v>30.620945600970376</v>
      </c>
      <c r="G49" s="145">
        <f t="shared" si="10"/>
        <v>297.54025467508455</v>
      </c>
      <c r="H49" s="145">
        <f t="shared" si="10"/>
        <v>306.20945600970379</v>
      </c>
      <c r="I49" s="177" t="str">
        <f t="shared" si="11"/>
        <v>09-055</v>
      </c>
      <c r="J49" s="177" t="str">
        <f t="shared" si="11"/>
        <v>B</v>
      </c>
      <c r="K49" s="177" t="str">
        <f t="shared" si="11"/>
        <v>6B</v>
      </c>
      <c r="L49" s="145">
        <f t="shared" si="3"/>
        <v>301.8748553423942</v>
      </c>
      <c r="M49" s="145">
        <f t="shared" si="4"/>
        <v>301.8748553423942</v>
      </c>
      <c r="N49" s="145">
        <f t="shared" si="5"/>
        <v>6.1300510511807262</v>
      </c>
      <c r="O49" s="145">
        <f t="shared" si="6"/>
        <v>2.0306597063965017</v>
      </c>
      <c r="P49" s="606">
        <v>46</v>
      </c>
      <c r="Q49" s="610" t="str">
        <f>Report!A89</f>
        <v>U49</v>
      </c>
      <c r="R49" s="611">
        <f>Report!H89</f>
        <v>2.0306597063964978E-2</v>
      </c>
      <c r="S49" s="612">
        <f t="shared" si="7"/>
        <v>100.0000000000002</v>
      </c>
      <c r="T49" s="25"/>
    </row>
    <row r="50" spans="1:20" ht="15.75" x14ac:dyDescent="0.25">
      <c r="A50" s="489" t="s">
        <v>1120</v>
      </c>
      <c r="B50" s="191" t="str">
        <f>Imported_Template!B48</f>
        <v>09-056</v>
      </c>
      <c r="C50" s="191" t="str">
        <f>Imported_Template!C48</f>
        <v>B</v>
      </c>
      <c r="D50" s="191" t="str">
        <f>Imported_Template!D48</f>
        <v>6A</v>
      </c>
      <c r="E50" s="145">
        <f>Data!I40</f>
        <v>31.487822918657415</v>
      </c>
      <c r="F50" s="145">
        <f>Data!R39</f>
        <v>31.487822918657422</v>
      </c>
      <c r="G50" s="145">
        <f t="shared" si="10"/>
        <v>314.87822918657412</v>
      </c>
      <c r="H50" s="145">
        <f t="shared" si="10"/>
        <v>314.87822918657423</v>
      </c>
      <c r="I50" s="177" t="str">
        <f t="shared" si="11"/>
        <v>09-056</v>
      </c>
      <c r="J50" s="177" t="str">
        <f t="shared" si="11"/>
        <v>B</v>
      </c>
      <c r="K50" s="177" t="str">
        <f t="shared" si="11"/>
        <v>6A</v>
      </c>
      <c r="L50" s="145">
        <f t="shared" si="3"/>
        <v>314.87822918657417</v>
      </c>
      <c r="M50" s="145">
        <f t="shared" si="4"/>
        <v>314.87822918657417</v>
      </c>
      <c r="N50" s="145">
        <f t="shared" si="5"/>
        <v>8.0388733884609289E-14</v>
      </c>
      <c r="O50" s="145">
        <f t="shared" si="6"/>
        <v>2.5530102253267154E-14</v>
      </c>
      <c r="P50" s="606">
        <v>47</v>
      </c>
      <c r="Q50" s="610" t="str">
        <f>Report!A90</f>
        <v>U50</v>
      </c>
      <c r="R50" s="611">
        <f>Report!H90</f>
        <v>0</v>
      </c>
      <c r="S50" s="612" t="e">
        <f t="shared" si="7"/>
        <v>#DIV/0!</v>
      </c>
      <c r="T50" s="25"/>
    </row>
    <row r="51" spans="1:20" ht="15.75" x14ac:dyDescent="0.25">
      <c r="A51" s="489" t="s">
        <v>1088</v>
      </c>
      <c r="B51" s="191" t="str">
        <f>Imported_Template!B49</f>
        <v>09-057</v>
      </c>
      <c r="C51" s="191" t="str">
        <f>Imported_Template!C49</f>
        <v>B</v>
      </c>
      <c r="D51" s="191" t="str">
        <f>Imported_Template!D49</f>
        <v>6B</v>
      </c>
      <c r="E51" s="145">
        <f>Data!I41</f>
        <v>27.297285793713083</v>
      </c>
      <c r="F51" s="145">
        <f>Data!R38</f>
        <v>28.308991671707691</v>
      </c>
      <c r="G51" s="145">
        <f t="shared" si="10"/>
        <v>272.97285793713081</v>
      </c>
      <c r="H51" s="145">
        <f t="shared" si="10"/>
        <v>283.0899167170769</v>
      </c>
      <c r="I51" s="177" t="str">
        <f t="shared" si="11"/>
        <v>09-057</v>
      </c>
      <c r="J51" s="177" t="str">
        <f t="shared" si="11"/>
        <v>B</v>
      </c>
      <c r="K51" s="177" t="str">
        <f t="shared" si="11"/>
        <v>6B</v>
      </c>
      <c r="L51" s="145">
        <f t="shared" si="3"/>
        <v>278.03138732710386</v>
      </c>
      <c r="M51" s="145">
        <f t="shared" si="4"/>
        <v>278.03138732710386</v>
      </c>
      <c r="N51" s="145">
        <f t="shared" si="5"/>
        <v>7.1538408689627806</v>
      </c>
      <c r="O51" s="145">
        <f t="shared" si="6"/>
        <v>2.5730335476642745</v>
      </c>
      <c r="P51" s="606">
        <v>48</v>
      </c>
      <c r="Q51" s="610" t="str">
        <f>Report!A91</f>
        <v>U51</v>
      </c>
      <c r="R51" s="611">
        <f>Report!H91</f>
        <v>2.5730335476642708E-2</v>
      </c>
      <c r="S51" s="612">
        <f t="shared" si="7"/>
        <v>100.00000000000014</v>
      </c>
    </row>
    <row r="52" spans="1:20" ht="15.75" x14ac:dyDescent="0.25">
      <c r="A52" s="489" t="s">
        <v>1055</v>
      </c>
      <c r="B52" s="191" t="str">
        <f>Imported_Template!B50</f>
        <v>09-058</v>
      </c>
      <c r="C52" s="191" t="str">
        <f>Imported_Template!C50</f>
        <v>B</v>
      </c>
      <c r="D52" s="191" t="str">
        <f>Imported_Template!D50</f>
        <v>6A</v>
      </c>
      <c r="E52" s="145">
        <f>Data!I42</f>
        <v>30.909908190140907</v>
      </c>
      <c r="F52" s="145">
        <f>Data!R37</f>
        <v>30.765427429613318</v>
      </c>
      <c r="G52" s="145">
        <f t="shared" si="10"/>
        <v>309.09908190140908</v>
      </c>
      <c r="H52" s="145">
        <f t="shared" si="10"/>
        <v>307.65427429613317</v>
      </c>
      <c r="I52" s="177" t="str">
        <f t="shared" si="11"/>
        <v>09-058</v>
      </c>
      <c r="J52" s="177" t="str">
        <f t="shared" si="11"/>
        <v>B</v>
      </c>
      <c r="K52" s="177" t="str">
        <f t="shared" si="11"/>
        <v>6A</v>
      </c>
      <c r="L52" s="145">
        <f t="shared" si="3"/>
        <v>308.37667809877109</v>
      </c>
      <c r="M52" s="145">
        <f t="shared" si="4"/>
        <v>308.37667809877109</v>
      </c>
      <c r="N52" s="145">
        <f t="shared" si="5"/>
        <v>1.0216332552004941</v>
      </c>
      <c r="O52" s="145">
        <f t="shared" si="6"/>
        <v>0.33129394268696011</v>
      </c>
      <c r="P52" s="606">
        <v>49</v>
      </c>
      <c r="Q52" s="610" t="str">
        <f>Report!A92</f>
        <v>U52</v>
      </c>
      <c r="R52" s="611">
        <f>Report!H92</f>
        <v>3.3129394268696329E-3</v>
      </c>
      <c r="S52" s="612">
        <f t="shared" si="7"/>
        <v>99.999999999999034</v>
      </c>
    </row>
    <row r="53" spans="1:20" ht="15.75" x14ac:dyDescent="0.25">
      <c r="A53" s="489" t="s">
        <v>1022</v>
      </c>
      <c r="B53" s="191" t="str">
        <f>Imported_Template!B51</f>
        <v>09-059</v>
      </c>
      <c r="C53" s="191" t="str">
        <f>Imported_Template!C51</f>
        <v>B</v>
      </c>
      <c r="D53" s="191" t="str">
        <f>Imported_Template!D51</f>
        <v>6B</v>
      </c>
      <c r="E53" s="145">
        <f>Data!I43</f>
        <v>29.898516234527044</v>
      </c>
      <c r="F53" s="145">
        <f>Data!R36</f>
        <v>31.054388001374441</v>
      </c>
      <c r="G53" s="145">
        <f t="shared" ref="G53:H116" si="12">E53*$B$2</f>
        <v>298.98516234527045</v>
      </c>
      <c r="H53" s="145">
        <f t="shared" si="12"/>
        <v>310.5438800137444</v>
      </c>
      <c r="I53" s="177" t="str">
        <f t="shared" si="11"/>
        <v>09-059</v>
      </c>
      <c r="J53" s="177" t="str">
        <f t="shared" si="11"/>
        <v>B</v>
      </c>
      <c r="K53" s="177" t="str">
        <f t="shared" si="11"/>
        <v>6B</v>
      </c>
      <c r="L53" s="145">
        <f t="shared" si="3"/>
        <v>304.76452117950743</v>
      </c>
      <c r="M53" s="145">
        <f t="shared" si="4"/>
        <v>304.76452117950743</v>
      </c>
      <c r="N53" s="145">
        <f t="shared" si="5"/>
        <v>8.1732476451986873</v>
      </c>
      <c r="O53" s="145">
        <f t="shared" si="6"/>
        <v>2.6818238598004704</v>
      </c>
      <c r="P53" s="606">
        <v>50</v>
      </c>
      <c r="Q53" s="610" t="str">
        <f>Report!A93</f>
        <v>U53</v>
      </c>
      <c r="R53" s="611">
        <f>Report!H93</f>
        <v>2.6818238598004609E-2</v>
      </c>
      <c r="S53" s="612">
        <f t="shared" si="7"/>
        <v>100.00000000000036</v>
      </c>
    </row>
    <row r="54" spans="1:20" ht="15.75" x14ac:dyDescent="0.25">
      <c r="A54" s="489" t="s">
        <v>1014</v>
      </c>
      <c r="B54" s="191" t="str">
        <f>Imported_Template!B52</f>
        <v>09-060</v>
      </c>
      <c r="C54" s="191" t="str">
        <f>Imported_Template!C52</f>
        <v>B</v>
      </c>
      <c r="D54" s="191" t="str">
        <f>Imported_Template!D52</f>
        <v>6A</v>
      </c>
      <c r="E54" s="145">
        <f>Data!J36</f>
        <v>33.654994341217964</v>
      </c>
      <c r="F54" s="145">
        <f>Data!Q43</f>
        <v>33.366030627971739</v>
      </c>
      <c r="G54" s="145">
        <f t="shared" si="12"/>
        <v>336.54994341217963</v>
      </c>
      <c r="H54" s="145">
        <f t="shared" si="12"/>
        <v>333.66030627971736</v>
      </c>
      <c r="I54" s="177" t="str">
        <f t="shared" si="11"/>
        <v>09-060</v>
      </c>
      <c r="J54" s="177" t="str">
        <f t="shared" si="11"/>
        <v>B</v>
      </c>
      <c r="K54" s="177" t="str">
        <f t="shared" si="11"/>
        <v>6A</v>
      </c>
      <c r="L54" s="145">
        <f t="shared" si="3"/>
        <v>335.10512484594847</v>
      </c>
      <c r="M54" s="145">
        <f t="shared" si="4"/>
        <v>335.10512484594847</v>
      </c>
      <c r="N54" s="145">
        <f t="shared" si="5"/>
        <v>2.0432820115325203</v>
      </c>
      <c r="O54" s="145">
        <f t="shared" si="6"/>
        <v>0.60974358791792271</v>
      </c>
      <c r="P54" s="606">
        <v>51</v>
      </c>
      <c r="Q54" s="610" t="str">
        <f>Report!A94</f>
        <v>U54</v>
      </c>
      <c r="R54" s="611">
        <f>Report!H94</f>
        <v>6.0974358791791956E-3</v>
      </c>
      <c r="S54" s="612">
        <f t="shared" si="7"/>
        <v>100.00000000000051</v>
      </c>
    </row>
    <row r="55" spans="1:20" ht="15.75" x14ac:dyDescent="0.25">
      <c r="A55" s="489" t="s">
        <v>1047</v>
      </c>
      <c r="B55" s="191" t="str">
        <f>Imported_Template!B53</f>
        <v>09-061</v>
      </c>
      <c r="C55" s="191" t="str">
        <f>Imported_Template!C53</f>
        <v>B</v>
      </c>
      <c r="D55" s="191" t="str">
        <f>Imported_Template!D53</f>
        <v>6B</v>
      </c>
      <c r="E55" s="145">
        <f>Data!J37</f>
        <v>31.776776935741228</v>
      </c>
      <c r="F55" s="145">
        <f>Data!Q42</f>
        <v>31.487822918657422</v>
      </c>
      <c r="G55" s="145">
        <f t="shared" si="12"/>
        <v>317.76776935741231</v>
      </c>
      <c r="H55" s="145">
        <f t="shared" si="12"/>
        <v>314.87822918657423</v>
      </c>
      <c r="I55" s="177" t="str">
        <f t="shared" si="11"/>
        <v>09-061</v>
      </c>
      <c r="J55" s="177" t="str">
        <f t="shared" si="11"/>
        <v>B</v>
      </c>
      <c r="K55" s="177" t="str">
        <f t="shared" si="11"/>
        <v>6B</v>
      </c>
      <c r="L55" s="145">
        <f t="shared" si="3"/>
        <v>316.32299927199324</v>
      </c>
      <c r="M55" s="145">
        <f t="shared" si="4"/>
        <v>316.32299927199324</v>
      </c>
      <c r="N55" s="145">
        <f t="shared" si="5"/>
        <v>2.0432134493105374</v>
      </c>
      <c r="O55" s="145">
        <f t="shared" si="6"/>
        <v>0.64592630128473882</v>
      </c>
      <c r="P55" s="606">
        <v>52</v>
      </c>
      <c r="Q55" s="610" t="str">
        <f>Report!A95</f>
        <v>U55</v>
      </c>
      <c r="R55" s="611">
        <f>Report!H95</f>
        <v>6.4592630128473723E-3</v>
      </c>
      <c r="S55" s="612">
        <f t="shared" si="7"/>
        <v>100.00000000000024</v>
      </c>
    </row>
    <row r="56" spans="1:20" ht="15.75" x14ac:dyDescent="0.25">
      <c r="A56" s="489" t="s">
        <v>1080</v>
      </c>
      <c r="B56" s="191" t="str">
        <f>Imported_Template!B54</f>
        <v>09-062</v>
      </c>
      <c r="C56" s="191" t="str">
        <f>Imported_Template!C54</f>
        <v>B</v>
      </c>
      <c r="D56" s="191" t="str">
        <f>Imported_Template!D54</f>
        <v>6A</v>
      </c>
      <c r="E56" s="145">
        <f>Data!J38</f>
        <v>31.632300109166327</v>
      </c>
      <c r="F56" s="145">
        <f>Data!Q41</f>
        <v>31.487822918657415</v>
      </c>
      <c r="G56" s="145">
        <f t="shared" si="12"/>
        <v>316.32300109166329</v>
      </c>
      <c r="H56" s="145">
        <f t="shared" si="12"/>
        <v>314.87822918657412</v>
      </c>
      <c r="I56" s="177" t="str">
        <f t="shared" si="11"/>
        <v>09-062</v>
      </c>
      <c r="J56" s="177" t="str">
        <f t="shared" si="11"/>
        <v>B</v>
      </c>
      <c r="K56" s="177" t="str">
        <f t="shared" si="11"/>
        <v>6A</v>
      </c>
      <c r="L56" s="145">
        <f t="shared" si="3"/>
        <v>315.6006151391187</v>
      </c>
      <c r="M56" s="145">
        <f t="shared" si="4"/>
        <v>315.6006151391187</v>
      </c>
      <c r="N56" s="145">
        <f t="shared" si="5"/>
        <v>1.0216080113563586</v>
      </c>
      <c r="O56" s="145">
        <f t="shared" si="6"/>
        <v>0.3237027947192142</v>
      </c>
      <c r="P56" s="606">
        <v>53</v>
      </c>
      <c r="Q56" s="610" t="str">
        <f>Report!A96</f>
        <v>U56</v>
      </c>
      <c r="R56" s="611">
        <f>Report!H96</f>
        <v>3.2370279471917117E-3</v>
      </c>
      <c r="S56" s="612">
        <f t="shared" si="7"/>
        <v>100.00000000001329</v>
      </c>
    </row>
    <row r="57" spans="1:20" ht="15.75" x14ac:dyDescent="0.25">
      <c r="A57" s="489" t="s">
        <v>1112</v>
      </c>
      <c r="B57" s="191" t="str">
        <f>Imported_Template!B55</f>
        <v>09-063</v>
      </c>
      <c r="C57" s="191" t="str">
        <f>Imported_Template!C55</f>
        <v>B</v>
      </c>
      <c r="D57" s="191" t="str">
        <f>Imported_Template!D55</f>
        <v>6B</v>
      </c>
      <c r="E57" s="145">
        <f>Data!J39</f>
        <v>32.354682902209589</v>
      </c>
      <c r="F57" s="145">
        <f>Data!Q40</f>
        <v>32.643636676255007</v>
      </c>
      <c r="G57" s="145">
        <f t="shared" si="12"/>
        <v>323.54682902209589</v>
      </c>
      <c r="H57" s="145">
        <f t="shared" si="12"/>
        <v>326.43636676255005</v>
      </c>
      <c r="I57" s="177" t="str">
        <f t="shared" si="11"/>
        <v>09-063</v>
      </c>
      <c r="J57" s="177" t="str">
        <f t="shared" si="11"/>
        <v>B</v>
      </c>
      <c r="K57" s="177" t="str">
        <f t="shared" si="11"/>
        <v>6B</v>
      </c>
      <c r="L57" s="145">
        <f t="shared" si="3"/>
        <v>324.99159789232294</v>
      </c>
      <c r="M57" s="145">
        <f t="shared" si="4"/>
        <v>324.99159789232294</v>
      </c>
      <c r="N57" s="145">
        <f t="shared" si="5"/>
        <v>2.0432117307695901</v>
      </c>
      <c r="O57" s="145">
        <f t="shared" si="6"/>
        <v>0.62869678601554257</v>
      </c>
      <c r="P57" s="606">
        <v>54</v>
      </c>
      <c r="Q57" s="610" t="str">
        <f>Report!A97</f>
        <v>U57</v>
      </c>
      <c r="R57" s="611">
        <f>Report!H97</f>
        <v>6.2869678601556109E-3</v>
      </c>
      <c r="S57" s="612">
        <f t="shared" si="7"/>
        <v>99.999999999997058</v>
      </c>
    </row>
    <row r="58" spans="1:20" ht="15.75" x14ac:dyDescent="0.25">
      <c r="A58" s="489" t="s">
        <v>1119</v>
      </c>
      <c r="B58" s="191" t="str">
        <f>Imported_Template!B56</f>
        <v>09-064</v>
      </c>
      <c r="C58" s="191" t="str">
        <f>Imported_Template!C56</f>
        <v>B</v>
      </c>
      <c r="D58" s="191" t="str">
        <f>Imported_Template!D56</f>
        <v>6A</v>
      </c>
      <c r="E58" s="145">
        <f>Data!J40</f>
        <v>36.978637040468783</v>
      </c>
      <c r="F58" s="145">
        <f>Data!Q39</f>
        <v>36.834100241706246</v>
      </c>
      <c r="G58" s="145">
        <f t="shared" si="12"/>
        <v>369.78637040468783</v>
      </c>
      <c r="H58" s="145">
        <f t="shared" si="12"/>
        <v>368.34100241706244</v>
      </c>
      <c r="I58" s="177" t="str">
        <f t="shared" si="11"/>
        <v>09-064</v>
      </c>
      <c r="J58" s="177" t="str">
        <f t="shared" si="11"/>
        <v>B</v>
      </c>
      <c r="K58" s="177" t="str">
        <f t="shared" si="11"/>
        <v>6A</v>
      </c>
      <c r="L58" s="145">
        <f t="shared" si="3"/>
        <v>369.06368641087511</v>
      </c>
      <c r="M58" s="145">
        <f t="shared" si="4"/>
        <v>369.06368641087511</v>
      </c>
      <c r="N58" s="145">
        <f t="shared" si="5"/>
        <v>1.0220295053598663</v>
      </c>
      <c r="O58" s="145">
        <f t="shared" si="6"/>
        <v>0.27692497067350336</v>
      </c>
      <c r="P58" s="606">
        <v>55</v>
      </c>
      <c r="Q58" s="610" t="str">
        <f>Report!A98</f>
        <v>U58</v>
      </c>
      <c r="R58" s="611">
        <f>Report!H98</f>
        <v>2.7692497067350061E-3</v>
      </c>
      <c r="S58" s="612">
        <f t="shared" si="7"/>
        <v>100.00000000000099</v>
      </c>
    </row>
    <row r="59" spans="1:20" ht="15.75" x14ac:dyDescent="0.25">
      <c r="A59" s="489" t="s">
        <v>1087</v>
      </c>
      <c r="B59" s="191" t="str">
        <f>Imported_Template!B57</f>
        <v>09-065</v>
      </c>
      <c r="C59" s="191" t="str">
        <f>Imported_Template!C57</f>
        <v>B</v>
      </c>
      <c r="D59" s="191" t="str">
        <f>Imported_Template!D57</f>
        <v>6B</v>
      </c>
      <c r="E59" s="145">
        <f>Data!J41</f>
        <v>37.701376946437577</v>
      </c>
      <c r="F59" s="145">
        <f>Data!Q38</f>
        <v>37.845936802158512</v>
      </c>
      <c r="G59" s="145">
        <f t="shared" si="12"/>
        <v>377.01376946437574</v>
      </c>
      <c r="H59" s="145">
        <f t="shared" si="12"/>
        <v>378.45936802158514</v>
      </c>
      <c r="I59" s="177" t="str">
        <f t="shared" si="11"/>
        <v>09-065</v>
      </c>
      <c r="J59" s="177" t="str">
        <f t="shared" si="11"/>
        <v>B</v>
      </c>
      <c r="K59" s="177" t="str">
        <f t="shared" si="11"/>
        <v>6B</v>
      </c>
      <c r="L59" s="145">
        <f t="shared" si="3"/>
        <v>377.73656874298047</v>
      </c>
      <c r="M59" s="145">
        <f t="shared" si="4"/>
        <v>377.73656874298047</v>
      </c>
      <c r="N59" s="145">
        <f t="shared" si="5"/>
        <v>1.0221925426762515</v>
      </c>
      <c r="O59" s="145">
        <f t="shared" si="6"/>
        <v>0.27060989781261335</v>
      </c>
      <c r="P59" s="606">
        <v>56</v>
      </c>
      <c r="Q59" s="610" t="str">
        <f>Report!A99</f>
        <v>U59</v>
      </c>
      <c r="R59" s="611">
        <f>Report!H99</f>
        <v>2.7060989781260546E-3</v>
      </c>
      <c r="S59" s="612">
        <f t="shared" si="7"/>
        <v>100.00000000000291</v>
      </c>
    </row>
    <row r="60" spans="1:20" ht="15.75" x14ac:dyDescent="0.25">
      <c r="A60" s="489" t="s">
        <v>1054</v>
      </c>
      <c r="B60" s="191" t="str">
        <f>Imported_Template!B58</f>
        <v>09-066</v>
      </c>
      <c r="C60" s="191" t="str">
        <f>Imported_Template!C58</f>
        <v>B</v>
      </c>
      <c r="D60" s="191" t="str">
        <f>Imported_Template!D58</f>
        <v>6A</v>
      </c>
      <c r="E60" s="145">
        <f>Data!J42</f>
        <v>30.043005207507235</v>
      </c>
      <c r="F60" s="145">
        <f>Data!Q37</f>
        <v>28.59801981350012</v>
      </c>
      <c r="G60" s="145">
        <f t="shared" si="12"/>
        <v>300.43005207507235</v>
      </c>
      <c r="H60" s="145">
        <f t="shared" si="12"/>
        <v>285.98019813500122</v>
      </c>
      <c r="I60" s="177" t="str">
        <f t="shared" si="11"/>
        <v>09-066</v>
      </c>
      <c r="J60" s="177" t="str">
        <f t="shared" si="11"/>
        <v>B</v>
      </c>
      <c r="K60" s="177" t="str">
        <f t="shared" si="11"/>
        <v>6A</v>
      </c>
      <c r="L60" s="145">
        <f t="shared" si="3"/>
        <v>293.20512510503681</v>
      </c>
      <c r="M60" s="145">
        <f t="shared" si="4"/>
        <v>293.20512510503681</v>
      </c>
      <c r="N60" s="145">
        <f t="shared" si="5"/>
        <v>10.217589708179453</v>
      </c>
      <c r="O60" s="145">
        <f t="shared" si="6"/>
        <v>3.4847923290969551</v>
      </c>
      <c r="P60" s="606">
        <v>57</v>
      </c>
      <c r="Q60" s="610" t="str">
        <f>Report!A100</f>
        <v>U60</v>
      </c>
      <c r="R60" s="611">
        <f>Report!H100</f>
        <v>3.4847923290969696E-2</v>
      </c>
      <c r="S60" s="612">
        <f t="shared" si="7"/>
        <v>99.999999999999588</v>
      </c>
    </row>
    <row r="61" spans="1:20" ht="15.75" x14ac:dyDescent="0.25">
      <c r="A61" s="489" t="s">
        <v>1021</v>
      </c>
      <c r="B61" s="191" t="str">
        <f>Imported_Template!B59</f>
        <v>09-067</v>
      </c>
      <c r="C61" s="191" t="str">
        <f>Imported_Template!C59</f>
        <v>B</v>
      </c>
      <c r="D61" s="191" t="str">
        <f>Imported_Template!D59</f>
        <v>6B</v>
      </c>
      <c r="E61" s="145">
        <f>Data!J43</f>
        <v>36.834100241706246</v>
      </c>
      <c r="F61" s="145">
        <f>Data!Q36</f>
        <v>36.255986995569643</v>
      </c>
      <c r="G61" s="145">
        <f t="shared" si="12"/>
        <v>368.34100241706244</v>
      </c>
      <c r="H61" s="145">
        <f t="shared" si="12"/>
        <v>362.5598699556964</v>
      </c>
      <c r="I61" s="177" t="str">
        <f t="shared" si="11"/>
        <v>09-067</v>
      </c>
      <c r="J61" s="177" t="str">
        <f t="shared" si="11"/>
        <v>B</v>
      </c>
      <c r="K61" s="177" t="str">
        <f t="shared" si="11"/>
        <v>6B</v>
      </c>
      <c r="L61" s="145">
        <f t="shared" si="3"/>
        <v>365.45043618637942</v>
      </c>
      <c r="M61" s="145">
        <f t="shared" si="4"/>
        <v>365.45043618637942</v>
      </c>
      <c r="N61" s="145">
        <f t="shared" si="5"/>
        <v>4.0878779663696045</v>
      </c>
      <c r="O61" s="145">
        <f t="shared" si="6"/>
        <v>1.1185861505675669</v>
      </c>
      <c r="P61" s="606">
        <v>58</v>
      </c>
      <c r="Q61" s="610" t="str">
        <f>Report!A101</f>
        <v>U61</v>
      </c>
      <c r="R61" s="611">
        <f>Report!H101</f>
        <v>1.1185861505675642E-2</v>
      </c>
      <c r="S61" s="612">
        <f t="shared" ref="S61:S124" si="13">O61/R61</f>
        <v>100.00000000000024</v>
      </c>
    </row>
    <row r="62" spans="1:20" ht="15.75" x14ac:dyDescent="0.25">
      <c r="A62" s="489" t="s">
        <v>1015</v>
      </c>
      <c r="B62" s="191" t="str">
        <f>Imported_Template!B60</f>
        <v>09-068</v>
      </c>
      <c r="C62" s="191" t="str">
        <f>Imported_Template!C60</f>
        <v>B</v>
      </c>
      <c r="D62" s="191" t="str">
        <f>Imported_Template!D60</f>
        <v>6A</v>
      </c>
      <c r="E62" s="145">
        <f>Data!K36</f>
        <v>39.002574555113561</v>
      </c>
      <c r="F62" s="145">
        <f>Data!P43</f>
        <v>42.329843191327534</v>
      </c>
      <c r="G62" s="145">
        <f t="shared" si="12"/>
        <v>390.02574555113563</v>
      </c>
      <c r="H62" s="145">
        <f t="shared" si="12"/>
        <v>423.29843191327535</v>
      </c>
      <c r="I62" s="177" t="str">
        <f t="shared" si="11"/>
        <v>09-068</v>
      </c>
      <c r="J62" s="177" t="str">
        <f t="shared" si="11"/>
        <v>B</v>
      </c>
      <c r="K62" s="177" t="str">
        <f t="shared" si="11"/>
        <v>6A</v>
      </c>
      <c r="L62" s="145">
        <f t="shared" si="3"/>
        <v>406.66208873220546</v>
      </c>
      <c r="M62" s="145">
        <f t="shared" si="4"/>
        <v>406.66208873220546</v>
      </c>
      <c r="N62" s="145">
        <f t="shared" si="5"/>
        <v>23.527342154962156</v>
      </c>
      <c r="O62" s="145">
        <f t="shared" si="6"/>
        <v>5.7854771336836732</v>
      </c>
      <c r="P62" s="606">
        <v>59</v>
      </c>
      <c r="Q62" s="610" t="str">
        <f>Report!A102</f>
        <v>U62</v>
      </c>
      <c r="R62" s="611">
        <f>Report!H102</f>
        <v>5.7854771336836738E-2</v>
      </c>
      <c r="S62" s="612">
        <f t="shared" si="13"/>
        <v>99.999999999999986</v>
      </c>
    </row>
    <row r="63" spans="1:20" ht="15.75" x14ac:dyDescent="0.25">
      <c r="A63" s="489" t="s">
        <v>1048</v>
      </c>
      <c r="B63" s="191" t="str">
        <f>Imported_Template!B61</f>
        <v>09-069</v>
      </c>
      <c r="C63" s="191" t="str">
        <f>Imported_Template!C61</f>
        <v>B</v>
      </c>
      <c r="D63" s="191" t="str">
        <f>Imported_Template!D61</f>
        <v>6B</v>
      </c>
      <c r="E63" s="145">
        <f>Data!K37</f>
        <v>35.677923220981846</v>
      </c>
      <c r="F63" s="145">
        <f>Data!P42</f>
        <v>36.834100241706246</v>
      </c>
      <c r="G63" s="145">
        <f t="shared" si="12"/>
        <v>356.77923220981847</v>
      </c>
      <c r="H63" s="145">
        <f t="shared" si="12"/>
        <v>368.34100241706244</v>
      </c>
      <c r="I63" s="177" t="str">
        <f t="shared" si="11"/>
        <v>09-069</v>
      </c>
      <c r="J63" s="177" t="str">
        <f t="shared" si="11"/>
        <v>B</v>
      </c>
      <c r="K63" s="177" t="str">
        <f t="shared" si="11"/>
        <v>6B</v>
      </c>
      <c r="L63" s="145">
        <f t="shared" si="3"/>
        <v>362.56011731344046</v>
      </c>
      <c r="M63" s="145">
        <f t="shared" si="4"/>
        <v>362.56011731344046</v>
      </c>
      <c r="N63" s="145">
        <f t="shared" si="5"/>
        <v>8.1754061160628044</v>
      </c>
      <c r="O63" s="145">
        <f t="shared" si="6"/>
        <v>2.2549104895051109</v>
      </c>
      <c r="P63" s="606">
        <v>60</v>
      </c>
      <c r="Q63" s="610" t="str">
        <f>Report!A103</f>
        <v>U63</v>
      </c>
      <c r="R63" s="611">
        <f>Report!H103</f>
        <v>2.2549104895051165E-2</v>
      </c>
      <c r="S63" s="612">
        <f t="shared" si="13"/>
        <v>99.999999999999744</v>
      </c>
    </row>
    <row r="64" spans="1:20" ht="15.75" x14ac:dyDescent="0.25">
      <c r="A64" s="489" t="s">
        <v>1081</v>
      </c>
      <c r="B64" s="191" t="str">
        <f>Imported_Template!B62</f>
        <v>09-070</v>
      </c>
      <c r="C64" s="191" t="str">
        <f>Imported_Template!C62</f>
        <v>B</v>
      </c>
      <c r="D64" s="191" t="str">
        <f>Imported_Template!D62</f>
        <v>6A</v>
      </c>
      <c r="E64" s="145">
        <f>Data!K38</f>
        <v>38.279641883769209</v>
      </c>
      <c r="F64" s="145">
        <f>Data!P41</f>
        <v>39.725631211150841</v>
      </c>
      <c r="G64" s="145">
        <f t="shared" si="12"/>
        <v>382.7964188376921</v>
      </c>
      <c r="H64" s="145">
        <f t="shared" si="12"/>
        <v>397.25631211150841</v>
      </c>
      <c r="I64" s="177" t="str">
        <f t="shared" si="11"/>
        <v>09-070</v>
      </c>
      <c r="J64" s="177" t="str">
        <f t="shared" si="11"/>
        <v>B</v>
      </c>
      <c r="K64" s="177" t="str">
        <f t="shared" si="11"/>
        <v>6A</v>
      </c>
      <c r="L64" s="145">
        <f t="shared" si="3"/>
        <v>390.02636547460025</v>
      </c>
      <c r="M64" s="145">
        <f t="shared" si="4"/>
        <v>390.02636547460025</v>
      </c>
      <c r="N64" s="145">
        <f t="shared" si="5"/>
        <v>10.224688589149258</v>
      </c>
      <c r="O64" s="145">
        <f t="shared" si="6"/>
        <v>2.6215377969916043</v>
      </c>
      <c r="P64" s="606">
        <v>61</v>
      </c>
      <c r="Q64" s="610" t="str">
        <f>Report!A104</f>
        <v>U64</v>
      </c>
      <c r="R64" s="611">
        <f>Report!H104</f>
        <v>2.6215377969915937E-2</v>
      </c>
      <c r="S64" s="612">
        <f t="shared" si="13"/>
        <v>100.0000000000004</v>
      </c>
    </row>
    <row r="65" spans="1:19" ht="15.75" x14ac:dyDescent="0.25">
      <c r="A65" s="489" t="s">
        <v>1113</v>
      </c>
      <c r="B65" s="191" t="str">
        <f>Imported_Template!B63</f>
        <v>09-071</v>
      </c>
      <c r="C65" s="191" t="str">
        <f>Imported_Template!C63</f>
        <v>B</v>
      </c>
      <c r="D65" s="191" t="str">
        <f>Imported_Template!D63</f>
        <v>6B</v>
      </c>
      <c r="E65" s="145">
        <f>Data!K39</f>
        <v>35.24440392696517</v>
      </c>
      <c r="F65" s="145">
        <f>Data!P40</f>
        <v>36.689566938198595</v>
      </c>
      <c r="G65" s="145">
        <f t="shared" si="12"/>
        <v>352.44403926965168</v>
      </c>
      <c r="H65" s="145">
        <f t="shared" si="12"/>
        <v>366.89566938198595</v>
      </c>
      <c r="I65" s="177" t="str">
        <f t="shared" si="11"/>
        <v>09-071</v>
      </c>
      <c r="J65" s="177" t="str">
        <f t="shared" si="11"/>
        <v>B</v>
      </c>
      <c r="K65" s="177" t="str">
        <f t="shared" si="11"/>
        <v>6B</v>
      </c>
      <c r="L65" s="145">
        <f t="shared" si="3"/>
        <v>359.66985432581885</v>
      </c>
      <c r="M65" s="145">
        <f t="shared" si="4"/>
        <v>359.66985432581885</v>
      </c>
      <c r="N65" s="145">
        <f t="shared" si="5"/>
        <v>10.218845651631272</v>
      </c>
      <c r="O65" s="145">
        <f t="shared" si="6"/>
        <v>2.8411737955592442</v>
      </c>
      <c r="P65" s="606">
        <v>62</v>
      </c>
      <c r="Q65" s="610" t="str">
        <f>Report!A105</f>
        <v>U65</v>
      </c>
      <c r="R65" s="611">
        <f>Report!H105</f>
        <v>2.8411737955592417E-2</v>
      </c>
      <c r="S65" s="612">
        <f t="shared" si="13"/>
        <v>100.00000000000009</v>
      </c>
    </row>
    <row r="66" spans="1:19" ht="15.75" x14ac:dyDescent="0.25">
      <c r="A66" s="489" t="s">
        <v>1118</v>
      </c>
      <c r="B66" s="191" t="str">
        <f>Imported_Template!B64</f>
        <v>09-072</v>
      </c>
      <c r="C66" s="191" t="str">
        <f>Imported_Template!C64</f>
        <v>B</v>
      </c>
      <c r="D66" s="191" t="str">
        <f>Imported_Template!D64</f>
        <v>6A</v>
      </c>
      <c r="E66" s="145">
        <f>Data!K40</f>
        <v>36.834100241706246</v>
      </c>
      <c r="F66" s="145">
        <f>Data!P39</f>
        <v>37.845936802158512</v>
      </c>
      <c r="G66" s="145">
        <f t="shared" si="12"/>
        <v>368.34100241706244</v>
      </c>
      <c r="H66" s="145">
        <f t="shared" si="12"/>
        <v>378.45936802158514</v>
      </c>
      <c r="I66" s="177" t="str">
        <f t="shared" si="11"/>
        <v>09-072</v>
      </c>
      <c r="J66" s="177" t="str">
        <f t="shared" si="11"/>
        <v>B</v>
      </c>
      <c r="K66" s="177" t="str">
        <f t="shared" si="11"/>
        <v>6A</v>
      </c>
      <c r="L66" s="145">
        <f t="shared" si="3"/>
        <v>373.40018521932382</v>
      </c>
      <c r="M66" s="145">
        <f t="shared" si="4"/>
        <v>373.40018521932382</v>
      </c>
      <c r="N66" s="145">
        <f t="shared" si="5"/>
        <v>7.154764933482717</v>
      </c>
      <c r="O66" s="145">
        <f t="shared" si="6"/>
        <v>1.9161117794519109</v>
      </c>
      <c r="P66" s="606">
        <v>63</v>
      </c>
      <c r="Q66" s="610" t="str">
        <f>Report!A106</f>
        <v>U66</v>
      </c>
      <c r="R66" s="611">
        <f>Report!H106</f>
        <v>1.9161117794519057E-2</v>
      </c>
      <c r="S66" s="612">
        <f t="shared" si="13"/>
        <v>100.00000000000027</v>
      </c>
    </row>
    <row r="67" spans="1:19" ht="15.75" x14ac:dyDescent="0.25">
      <c r="A67" s="489" t="s">
        <v>1086</v>
      </c>
      <c r="B67" s="191" t="str">
        <f>Imported_Template!B65</f>
        <v>09-073</v>
      </c>
      <c r="C67" s="191" t="str">
        <f>Imported_Template!C65</f>
        <v>B</v>
      </c>
      <c r="D67" s="191" t="str">
        <f>Imported_Template!D65</f>
        <v>6B</v>
      </c>
      <c r="E67" s="145">
        <f>Data!K41</f>
        <v>34.810905992708015</v>
      </c>
      <c r="F67" s="145">
        <f>Data!P38</f>
        <v>36.545037029753765</v>
      </c>
      <c r="G67" s="145">
        <f t="shared" si="12"/>
        <v>348.10905992708012</v>
      </c>
      <c r="H67" s="145">
        <f t="shared" si="12"/>
        <v>365.45037029753763</v>
      </c>
      <c r="I67" s="177" t="str">
        <f t="shared" si="11"/>
        <v>09-073</v>
      </c>
      <c r="J67" s="177" t="str">
        <f t="shared" si="11"/>
        <v>B</v>
      </c>
      <c r="K67" s="177" t="str">
        <f t="shared" si="11"/>
        <v>6B</v>
      </c>
      <c r="L67" s="145">
        <f t="shared" si="3"/>
        <v>356.77971511230885</v>
      </c>
      <c r="M67" s="145">
        <f t="shared" si="4"/>
        <v>356.77971511230885</v>
      </c>
      <c r="N67" s="145">
        <f t="shared" si="5"/>
        <v>12.262158157611104</v>
      </c>
      <c r="O67" s="145">
        <f t="shared" si="6"/>
        <v>3.4368989149932929</v>
      </c>
      <c r="P67" s="606">
        <v>64</v>
      </c>
      <c r="Q67" s="610" t="str">
        <f>Report!A107</f>
        <v>U67</v>
      </c>
      <c r="R67" s="611">
        <f>Report!H107</f>
        <v>3.4368989149932888E-2</v>
      </c>
      <c r="S67" s="612">
        <f t="shared" si="13"/>
        <v>100.00000000000011</v>
      </c>
    </row>
    <row r="68" spans="1:19" ht="15.75" x14ac:dyDescent="0.25">
      <c r="A68" s="489" t="s">
        <v>1053</v>
      </c>
      <c r="B68" s="191" t="str">
        <f>Imported_Template!B66</f>
        <v>09-074</v>
      </c>
      <c r="C68" s="191" t="str">
        <f>Imported_Template!C66</f>
        <v>B</v>
      </c>
      <c r="D68" s="191" t="str">
        <f>Imported_Template!D66</f>
        <v>6A</v>
      </c>
      <c r="E68" s="145">
        <f>Data!K42</f>
        <v>32.065729958070627</v>
      </c>
      <c r="F68" s="145">
        <f>Data!P37</f>
        <v>34.377426593632016</v>
      </c>
      <c r="G68" s="145">
        <f t="shared" si="12"/>
        <v>320.65729958070625</v>
      </c>
      <c r="H68" s="145">
        <f t="shared" si="12"/>
        <v>343.77426593632015</v>
      </c>
      <c r="I68" s="177" t="str">
        <f t="shared" si="11"/>
        <v>09-074</v>
      </c>
      <c r="J68" s="177" t="str">
        <f t="shared" si="11"/>
        <v>B</v>
      </c>
      <c r="K68" s="177" t="str">
        <f t="shared" si="11"/>
        <v>6A</v>
      </c>
      <c r="L68" s="145">
        <f t="shared" si="3"/>
        <v>332.21578275851323</v>
      </c>
      <c r="M68" s="145">
        <f t="shared" si="4"/>
        <v>332.21578275851323</v>
      </c>
      <c r="N68" s="145">
        <f t="shared" si="5"/>
        <v>16.346163670515857</v>
      </c>
      <c r="O68" s="145">
        <f t="shared" si="6"/>
        <v>4.9203453053276034</v>
      </c>
      <c r="P68" s="606">
        <v>65</v>
      </c>
      <c r="Q68" s="610" t="str">
        <f>Report!A108</f>
        <v>U68</v>
      </c>
      <c r="R68" s="611">
        <f>Report!H108</f>
        <v>4.9203453053275885E-2</v>
      </c>
      <c r="S68" s="612">
        <f t="shared" si="13"/>
        <v>100.0000000000003</v>
      </c>
    </row>
    <row r="69" spans="1:19" ht="15.75" x14ac:dyDescent="0.25">
      <c r="A69" s="489" t="s">
        <v>1020</v>
      </c>
      <c r="B69" s="191" t="str">
        <f>Imported_Template!B67</f>
        <v>09-075</v>
      </c>
      <c r="C69" s="191" t="str">
        <f>Imported_Template!C67</f>
        <v>B</v>
      </c>
      <c r="D69" s="191" t="str">
        <f>Imported_Template!D67</f>
        <v>6B</v>
      </c>
      <c r="E69" s="145">
        <f>Data!K43</f>
        <v>34.955403104512563</v>
      </c>
      <c r="F69" s="145">
        <f>Data!P36</f>
        <v>36.255986995569643</v>
      </c>
      <c r="G69" s="145">
        <f t="shared" si="12"/>
        <v>349.55403104512561</v>
      </c>
      <c r="H69" s="145">
        <f t="shared" si="12"/>
        <v>362.5598699556964</v>
      </c>
      <c r="I69" s="177" t="str">
        <f t="shared" si="11"/>
        <v>09-075</v>
      </c>
      <c r="J69" s="177" t="str">
        <f t="shared" si="11"/>
        <v>B</v>
      </c>
      <c r="K69" s="177" t="str">
        <f t="shared" si="11"/>
        <v>6B</v>
      </c>
      <c r="L69" s="145">
        <f t="shared" ref="L69:L132" si="14">AVERAGE(G69:H69)</f>
        <v>356.05695050041101</v>
      </c>
      <c r="M69" s="145">
        <f t="shared" ref="M69:M132" si="15">IF(L69&lt;$Y$17,$Y$17, IF(L69&gt;$Y$18,$Y$18,L69))</f>
        <v>356.05695050041101</v>
      </c>
      <c r="N69" s="145">
        <f t="shared" ref="N69:N132" si="16">STDEV(G69:H69)</f>
        <v>9.1965168886844637</v>
      </c>
      <c r="O69" s="145">
        <f t="shared" ref="O69:O132" si="17">(N69/L69)*100</f>
        <v>2.5828780692974695</v>
      </c>
      <c r="P69" s="606">
        <v>66</v>
      </c>
      <c r="Q69" s="610" t="str">
        <f>Report!A109</f>
        <v>U69</v>
      </c>
      <c r="R69" s="611">
        <f>Report!H109</f>
        <v>2.5828780692974722E-2</v>
      </c>
      <c r="S69" s="612">
        <f t="shared" si="13"/>
        <v>99.999999999999901</v>
      </c>
    </row>
    <row r="70" spans="1:19" ht="15.75" x14ac:dyDescent="0.25">
      <c r="A70" s="489" t="s">
        <v>1016</v>
      </c>
      <c r="B70" s="191" t="str">
        <f>Imported_Template!B68</f>
        <v>09-076</v>
      </c>
      <c r="C70" s="191" t="str">
        <f>Imported_Template!C68</f>
        <v>B</v>
      </c>
      <c r="D70" s="191" t="str">
        <f>Imported_Template!D68</f>
        <v>6A</v>
      </c>
      <c r="E70" s="145">
        <f>Data!L36</f>
        <v>41.895662704286352</v>
      </c>
      <c r="F70" s="145">
        <f>Data!O43</f>
        <v>41.606243280932112</v>
      </c>
      <c r="G70" s="145">
        <f t="shared" si="12"/>
        <v>418.95662704286349</v>
      </c>
      <c r="H70" s="145">
        <f t="shared" si="12"/>
        <v>416.06243280932114</v>
      </c>
      <c r="I70" s="177" t="str">
        <f t="shared" si="11"/>
        <v>09-076</v>
      </c>
      <c r="J70" s="177" t="str">
        <f t="shared" si="11"/>
        <v>B</v>
      </c>
      <c r="K70" s="177" t="str">
        <f t="shared" si="11"/>
        <v>6A</v>
      </c>
      <c r="L70" s="145">
        <f t="shared" si="14"/>
        <v>417.50952992609234</v>
      </c>
      <c r="M70" s="145">
        <f t="shared" si="15"/>
        <v>417.50952992609234</v>
      </c>
      <c r="N70" s="145">
        <f t="shared" si="16"/>
        <v>2.0465043686087983</v>
      </c>
      <c r="O70" s="145">
        <f t="shared" si="17"/>
        <v>0.4901694983994907</v>
      </c>
      <c r="P70" s="606">
        <v>67</v>
      </c>
      <c r="Q70" s="610" t="str">
        <f>Report!A110</f>
        <v>U70</v>
      </c>
      <c r="R70" s="611">
        <f>Report!H110</f>
        <v>4.9016949839948594E-3</v>
      </c>
      <c r="S70" s="612">
        <f t="shared" si="13"/>
        <v>100.00000000000097</v>
      </c>
    </row>
    <row r="71" spans="1:19" ht="15.75" x14ac:dyDescent="0.25">
      <c r="A71" s="489" t="s">
        <v>1049</v>
      </c>
      <c r="B71" s="191" t="str">
        <f>Imported_Template!B69</f>
        <v>09-077</v>
      </c>
      <c r="C71" s="191" t="str">
        <f>Imported_Template!C69</f>
        <v>B</v>
      </c>
      <c r="D71" s="191" t="str">
        <f>Imported_Template!D69</f>
        <v>6B</v>
      </c>
      <c r="E71" s="145">
        <f>Data!L37</f>
        <v>39.870258465615805</v>
      </c>
      <c r="F71" s="145">
        <f>Data!O42</f>
        <v>39.002574555113561</v>
      </c>
      <c r="G71" s="145">
        <f t="shared" si="12"/>
        <v>398.70258465615802</v>
      </c>
      <c r="H71" s="145">
        <f t="shared" si="12"/>
        <v>390.02574555113563</v>
      </c>
      <c r="I71" s="177" t="str">
        <f t="shared" si="11"/>
        <v>09-077</v>
      </c>
      <c r="J71" s="177" t="str">
        <f t="shared" si="11"/>
        <v>B</v>
      </c>
      <c r="K71" s="177" t="str">
        <f t="shared" si="11"/>
        <v>6B</v>
      </c>
      <c r="L71" s="145">
        <f t="shared" si="14"/>
        <v>394.36416510364683</v>
      </c>
      <c r="M71" s="145">
        <f t="shared" si="15"/>
        <v>394.36416510364683</v>
      </c>
      <c r="N71" s="145">
        <f t="shared" si="16"/>
        <v>6.1354517704259504</v>
      </c>
      <c r="O71" s="145">
        <f t="shared" si="17"/>
        <v>1.5557832869559611</v>
      </c>
      <c r="P71" s="606">
        <v>68</v>
      </c>
      <c r="Q71" s="610" t="str">
        <f>Report!A111</f>
        <v>U71</v>
      </c>
      <c r="R71" s="611">
        <f>Report!H111</f>
        <v>1.555783286955956E-2</v>
      </c>
      <c r="S71" s="612">
        <f t="shared" si="13"/>
        <v>100.00000000000033</v>
      </c>
    </row>
    <row r="72" spans="1:19" ht="15.75" x14ac:dyDescent="0.25">
      <c r="A72" s="489" t="s">
        <v>1082</v>
      </c>
      <c r="B72" s="191" t="str">
        <f>Imported_Template!B70</f>
        <v>09-078</v>
      </c>
      <c r="C72" s="191" t="str">
        <f>Imported_Template!C70</f>
        <v>B</v>
      </c>
      <c r="D72" s="191" t="str">
        <f>Imported_Template!D70</f>
        <v>6A</v>
      </c>
      <c r="E72" s="145">
        <f>Data!L38</f>
        <v>37.990500845265196</v>
      </c>
      <c r="F72" s="145">
        <f>Data!O41</f>
        <v>37.26772152284321</v>
      </c>
      <c r="G72" s="145">
        <f t="shared" si="12"/>
        <v>379.90500845265194</v>
      </c>
      <c r="H72" s="145">
        <f t="shared" si="12"/>
        <v>372.67721522843209</v>
      </c>
      <c r="I72" s="177" t="str">
        <f t="shared" si="11"/>
        <v>09-078</v>
      </c>
      <c r="J72" s="177" t="str">
        <f t="shared" si="11"/>
        <v>B</v>
      </c>
      <c r="K72" s="177" t="str">
        <f t="shared" si="11"/>
        <v>6A</v>
      </c>
      <c r="L72" s="145">
        <f t="shared" si="14"/>
        <v>376.29111184054204</v>
      </c>
      <c r="M72" s="145">
        <f t="shared" si="15"/>
        <v>376.29111184054204</v>
      </c>
      <c r="N72" s="145">
        <f t="shared" si="16"/>
        <v>5.1108216018600379</v>
      </c>
      <c r="O72" s="145">
        <f t="shared" si="17"/>
        <v>1.3582094928741795</v>
      </c>
      <c r="P72" s="606">
        <v>69</v>
      </c>
      <c r="Q72" s="610" t="str">
        <f>Report!A112</f>
        <v>U72</v>
      </c>
      <c r="R72" s="611">
        <f>Report!H112</f>
        <v>1.3582094928741795E-2</v>
      </c>
      <c r="S72" s="612">
        <f t="shared" si="13"/>
        <v>100</v>
      </c>
    </row>
    <row r="73" spans="1:19" ht="15.75" x14ac:dyDescent="0.25">
      <c r="A73" s="489" t="s">
        <v>1114</v>
      </c>
      <c r="B73" s="191" t="str">
        <f>Imported_Template!B71</f>
        <v>09-079</v>
      </c>
      <c r="C73" s="191" t="str">
        <f>Imported_Template!C71</f>
        <v>B</v>
      </c>
      <c r="D73" s="191" t="str">
        <f>Imported_Template!D71</f>
        <v>6B</v>
      </c>
      <c r="E73" s="145">
        <f>Data!L39</f>
        <v>39.147175586141501</v>
      </c>
      <c r="F73" s="145">
        <f>Data!O40</f>
        <v>36.834100241706246</v>
      </c>
      <c r="G73" s="145">
        <f t="shared" si="12"/>
        <v>391.47175586141498</v>
      </c>
      <c r="H73" s="145">
        <f t="shared" si="12"/>
        <v>368.34100241706244</v>
      </c>
      <c r="I73" s="177" t="str">
        <f t="shared" si="11"/>
        <v>09-079</v>
      </c>
      <c r="J73" s="177" t="str">
        <f t="shared" si="11"/>
        <v>B</v>
      </c>
      <c r="K73" s="177" t="str">
        <f t="shared" si="11"/>
        <v>6B</v>
      </c>
      <c r="L73" s="145">
        <f t="shared" si="14"/>
        <v>379.90637913923871</v>
      </c>
      <c r="M73" s="145">
        <f t="shared" si="15"/>
        <v>379.90637913923871</v>
      </c>
      <c r="N73" s="145">
        <f t="shared" si="16"/>
        <v>16.355912614455768</v>
      </c>
      <c r="O73" s="145">
        <f t="shared" si="17"/>
        <v>4.3052482170775015</v>
      </c>
      <c r="P73" s="606">
        <v>70</v>
      </c>
      <c r="Q73" s="610" t="str">
        <f>Report!A113</f>
        <v>U73</v>
      </c>
      <c r="R73" s="611">
        <f>Report!H113</f>
        <v>4.3052482170775036E-2</v>
      </c>
      <c r="S73" s="612">
        <f t="shared" si="13"/>
        <v>99.999999999999957</v>
      </c>
    </row>
    <row r="74" spans="1:19" ht="15.75" x14ac:dyDescent="0.25">
      <c r="A74" s="489" t="s">
        <v>1117</v>
      </c>
      <c r="B74" s="191" t="str">
        <f>Imported_Template!B72</f>
        <v>09-080</v>
      </c>
      <c r="C74" s="191" t="str">
        <f>Imported_Template!C72</f>
        <v>B</v>
      </c>
      <c r="D74" s="191" t="str">
        <f>Imported_Template!D72</f>
        <v>6A</v>
      </c>
      <c r="E74" s="145">
        <f>Data!L40</f>
        <v>52.774690507334959</v>
      </c>
      <c r="F74" s="145">
        <f>Data!O39</f>
        <v>37.26772152284321</v>
      </c>
      <c r="G74" s="145">
        <f t="shared" si="12"/>
        <v>527.74690507334958</v>
      </c>
      <c r="H74" s="145">
        <f t="shared" si="12"/>
        <v>372.67721522843209</v>
      </c>
      <c r="I74" s="177" t="str">
        <f t="shared" si="11"/>
        <v>09-080</v>
      </c>
      <c r="J74" s="177" t="str">
        <f t="shared" si="11"/>
        <v>B</v>
      </c>
      <c r="K74" s="177" t="str">
        <f t="shared" si="11"/>
        <v>6A</v>
      </c>
      <c r="L74" s="145">
        <f t="shared" si="14"/>
        <v>450.21206015089081</v>
      </c>
      <c r="M74" s="145">
        <f t="shared" si="15"/>
        <v>450.21206015089081</v>
      </c>
      <c r="N74" s="145">
        <f t="shared" si="16"/>
        <v>109.65082924583581</v>
      </c>
      <c r="O74" s="145">
        <f t="shared" si="17"/>
        <v>24.355373600850626</v>
      </c>
      <c r="P74" s="606">
        <v>71</v>
      </c>
      <c r="Q74" s="610" t="str">
        <f>Report!A114</f>
        <v>U74</v>
      </c>
      <c r="R74" s="611">
        <f>Report!H114</f>
        <v>0.24355373600850627</v>
      </c>
      <c r="S74" s="612">
        <f t="shared" si="13"/>
        <v>100</v>
      </c>
    </row>
    <row r="75" spans="1:19" ht="15.75" x14ac:dyDescent="0.25">
      <c r="A75" s="489" t="s">
        <v>1085</v>
      </c>
      <c r="B75" s="191" t="str">
        <f>Imported_Template!B73</f>
        <v>09-081</v>
      </c>
      <c r="C75" s="191" t="str">
        <f>Imported_Template!C73</f>
        <v>B</v>
      </c>
      <c r="D75" s="191" t="str">
        <f>Imported_Template!D73</f>
        <v>6B</v>
      </c>
      <c r="E75" s="145">
        <f>Data!L41</f>
        <v>38.135069173367128</v>
      </c>
      <c r="F75" s="145">
        <f>Data!O38</f>
        <v>36.689566938198595</v>
      </c>
      <c r="G75" s="145">
        <f t="shared" si="12"/>
        <v>381.35069173367128</v>
      </c>
      <c r="H75" s="145">
        <f t="shared" si="12"/>
        <v>366.89566938198595</v>
      </c>
      <c r="I75" s="177" t="str">
        <f t="shared" si="11"/>
        <v>09-081</v>
      </c>
      <c r="J75" s="177" t="str">
        <f t="shared" si="11"/>
        <v>B</v>
      </c>
      <c r="K75" s="177" t="str">
        <f t="shared" si="11"/>
        <v>6B</v>
      </c>
      <c r="L75" s="145">
        <f t="shared" si="14"/>
        <v>374.12318055782862</v>
      </c>
      <c r="M75" s="145">
        <f t="shared" si="15"/>
        <v>374.12318055782862</v>
      </c>
      <c r="N75" s="145">
        <f t="shared" si="16"/>
        <v>10.221244327079813</v>
      </c>
      <c r="O75" s="145">
        <f t="shared" si="17"/>
        <v>2.7320532001892097</v>
      </c>
      <c r="P75" s="606">
        <v>72</v>
      </c>
      <c r="Q75" s="610" t="str">
        <f>Report!A115</f>
        <v>U75</v>
      </c>
      <c r="R75" s="611">
        <f>Report!H115</f>
        <v>2.7320532001892099E-2</v>
      </c>
      <c r="S75" s="612">
        <f t="shared" si="13"/>
        <v>99.999999999999986</v>
      </c>
    </row>
    <row r="76" spans="1:19" ht="15.75" x14ac:dyDescent="0.25">
      <c r="A76" s="489" t="s">
        <v>1052</v>
      </c>
      <c r="B76" s="191" t="str">
        <f>Imported_Template!B74</f>
        <v>09-082</v>
      </c>
      <c r="C76" s="191" t="str">
        <f>Imported_Template!C74</f>
        <v>B</v>
      </c>
      <c r="D76" s="191" t="str">
        <f>Imported_Template!D74</f>
        <v>6A</v>
      </c>
      <c r="E76" s="145">
        <f>Data!L42</f>
        <v>76.865393188426623</v>
      </c>
      <c r="F76" s="145">
        <f>Data!O37</f>
        <v>77.162765386054303</v>
      </c>
      <c r="G76" s="145">
        <f t="shared" si="12"/>
        <v>768.65393188426629</v>
      </c>
      <c r="H76" s="145">
        <f t="shared" si="12"/>
        <v>771.62765386054298</v>
      </c>
      <c r="I76" s="177" t="str">
        <f t="shared" si="11"/>
        <v>09-082</v>
      </c>
      <c r="J76" s="177" t="str">
        <f t="shared" si="11"/>
        <v>B</v>
      </c>
      <c r="K76" s="177" t="str">
        <f t="shared" si="11"/>
        <v>6A</v>
      </c>
      <c r="L76" s="145">
        <f t="shared" si="14"/>
        <v>770.14079287240463</v>
      </c>
      <c r="M76" s="145">
        <f t="shared" si="15"/>
        <v>770.14079287240463</v>
      </c>
      <c r="N76" s="145">
        <f t="shared" si="16"/>
        <v>2.1027389747887111</v>
      </c>
      <c r="O76" s="145">
        <f t="shared" si="17"/>
        <v>0.27303306022085866</v>
      </c>
      <c r="P76" s="606">
        <v>73</v>
      </c>
      <c r="Q76" s="610" t="str">
        <f>Report!A116</f>
        <v>U76</v>
      </c>
      <c r="R76" s="611">
        <f>Report!H116</f>
        <v>2.7303306022089515E-3</v>
      </c>
      <c r="S76" s="612">
        <f t="shared" si="13"/>
        <v>99.999999999986628</v>
      </c>
    </row>
    <row r="77" spans="1:19" ht="15.75" x14ac:dyDescent="0.25">
      <c r="A77" s="489" t="s">
        <v>1019</v>
      </c>
      <c r="B77" s="191" t="str">
        <f>Imported_Template!B75</f>
        <v>09-083</v>
      </c>
      <c r="C77" s="191" t="str">
        <f>Imported_Template!C75</f>
        <v>B</v>
      </c>
      <c r="D77" s="191" t="str">
        <f>Imported_Template!D75</f>
        <v>6B</v>
      </c>
      <c r="E77" s="145">
        <f>Data!L43</f>
        <v>82.683419241760177</v>
      </c>
      <c r="F77" s="145">
        <f>Data!O36</f>
        <v>80.440809372543583</v>
      </c>
      <c r="G77" s="145">
        <f t="shared" si="12"/>
        <v>826.8341924176018</v>
      </c>
      <c r="H77" s="145">
        <f t="shared" si="12"/>
        <v>804.40809372543583</v>
      </c>
      <c r="I77" s="177" t="str">
        <f t="shared" si="11"/>
        <v>09-083</v>
      </c>
      <c r="J77" s="177" t="str">
        <f t="shared" si="11"/>
        <v>B</v>
      </c>
      <c r="K77" s="177" t="str">
        <f t="shared" si="11"/>
        <v>6B</v>
      </c>
      <c r="L77" s="145">
        <f t="shared" si="14"/>
        <v>815.62114307151887</v>
      </c>
      <c r="M77" s="145">
        <f t="shared" si="15"/>
        <v>815.62114307151887</v>
      </c>
      <c r="N77" s="145">
        <f t="shared" si="16"/>
        <v>15.857646460789319</v>
      </c>
      <c r="O77" s="145">
        <f t="shared" si="17"/>
        <v>1.944241710197895</v>
      </c>
      <c r="P77" s="606">
        <v>74</v>
      </c>
      <c r="Q77" s="610" t="str">
        <f>Report!A117</f>
        <v>U77</v>
      </c>
      <c r="R77" s="611">
        <f>Report!H117</f>
        <v>1.9442417101978804E-2</v>
      </c>
      <c r="S77" s="612">
        <f t="shared" si="13"/>
        <v>100.00000000000075</v>
      </c>
    </row>
    <row r="78" spans="1:19" ht="15.75" x14ac:dyDescent="0.25">
      <c r="A78" s="489" t="s">
        <v>1017</v>
      </c>
      <c r="B78" s="191" t="str">
        <f>Imported_Template!B76</f>
        <v>09-084</v>
      </c>
      <c r="C78" s="191" t="str">
        <f>Imported_Template!C76</f>
        <v>B</v>
      </c>
      <c r="D78" s="191" t="str">
        <f>Imported_Template!D76</f>
        <v>6A</v>
      </c>
      <c r="E78" s="145">
        <f>Data!M36</f>
        <v>93.238364265339612</v>
      </c>
      <c r="F78" s="145">
        <f>Data!N43</f>
        <v>100.57104709668199</v>
      </c>
      <c r="G78" s="145">
        <f t="shared" si="12"/>
        <v>932.38364265339612</v>
      </c>
      <c r="H78" s="145">
        <f t="shared" si="12"/>
        <v>1005.7104709668199</v>
      </c>
      <c r="I78" s="177" t="str">
        <f t="shared" si="11"/>
        <v>09-084</v>
      </c>
      <c r="J78" s="177" t="str">
        <f t="shared" si="11"/>
        <v>B</v>
      </c>
      <c r="K78" s="177" t="str">
        <f t="shared" si="11"/>
        <v>6A</v>
      </c>
      <c r="L78" s="145">
        <f t="shared" si="14"/>
        <v>969.04705681010796</v>
      </c>
      <c r="M78" s="145">
        <f t="shared" si="15"/>
        <v>969.04705681010796</v>
      </c>
      <c r="N78" s="145">
        <f t="shared" si="16"/>
        <v>51.849897543323692</v>
      </c>
      <c r="O78" s="145">
        <f t="shared" si="17"/>
        <v>5.3506067820898471</v>
      </c>
      <c r="P78" s="606">
        <v>75</v>
      </c>
      <c r="Q78" s="610" t="str">
        <f>Report!A118</f>
        <v>U78</v>
      </c>
      <c r="R78" s="611">
        <f>Report!H118</f>
        <v>5.3506067820898187E-2</v>
      </c>
      <c r="S78" s="612">
        <f t="shared" si="13"/>
        <v>100.00000000000053</v>
      </c>
    </row>
    <row r="79" spans="1:19" ht="15.75" x14ac:dyDescent="0.25">
      <c r="A79" s="489" t="s">
        <v>1050</v>
      </c>
      <c r="B79" s="191" t="str">
        <f>Imported_Template!B77</f>
        <v>09-085</v>
      </c>
      <c r="C79" s="191" t="str">
        <f>Imported_Template!C77</f>
        <v>B</v>
      </c>
      <c r="D79" s="191" t="str">
        <f>Imported_Template!D77</f>
        <v>6B</v>
      </c>
      <c r="E79" s="145">
        <f>Data!M37</f>
        <v>86.887067285695068</v>
      </c>
      <c r="F79" s="145">
        <f>Data!N42</f>
        <v>93.238364265339612</v>
      </c>
      <c r="G79" s="145">
        <f t="shared" si="12"/>
        <v>868.8706728569507</v>
      </c>
      <c r="H79" s="145">
        <f t="shared" si="12"/>
        <v>932.38364265339612</v>
      </c>
      <c r="I79" s="177" t="str">
        <f t="shared" si="11"/>
        <v>09-085</v>
      </c>
      <c r="J79" s="177" t="str">
        <f t="shared" si="11"/>
        <v>B</v>
      </c>
      <c r="K79" s="177" t="str">
        <f t="shared" si="11"/>
        <v>6B</v>
      </c>
      <c r="L79" s="145">
        <f t="shared" si="14"/>
        <v>900.62715775517336</v>
      </c>
      <c r="M79" s="145">
        <f t="shared" si="15"/>
        <v>900.62715775517336</v>
      </c>
      <c r="N79" s="145">
        <f t="shared" si="16"/>
        <v>44.910451636362929</v>
      </c>
      <c r="O79" s="145">
        <f t="shared" si="17"/>
        <v>4.9865753269424937</v>
      </c>
      <c r="P79" s="606">
        <v>76</v>
      </c>
      <c r="Q79" s="610" t="str">
        <f>Report!A119</f>
        <v>U79</v>
      </c>
      <c r="R79" s="611">
        <f>Report!H119</f>
        <v>4.9865753269425071E-2</v>
      </c>
      <c r="S79" s="612">
        <f t="shared" si="13"/>
        <v>99.99999999999973</v>
      </c>
    </row>
    <row r="80" spans="1:19" ht="15.75" x14ac:dyDescent="0.25">
      <c r="A80" s="489" t="s">
        <v>1083</v>
      </c>
      <c r="B80" s="191" t="str">
        <f>Imported_Template!B78</f>
        <v>09-086</v>
      </c>
      <c r="C80" s="191" t="str">
        <f>Imported_Template!C78</f>
        <v>B</v>
      </c>
      <c r="D80" s="191" t="str">
        <f>Imported_Template!D78</f>
        <v>6A</v>
      </c>
      <c r="E80" s="145">
        <f>Data!M38</f>
        <v>85.984310445467443</v>
      </c>
      <c r="F80" s="145">
        <f>Data!N41</f>
        <v>85.833957610426978</v>
      </c>
      <c r="G80" s="145">
        <f t="shared" si="12"/>
        <v>859.8431044546744</v>
      </c>
      <c r="H80" s="145">
        <f t="shared" si="12"/>
        <v>858.33957610426978</v>
      </c>
      <c r="I80" s="177" t="str">
        <f t="shared" si="11"/>
        <v>09-086</v>
      </c>
      <c r="J80" s="177" t="str">
        <f t="shared" si="11"/>
        <v>B</v>
      </c>
      <c r="K80" s="177" t="str">
        <f t="shared" si="11"/>
        <v>6A</v>
      </c>
      <c r="L80" s="145">
        <f t="shared" si="14"/>
        <v>859.09134027947209</v>
      </c>
      <c r="M80" s="145">
        <f t="shared" si="15"/>
        <v>859.09134027947209</v>
      </c>
      <c r="N80" s="145">
        <f t="shared" si="16"/>
        <v>1.0631550922773316</v>
      </c>
      <c r="O80" s="145">
        <f t="shared" si="17"/>
        <v>0.12375344069135596</v>
      </c>
      <c r="P80" s="606">
        <v>77</v>
      </c>
      <c r="Q80" s="610" t="str">
        <f>Report!A120</f>
        <v>U80</v>
      </c>
      <c r="R80" s="611">
        <f>Report!H120</f>
        <v>1.2375344069137004E-3</v>
      </c>
      <c r="S80" s="612">
        <f t="shared" si="13"/>
        <v>99.999999999988631</v>
      </c>
    </row>
    <row r="81" spans="1:19" ht="15.75" x14ac:dyDescent="0.25">
      <c r="A81" s="489" t="s">
        <v>1115</v>
      </c>
      <c r="B81" s="191" t="str">
        <f>Imported_Template!B79</f>
        <v>09-087</v>
      </c>
      <c r="C81" s="191" t="str">
        <f>Imported_Template!C79</f>
        <v>B</v>
      </c>
      <c r="D81" s="191" t="str">
        <f>Imported_Template!D79</f>
        <v>6B</v>
      </c>
      <c r="E81" s="145">
        <f>Data!M39</f>
        <v>80.291524839052371</v>
      </c>
      <c r="F81" s="145">
        <f>Data!N40</f>
        <v>79.993037943248936</v>
      </c>
      <c r="G81" s="145">
        <f t="shared" si="12"/>
        <v>802.91524839052374</v>
      </c>
      <c r="H81" s="145">
        <f t="shared" si="12"/>
        <v>799.93037943248942</v>
      </c>
      <c r="I81" s="177" t="str">
        <f t="shared" si="11"/>
        <v>09-087</v>
      </c>
      <c r="J81" s="177" t="str">
        <f t="shared" si="11"/>
        <v>B</v>
      </c>
      <c r="K81" s="177" t="str">
        <f t="shared" si="11"/>
        <v>6B</v>
      </c>
      <c r="L81" s="145">
        <f t="shared" si="14"/>
        <v>801.42281391150664</v>
      </c>
      <c r="M81" s="145">
        <f t="shared" si="15"/>
        <v>801.42281391150664</v>
      </c>
      <c r="N81" s="145">
        <f t="shared" si="16"/>
        <v>2.1106210811792963</v>
      </c>
      <c r="O81" s="145">
        <f t="shared" si="17"/>
        <v>0.26335924614848211</v>
      </c>
      <c r="P81" s="606">
        <v>78</v>
      </c>
      <c r="Q81" s="610" t="str">
        <f>Report!A121</f>
        <v>U81</v>
      </c>
      <c r="R81" s="611">
        <f>Report!H121</f>
        <v>2.6335924614848457E-3</v>
      </c>
      <c r="S81" s="612">
        <f t="shared" si="13"/>
        <v>99.999999999999062</v>
      </c>
    </row>
    <row r="82" spans="1:19" ht="15.75" x14ac:dyDescent="0.25">
      <c r="A82" s="489" t="s">
        <v>1116</v>
      </c>
      <c r="B82" s="191" t="str">
        <f>Imported_Template!B80</f>
        <v>09-088</v>
      </c>
      <c r="C82" s="191" t="str">
        <f>Imported_Template!C80</f>
        <v>B</v>
      </c>
      <c r="D82" s="191" t="str">
        <f>Imported_Template!D80</f>
        <v>6A</v>
      </c>
      <c r="E82" s="145">
        <f>Data!M40</f>
        <v>93.998364732533162</v>
      </c>
      <c r="F82" s="145">
        <f>Data!N39</f>
        <v>82.83315282812012</v>
      </c>
      <c r="G82" s="145">
        <f t="shared" si="12"/>
        <v>939.98364732533162</v>
      </c>
      <c r="H82" s="145">
        <f t="shared" si="12"/>
        <v>828.33152828120114</v>
      </c>
      <c r="I82" s="177" t="str">
        <f t="shared" si="11"/>
        <v>09-088</v>
      </c>
      <c r="J82" s="177" t="str">
        <f t="shared" si="11"/>
        <v>B</v>
      </c>
      <c r="K82" s="177" t="str">
        <f t="shared" si="11"/>
        <v>6A</v>
      </c>
      <c r="L82" s="145">
        <f t="shared" si="14"/>
        <v>884.15758780326632</v>
      </c>
      <c r="M82" s="145">
        <f t="shared" si="15"/>
        <v>884.15758780326632</v>
      </c>
      <c r="N82" s="145">
        <f t="shared" si="16"/>
        <v>78.949970509952323</v>
      </c>
      <c r="O82" s="145">
        <f t="shared" si="17"/>
        <v>8.9294003239973847</v>
      </c>
      <c r="P82" s="606">
        <v>79</v>
      </c>
      <c r="Q82" s="610" t="str">
        <f>Report!A122</f>
        <v>U82</v>
      </c>
      <c r="R82" s="611">
        <f>Report!H122</f>
        <v>8.9294003239974148E-2</v>
      </c>
      <c r="S82" s="612">
        <f t="shared" si="13"/>
        <v>99.999999999999659</v>
      </c>
    </row>
    <row r="83" spans="1:19" ht="15.75" x14ac:dyDescent="0.25">
      <c r="A83" s="489" t="s">
        <v>1084</v>
      </c>
      <c r="B83" s="191" t="str">
        <f>Imported_Template!B81</f>
        <v>09-089</v>
      </c>
      <c r="C83" s="191" t="str">
        <f>Imported_Template!C81</f>
        <v>B</v>
      </c>
      <c r="D83" s="191" t="str">
        <f>Imported_Template!D81</f>
        <v>6B</v>
      </c>
      <c r="E83" s="145">
        <f>Data!M41</f>
        <v>72.712687282896667</v>
      </c>
      <c r="F83" s="145">
        <f>Data!N38</f>
        <v>82.384037913854812</v>
      </c>
      <c r="G83" s="145">
        <f t="shared" si="12"/>
        <v>727.12687282896673</v>
      </c>
      <c r="H83" s="145">
        <f t="shared" si="12"/>
        <v>823.84037913854809</v>
      </c>
      <c r="I83" s="177" t="str">
        <f t="shared" si="11"/>
        <v>09-089</v>
      </c>
      <c r="J83" s="177" t="str">
        <f t="shared" si="11"/>
        <v>B</v>
      </c>
      <c r="K83" s="177" t="str">
        <f t="shared" si="11"/>
        <v>6B</v>
      </c>
      <c r="L83" s="145">
        <f t="shared" si="14"/>
        <v>775.48362598375741</v>
      </c>
      <c r="M83" s="145">
        <f t="shared" si="15"/>
        <v>775.48362598375741</v>
      </c>
      <c r="N83" s="145">
        <f t="shared" si="16"/>
        <v>68.386776143832932</v>
      </c>
      <c r="O83" s="145">
        <f t="shared" si="17"/>
        <v>8.8185970473689022</v>
      </c>
      <c r="P83" s="606">
        <v>80</v>
      </c>
      <c r="Q83" s="610" t="str">
        <f>Report!A123</f>
        <v>U83</v>
      </c>
      <c r="R83" s="611">
        <f>Report!H123</f>
        <v>8.818597047368909E-2</v>
      </c>
      <c r="S83" s="612">
        <f t="shared" si="13"/>
        <v>99.999999999999929</v>
      </c>
    </row>
    <row r="84" spans="1:19" ht="15.75" x14ac:dyDescent="0.25">
      <c r="A84" s="489" t="s">
        <v>1051</v>
      </c>
      <c r="B84" s="191" t="str">
        <f>Imported_Template!B82</f>
        <v>09-090</v>
      </c>
      <c r="C84" s="191" t="str">
        <f>Imported_Template!C82</f>
        <v>B</v>
      </c>
      <c r="D84" s="191" t="str">
        <f>Imported_Template!D82</f>
        <v>6A</v>
      </c>
      <c r="E84" s="145">
        <f>Data!M42</f>
        <v>83.732160101226256</v>
      </c>
      <c r="F84" s="145">
        <f>Data!N37</f>
        <v>86.736531253539923</v>
      </c>
      <c r="G84" s="145">
        <f t="shared" si="12"/>
        <v>837.32160101226259</v>
      </c>
      <c r="H84" s="145">
        <f t="shared" si="12"/>
        <v>867.3653125353992</v>
      </c>
      <c r="I84" s="177" t="str">
        <f t="shared" si="11"/>
        <v>09-090</v>
      </c>
      <c r="J84" s="177" t="str">
        <f t="shared" si="11"/>
        <v>B</v>
      </c>
      <c r="K84" s="177" t="str">
        <f t="shared" si="11"/>
        <v>6A</v>
      </c>
      <c r="L84" s="145">
        <f t="shared" si="14"/>
        <v>852.34345677383089</v>
      </c>
      <c r="M84" s="145">
        <f t="shared" si="15"/>
        <v>852.34345677383089</v>
      </c>
      <c r="N84" s="145">
        <f t="shared" si="16"/>
        <v>21.244112150022314</v>
      </c>
      <c r="O84" s="145">
        <f t="shared" si="17"/>
        <v>2.4924356468262809</v>
      </c>
      <c r="P84" s="606">
        <v>81</v>
      </c>
      <c r="Q84" s="610" t="str">
        <f>Report!A124</f>
        <v>U84</v>
      </c>
      <c r="R84" s="611">
        <f>Report!H124</f>
        <v>2.4924356468262857E-2</v>
      </c>
      <c r="S84" s="612">
        <f t="shared" si="13"/>
        <v>99.999999999999801</v>
      </c>
    </row>
    <row r="85" spans="1:19" ht="15.75" x14ac:dyDescent="0.25">
      <c r="A85" s="489" t="s">
        <v>1018</v>
      </c>
      <c r="B85" s="191" t="str">
        <f>Imported_Template!B83</f>
        <v>09-091</v>
      </c>
      <c r="C85" s="191" t="str">
        <f>Imported_Template!C83</f>
        <v>B</v>
      </c>
      <c r="D85" s="191" t="str">
        <f>Imported_Template!D83</f>
        <v>6B</v>
      </c>
      <c r="E85" s="145">
        <f>Data!M43</f>
        <v>78.949188599957125</v>
      </c>
      <c r="F85" s="145">
        <f>Data!N36</f>
        <v>84.482134545558438</v>
      </c>
      <c r="G85" s="145">
        <f t="shared" si="12"/>
        <v>789.4918859995712</v>
      </c>
      <c r="H85" s="145">
        <f t="shared" si="12"/>
        <v>844.82134545558438</v>
      </c>
      <c r="I85" s="177" t="str">
        <f t="shared" si="11"/>
        <v>09-091</v>
      </c>
      <c r="J85" s="177" t="str">
        <f t="shared" si="11"/>
        <v>B</v>
      </c>
      <c r="K85" s="177" t="str">
        <f t="shared" si="11"/>
        <v>6B</v>
      </c>
      <c r="L85" s="145">
        <f t="shared" si="14"/>
        <v>817.15661572757779</v>
      </c>
      <c r="M85" s="145">
        <f t="shared" si="15"/>
        <v>817.15661572757779</v>
      </c>
      <c r="N85" s="145">
        <f t="shared" si="16"/>
        <v>39.12383598073307</v>
      </c>
      <c r="O85" s="145">
        <f t="shared" si="17"/>
        <v>4.7878014113485561</v>
      </c>
      <c r="P85" s="606">
        <v>82</v>
      </c>
      <c r="Q85" s="610" t="str">
        <f>Report!A125</f>
        <v>U85</v>
      </c>
      <c r="R85" s="611">
        <f>Report!H125</f>
        <v>4.7878014113485384E-2</v>
      </c>
      <c r="S85" s="612">
        <f t="shared" si="13"/>
        <v>100.00000000000037</v>
      </c>
    </row>
    <row r="86" spans="1:19" ht="15.75" x14ac:dyDescent="0.25">
      <c r="A86" s="489" t="s">
        <v>1077</v>
      </c>
      <c r="B86" s="191" t="str">
        <f>Imported_Template!B84</f>
        <v>10-001</v>
      </c>
      <c r="C86" s="191" t="str">
        <f>Imported_Template!C84</f>
        <v>B</v>
      </c>
      <c r="D86" s="191" t="str">
        <f>Imported_Template!D84</f>
        <v>1A</v>
      </c>
      <c r="E86" s="145">
        <f>Data!AA42</f>
        <v>89.450956683992956</v>
      </c>
      <c r="F86" s="145">
        <f>Data!AV37</f>
        <v>93.39029580586174</v>
      </c>
      <c r="G86" s="145">
        <f t="shared" si="12"/>
        <v>894.50956683992956</v>
      </c>
      <c r="H86" s="145">
        <f t="shared" si="12"/>
        <v>933.9029580586174</v>
      </c>
      <c r="I86" s="177" t="str">
        <f t="shared" si="11"/>
        <v>10-001</v>
      </c>
      <c r="J86" s="177" t="str">
        <f t="shared" si="11"/>
        <v>B</v>
      </c>
      <c r="K86" s="177" t="str">
        <f t="shared" si="11"/>
        <v>1A</v>
      </c>
      <c r="L86" s="145">
        <f t="shared" si="14"/>
        <v>914.20626244927348</v>
      </c>
      <c r="M86" s="145">
        <f t="shared" si="15"/>
        <v>914.20626244927348</v>
      </c>
      <c r="N86" s="145">
        <f t="shared" si="16"/>
        <v>27.855334064668764</v>
      </c>
      <c r="O86" s="145">
        <f t="shared" si="17"/>
        <v>3.0469419439373366</v>
      </c>
      <c r="P86" s="606">
        <v>83</v>
      </c>
      <c r="Q86" s="610" t="str">
        <f>Report!A126</f>
        <v>U86</v>
      </c>
      <c r="R86" s="611">
        <f>Report!H126</f>
        <v>3.0469419439373476E-2</v>
      </c>
      <c r="S86" s="612">
        <f t="shared" si="13"/>
        <v>99.999999999999645</v>
      </c>
    </row>
    <row r="87" spans="1:19" ht="15.75" x14ac:dyDescent="0.25">
      <c r="A87" s="489" t="s">
        <v>1044</v>
      </c>
      <c r="B87" s="191" t="str">
        <f>Imported_Template!B85</f>
        <v>10-002</v>
      </c>
      <c r="C87" s="191" t="str">
        <f>Imported_Template!C85</f>
        <v>B</v>
      </c>
      <c r="D87" s="191" t="str">
        <f>Imported_Template!D85</f>
        <v>1B</v>
      </c>
      <c r="E87" s="145">
        <f>Data!AA43</f>
        <v>59.189204146257318</v>
      </c>
      <c r="F87" s="145">
        <f>Data!AV36</f>
        <v>60.212484076989604</v>
      </c>
      <c r="G87" s="145">
        <f t="shared" si="12"/>
        <v>591.89204146257316</v>
      </c>
      <c r="H87" s="145">
        <f t="shared" si="12"/>
        <v>602.12484076989608</v>
      </c>
      <c r="I87" s="177" t="str">
        <f t="shared" si="11"/>
        <v>10-002</v>
      </c>
      <c r="J87" s="177" t="str">
        <f t="shared" si="11"/>
        <v>B</v>
      </c>
      <c r="K87" s="177" t="str">
        <f t="shared" si="11"/>
        <v>1B</v>
      </c>
      <c r="L87" s="145">
        <f t="shared" si="14"/>
        <v>597.00844111623462</v>
      </c>
      <c r="M87" s="145">
        <f t="shared" si="15"/>
        <v>597.00844111623462</v>
      </c>
      <c r="N87" s="145">
        <f t="shared" si="16"/>
        <v>7.2356817807290437</v>
      </c>
      <c r="O87" s="145">
        <f t="shared" si="17"/>
        <v>1.2119898618519351</v>
      </c>
      <c r="P87" s="606">
        <v>84</v>
      </c>
      <c r="Q87" s="610" t="str">
        <f>Report!A127</f>
        <v>U87</v>
      </c>
      <c r="R87" s="611">
        <f>Report!H127</f>
        <v>1.2119898618519283E-2</v>
      </c>
      <c r="S87" s="612">
        <f t="shared" si="13"/>
        <v>100.00000000000057</v>
      </c>
    </row>
    <row r="88" spans="1:19" ht="15.75" x14ac:dyDescent="0.25">
      <c r="A88" s="489" t="s">
        <v>1024</v>
      </c>
      <c r="B88" s="191" t="str">
        <f>Imported_Template!B86</f>
        <v>10-003</v>
      </c>
      <c r="C88" s="191" t="str">
        <f>Imported_Template!C86</f>
        <v>B</v>
      </c>
      <c r="D88" s="191" t="str">
        <f>Imported_Template!D86</f>
        <v>2A</v>
      </c>
      <c r="E88" s="145">
        <f>Data!AB36</f>
        <v>87.790933111483895</v>
      </c>
      <c r="F88" s="145">
        <f>Data!AU43</f>
        <v>83.28252619866592</v>
      </c>
      <c r="G88" s="145">
        <f t="shared" si="12"/>
        <v>877.90933111483901</v>
      </c>
      <c r="H88" s="145">
        <f t="shared" si="12"/>
        <v>832.82526198665914</v>
      </c>
      <c r="I88" s="177" t="str">
        <f t="shared" si="11"/>
        <v>10-003</v>
      </c>
      <c r="J88" s="177" t="str">
        <f t="shared" si="11"/>
        <v>B</v>
      </c>
      <c r="K88" s="177" t="str">
        <f t="shared" si="11"/>
        <v>2A</v>
      </c>
      <c r="L88" s="145">
        <f t="shared" si="14"/>
        <v>855.36729655074907</v>
      </c>
      <c r="M88" s="145">
        <f t="shared" si="15"/>
        <v>855.36729655074907</v>
      </c>
      <c r="N88" s="145">
        <f t="shared" si="16"/>
        <v>31.879251004019061</v>
      </c>
      <c r="O88" s="145">
        <f t="shared" si="17"/>
        <v>3.7269663140701641</v>
      </c>
      <c r="P88" s="606">
        <v>85</v>
      </c>
      <c r="Q88" s="610" t="str">
        <f>Report!A128</f>
        <v>U88</v>
      </c>
      <c r="R88" s="611">
        <f>Report!H128</f>
        <v>3.7269663140701542E-2</v>
      </c>
      <c r="S88" s="612">
        <f t="shared" si="13"/>
        <v>100.00000000000027</v>
      </c>
    </row>
    <row r="89" spans="1:19" ht="15.75" x14ac:dyDescent="0.25">
      <c r="A89" s="489" t="s">
        <v>1057</v>
      </c>
      <c r="B89" s="191" t="str">
        <f>Imported_Template!B87</f>
        <v>10-004</v>
      </c>
      <c r="C89" s="191" t="str">
        <f>Imported_Template!C87</f>
        <v>B</v>
      </c>
      <c r="D89" s="191" t="str">
        <f>Imported_Template!D87</f>
        <v>2B</v>
      </c>
      <c r="E89" s="145">
        <f>Data!AB37</f>
        <v>85.383080361526325</v>
      </c>
      <c r="F89" s="145">
        <f>Data!AU42</f>
        <v>89.299886345056535</v>
      </c>
      <c r="G89" s="145">
        <f t="shared" si="12"/>
        <v>853.83080361526322</v>
      </c>
      <c r="H89" s="145">
        <f t="shared" si="12"/>
        <v>892.9988634505653</v>
      </c>
      <c r="I89" s="177" t="str">
        <f t="shared" si="11"/>
        <v>10-004</v>
      </c>
      <c r="J89" s="177" t="str">
        <f t="shared" si="11"/>
        <v>B</v>
      </c>
      <c r="K89" s="177" t="str">
        <f t="shared" si="11"/>
        <v>2B</v>
      </c>
      <c r="L89" s="145">
        <f t="shared" si="14"/>
        <v>873.41483353291426</v>
      </c>
      <c r="M89" s="145">
        <f t="shared" si="15"/>
        <v>873.41483353291426</v>
      </c>
      <c r="N89" s="145">
        <f t="shared" si="16"/>
        <v>27.696000715462546</v>
      </c>
      <c r="O89" s="145">
        <f t="shared" si="17"/>
        <v>3.1710018712910757</v>
      </c>
      <c r="P89" s="606">
        <v>86</v>
      </c>
      <c r="Q89" s="610" t="str">
        <f>Report!A129</f>
        <v>U89</v>
      </c>
      <c r="R89" s="611">
        <f>Report!H129</f>
        <v>3.1710018712910779E-2</v>
      </c>
      <c r="S89" s="612">
        <f t="shared" si="13"/>
        <v>99.999999999999929</v>
      </c>
    </row>
    <row r="90" spans="1:19" ht="15.75" x14ac:dyDescent="0.25">
      <c r="A90" s="489" t="s">
        <v>1090</v>
      </c>
      <c r="B90" s="191" t="str">
        <f>Imported_Template!B88</f>
        <v>10-005</v>
      </c>
      <c r="C90" s="191" t="str">
        <f>Imported_Template!C88</f>
        <v>B</v>
      </c>
      <c r="D90" s="191" t="str">
        <f>Imported_Template!D88</f>
        <v>2C</v>
      </c>
      <c r="E90" s="145">
        <f>Data!AB38</f>
        <v>91.569351456654076</v>
      </c>
      <c r="F90" s="145">
        <f>Data!AU41</f>
        <v>86.285107209117982</v>
      </c>
      <c r="G90" s="145">
        <f t="shared" si="12"/>
        <v>915.69351456654078</v>
      </c>
      <c r="H90" s="145">
        <f t="shared" si="12"/>
        <v>862.85107209117984</v>
      </c>
      <c r="I90" s="177" t="str">
        <f t="shared" si="11"/>
        <v>10-005</v>
      </c>
      <c r="J90" s="177" t="str">
        <f t="shared" si="11"/>
        <v>B</v>
      </c>
      <c r="K90" s="177" t="str">
        <f t="shared" si="11"/>
        <v>2C</v>
      </c>
      <c r="L90" s="145">
        <f t="shared" si="14"/>
        <v>889.27229332886031</v>
      </c>
      <c r="M90" s="145">
        <f t="shared" si="15"/>
        <v>889.27229332886031</v>
      </c>
      <c r="N90" s="145">
        <f t="shared" si="16"/>
        <v>37.365249408787776</v>
      </c>
      <c r="O90" s="145">
        <f t="shared" si="17"/>
        <v>4.2017782055163835</v>
      </c>
      <c r="P90" s="606">
        <v>87</v>
      </c>
      <c r="Q90" s="610" t="str">
        <f>Report!A130</f>
        <v>U90</v>
      </c>
      <c r="R90" s="611">
        <f>Report!H130</f>
        <v>4.2017782055163828E-2</v>
      </c>
      <c r="S90" s="612">
        <f t="shared" si="13"/>
        <v>100.00000000000001</v>
      </c>
    </row>
    <row r="91" spans="1:19" ht="15.75" x14ac:dyDescent="0.25">
      <c r="A91" s="489" t="s">
        <v>1122</v>
      </c>
      <c r="B91" s="191" t="str">
        <f>Imported_Template!B89</f>
        <v>10-006</v>
      </c>
      <c r="C91" s="191" t="str">
        <f>Imported_Template!C89</f>
        <v>B</v>
      </c>
      <c r="D91" s="191" t="str">
        <f>Imported_Template!D89</f>
        <v>2D</v>
      </c>
      <c r="E91" s="145">
        <f>Data!AB39</f>
        <v>85.533342645982685</v>
      </c>
      <c r="F91" s="145">
        <f>Data!AU40</f>
        <v>86.736531253539923</v>
      </c>
      <c r="G91" s="145">
        <f t="shared" si="12"/>
        <v>855.3334264598268</v>
      </c>
      <c r="H91" s="145">
        <f t="shared" si="12"/>
        <v>867.3653125353992</v>
      </c>
      <c r="I91" s="177" t="str">
        <f t="shared" si="11"/>
        <v>10-006</v>
      </c>
      <c r="J91" s="177" t="str">
        <f t="shared" si="11"/>
        <v>B</v>
      </c>
      <c r="K91" s="177" t="str">
        <f t="shared" si="11"/>
        <v>2D</v>
      </c>
      <c r="L91" s="145">
        <f t="shared" si="14"/>
        <v>861.349369497613</v>
      </c>
      <c r="M91" s="145">
        <f t="shared" si="15"/>
        <v>861.349369497613</v>
      </c>
      <c r="N91" s="145">
        <f t="shared" si="16"/>
        <v>8.5078282345012415</v>
      </c>
      <c r="O91" s="145">
        <f t="shared" si="17"/>
        <v>0.9877325665732456</v>
      </c>
      <c r="P91" s="606">
        <v>88</v>
      </c>
      <c r="Q91" s="610" t="str">
        <f>Report!A131</f>
        <v>U91</v>
      </c>
      <c r="R91" s="611">
        <f>Report!H131</f>
        <v>9.877325665732432E-3</v>
      </c>
      <c r="S91" s="612">
        <f t="shared" si="13"/>
        <v>100.00000000000024</v>
      </c>
    </row>
    <row r="92" spans="1:19" ht="15.75" x14ac:dyDescent="0.25">
      <c r="A92" s="489" t="s">
        <v>1141</v>
      </c>
      <c r="B92" s="191" t="str">
        <f>Imported_Template!B90</f>
        <v>10-007</v>
      </c>
      <c r="C92" s="191" t="str">
        <f>Imported_Template!C90</f>
        <v>B</v>
      </c>
      <c r="D92" s="191" t="str">
        <f>Imported_Template!D90</f>
        <v>2E</v>
      </c>
      <c r="E92" s="145">
        <f>Data!AB40</f>
        <v>88.243287155844286</v>
      </c>
      <c r="F92" s="145">
        <f>Data!AU39</f>
        <v>85.082645800811221</v>
      </c>
      <c r="G92" s="145">
        <f t="shared" si="12"/>
        <v>882.43287155844291</v>
      </c>
      <c r="H92" s="145">
        <f t="shared" si="12"/>
        <v>850.82645800811224</v>
      </c>
      <c r="I92" s="177" t="str">
        <f t="shared" si="11"/>
        <v>10-007</v>
      </c>
      <c r="J92" s="177" t="str">
        <f t="shared" si="11"/>
        <v>B</v>
      </c>
      <c r="K92" s="177" t="str">
        <f t="shared" si="11"/>
        <v>2E</v>
      </c>
      <c r="L92" s="145">
        <f t="shared" si="14"/>
        <v>866.62966478327758</v>
      </c>
      <c r="M92" s="145">
        <f t="shared" si="15"/>
        <v>866.62966478327758</v>
      </c>
      <c r="N92" s="145">
        <f t="shared" si="16"/>
        <v>22.349109350425202</v>
      </c>
      <c r="O92" s="145">
        <f t="shared" si="17"/>
        <v>2.5788534893983988</v>
      </c>
      <c r="P92" s="606">
        <v>89</v>
      </c>
      <c r="Q92" s="610" t="str">
        <f>Report!A132</f>
        <v>U92</v>
      </c>
      <c r="R92" s="611">
        <f>Report!H132</f>
        <v>2.5788534893983972E-2</v>
      </c>
      <c r="S92" s="612">
        <f t="shared" si="13"/>
        <v>100.00000000000006</v>
      </c>
    </row>
    <row r="93" spans="1:19" ht="15.75" x14ac:dyDescent="0.25">
      <c r="A93" s="489" t="s">
        <v>1109</v>
      </c>
      <c r="B93" s="191" t="str">
        <f>Imported_Template!B91</f>
        <v>10-008</v>
      </c>
      <c r="C93" s="191" t="str">
        <f>Imported_Template!C91</f>
        <v>B</v>
      </c>
      <c r="D93" s="191" t="str">
        <f>Imported_Template!D91</f>
        <v>2F</v>
      </c>
      <c r="E93" s="145">
        <f>Data!AB41</f>
        <v>88.09247107118324</v>
      </c>
      <c r="F93" s="145">
        <f>Data!AU38</f>
        <v>86.887067285695068</v>
      </c>
      <c r="G93" s="145">
        <f t="shared" si="12"/>
        <v>880.9247107118324</v>
      </c>
      <c r="H93" s="145">
        <f t="shared" si="12"/>
        <v>868.8706728569507</v>
      </c>
      <c r="I93" s="177" t="str">
        <f t="shared" si="11"/>
        <v>10-008</v>
      </c>
      <c r="J93" s="177" t="str">
        <f t="shared" si="11"/>
        <v>B</v>
      </c>
      <c r="K93" s="177" t="str">
        <f t="shared" si="11"/>
        <v>2F</v>
      </c>
      <c r="L93" s="145">
        <f t="shared" si="14"/>
        <v>874.89769178439155</v>
      </c>
      <c r="M93" s="145">
        <f t="shared" si="15"/>
        <v>874.89769178439155</v>
      </c>
      <c r="N93" s="145">
        <f t="shared" si="16"/>
        <v>8.5234919078661946</v>
      </c>
      <c r="O93" s="145">
        <f t="shared" si="17"/>
        <v>0.97422727113180108</v>
      </c>
      <c r="P93" s="606">
        <v>90</v>
      </c>
      <c r="Q93" s="610" t="str">
        <f>Report!A133</f>
        <v>U93</v>
      </c>
      <c r="R93" s="611">
        <f>Report!H133</f>
        <v>9.7422727113180337E-3</v>
      </c>
      <c r="S93" s="612">
        <f t="shared" si="13"/>
        <v>99.999999999999758</v>
      </c>
    </row>
    <row r="94" spans="1:19" ht="15.75" x14ac:dyDescent="0.25">
      <c r="A94" s="489" t="s">
        <v>1076</v>
      </c>
      <c r="B94" s="191" t="str">
        <f>Imported_Template!B92</f>
        <v>10-009</v>
      </c>
      <c r="C94" s="191" t="str">
        <f>Imported_Template!C92</f>
        <v>B</v>
      </c>
      <c r="D94" s="191" t="str">
        <f>Imported_Template!D92</f>
        <v>2G</v>
      </c>
      <c r="E94" s="145">
        <f>Data!AB42</f>
        <v>74.045392362002431</v>
      </c>
      <c r="F94" s="145">
        <f>Data!AU37</f>
        <v>70.495724301880941</v>
      </c>
      <c r="G94" s="145">
        <f t="shared" si="12"/>
        <v>740.45392362002428</v>
      </c>
      <c r="H94" s="145">
        <f t="shared" si="12"/>
        <v>704.95724301880944</v>
      </c>
      <c r="I94" s="177" t="str">
        <f t="shared" si="11"/>
        <v>10-009</v>
      </c>
      <c r="J94" s="177" t="str">
        <f t="shared" si="11"/>
        <v>B</v>
      </c>
      <c r="K94" s="177" t="str">
        <f t="shared" si="11"/>
        <v>2G</v>
      </c>
      <c r="L94" s="145">
        <f t="shared" si="14"/>
        <v>722.70558331941686</v>
      </c>
      <c r="M94" s="145">
        <f t="shared" si="15"/>
        <v>722.70558331941686</v>
      </c>
      <c r="N94" s="145">
        <f t="shared" si="16"/>
        <v>25.099943562731994</v>
      </c>
      <c r="O94" s="145">
        <f t="shared" si="17"/>
        <v>3.4730523939564586</v>
      </c>
      <c r="P94" s="606">
        <v>91</v>
      </c>
      <c r="Q94" s="610" t="str">
        <f>Report!A134</f>
        <v>U94</v>
      </c>
      <c r="R94" s="611">
        <f>Report!H134</f>
        <v>3.4730523939564634E-2</v>
      </c>
      <c r="S94" s="612">
        <f t="shared" si="13"/>
        <v>99.999999999999858</v>
      </c>
    </row>
    <row r="95" spans="1:19" ht="15.75" x14ac:dyDescent="0.25">
      <c r="A95" s="489" t="s">
        <v>1043</v>
      </c>
      <c r="B95" s="191" t="str">
        <f>Imported_Template!B93</f>
        <v>10-010</v>
      </c>
      <c r="C95" s="191" t="str">
        <f>Imported_Template!C93</f>
        <v>B</v>
      </c>
      <c r="D95" s="191" t="str">
        <f>Imported_Template!D93</f>
        <v>2H</v>
      </c>
      <c r="E95" s="145">
        <f>Data!AB43</f>
        <v>73.897218103947907</v>
      </c>
      <c r="F95" s="145">
        <f>Data!AU36</f>
        <v>77.609017513443305</v>
      </c>
      <c r="G95" s="145">
        <f t="shared" si="12"/>
        <v>738.9721810394791</v>
      </c>
      <c r="H95" s="145">
        <f t="shared" si="12"/>
        <v>776.09017513443303</v>
      </c>
      <c r="I95" s="177" t="str">
        <f t="shared" si="11"/>
        <v>10-010</v>
      </c>
      <c r="J95" s="177" t="str">
        <f t="shared" si="11"/>
        <v>B</v>
      </c>
      <c r="K95" s="177" t="str">
        <f t="shared" si="11"/>
        <v>2H</v>
      </c>
      <c r="L95" s="145">
        <f t="shared" si="14"/>
        <v>757.53117808695606</v>
      </c>
      <c r="M95" s="145">
        <f t="shared" si="15"/>
        <v>757.53117808695606</v>
      </c>
      <c r="N95" s="145">
        <f t="shared" si="16"/>
        <v>26.24638532858415</v>
      </c>
      <c r="O95" s="145">
        <f t="shared" si="17"/>
        <v>3.4647267449593158</v>
      </c>
      <c r="P95" s="606">
        <v>92</v>
      </c>
      <c r="Q95" s="610" t="str">
        <f>Report!A135</f>
        <v>U95</v>
      </c>
      <c r="R95" s="611">
        <f>Report!H135</f>
        <v>3.4647267449593212E-2</v>
      </c>
      <c r="S95" s="612">
        <f t="shared" si="13"/>
        <v>99.999999999999844</v>
      </c>
    </row>
    <row r="96" spans="1:19" ht="15.75" x14ac:dyDescent="0.25">
      <c r="A96" s="489" t="s">
        <v>1025</v>
      </c>
      <c r="B96" s="191" t="str">
        <f>Imported_Template!B94</f>
        <v>10-011</v>
      </c>
      <c r="C96" s="191" t="str">
        <f>Imported_Template!C94</f>
        <v>B</v>
      </c>
      <c r="D96" s="191" t="str">
        <f>Imported_Template!D94</f>
        <v>3A</v>
      </c>
      <c r="E96" s="145">
        <f>Data!AC36</f>
        <v>64.167512136214611</v>
      </c>
      <c r="F96" s="145">
        <f>Data!AT43</f>
        <v>59.335336634487525</v>
      </c>
      <c r="G96" s="145">
        <f t="shared" si="12"/>
        <v>641.67512136214611</v>
      </c>
      <c r="H96" s="145">
        <f t="shared" si="12"/>
        <v>593.35336634487521</v>
      </c>
      <c r="I96" s="177" t="str">
        <f t="shared" si="11"/>
        <v>10-011</v>
      </c>
      <c r="J96" s="177" t="str">
        <f t="shared" si="11"/>
        <v>B</v>
      </c>
      <c r="K96" s="177" t="str">
        <f t="shared" si="11"/>
        <v>3A</v>
      </c>
      <c r="L96" s="145">
        <f t="shared" si="14"/>
        <v>617.51424385351061</v>
      </c>
      <c r="M96" s="145">
        <f t="shared" si="15"/>
        <v>617.51424385351061</v>
      </c>
      <c r="N96" s="145">
        <f t="shared" si="16"/>
        <v>34.168640651547335</v>
      </c>
      <c r="O96" s="145">
        <f t="shared" si="17"/>
        <v>5.5332554660314797</v>
      </c>
      <c r="P96" s="606">
        <v>93</v>
      </c>
      <c r="Q96" s="610" t="str">
        <f>Report!A136</f>
        <v>U96</v>
      </c>
      <c r="R96" s="611">
        <f>Report!H136</f>
        <v>5.5332554660314906E-2</v>
      </c>
      <c r="S96" s="612">
        <f t="shared" si="13"/>
        <v>99.999999999999801</v>
      </c>
    </row>
    <row r="97" spans="1:19" ht="15.75" x14ac:dyDescent="0.25">
      <c r="A97" s="489" t="s">
        <v>1058</v>
      </c>
      <c r="B97" s="191" t="str">
        <f>Imported_Template!B95</f>
        <v>10-012</v>
      </c>
      <c r="C97" s="191" t="str">
        <f>Imported_Template!C95</f>
        <v>B</v>
      </c>
      <c r="D97" s="191" t="str">
        <f>Imported_Template!D95</f>
        <v>3B</v>
      </c>
      <c r="E97" s="145">
        <f>Data!AC37</f>
        <v>71.086410667312975</v>
      </c>
      <c r="F97" s="145">
        <f>Data!AT42</f>
        <v>70.200515947098225</v>
      </c>
      <c r="G97" s="145">
        <f t="shared" si="12"/>
        <v>710.86410667312975</v>
      </c>
      <c r="H97" s="145">
        <f t="shared" si="12"/>
        <v>702.00515947098222</v>
      </c>
      <c r="I97" s="177" t="str">
        <f t="shared" si="11"/>
        <v>10-012</v>
      </c>
      <c r="J97" s="177" t="str">
        <f t="shared" si="11"/>
        <v>B</v>
      </c>
      <c r="K97" s="177" t="str">
        <f t="shared" si="11"/>
        <v>3B</v>
      </c>
      <c r="L97" s="145">
        <f t="shared" si="14"/>
        <v>706.43463307205593</v>
      </c>
      <c r="M97" s="145">
        <f t="shared" si="15"/>
        <v>706.43463307205593</v>
      </c>
      <c r="N97" s="145">
        <f t="shared" si="16"/>
        <v>6.2642216408121127</v>
      </c>
      <c r="O97" s="145">
        <f t="shared" si="17"/>
        <v>0.88673761839379772</v>
      </c>
      <c r="P97" s="606">
        <v>94</v>
      </c>
      <c r="Q97" s="610" t="str">
        <f>Report!A137</f>
        <v>U97</v>
      </c>
      <c r="R97" s="611">
        <f>Report!H137</f>
        <v>8.8673761839379497E-3</v>
      </c>
      <c r="S97" s="612">
        <f t="shared" si="13"/>
        <v>100.00000000000031</v>
      </c>
    </row>
    <row r="98" spans="1:19" ht="15.75" x14ac:dyDescent="0.25">
      <c r="A98" s="489" t="s">
        <v>1091</v>
      </c>
      <c r="B98" s="191" t="str">
        <f>Imported_Template!B96</f>
        <v>10-013</v>
      </c>
      <c r="C98" s="191" t="str">
        <f>Imported_Template!C96</f>
        <v>B</v>
      </c>
      <c r="D98" s="191" t="str">
        <f>Imported_Template!D96</f>
        <v>3C</v>
      </c>
      <c r="E98" s="145">
        <f>Data!AC38</f>
        <v>65.929700460567361</v>
      </c>
      <c r="F98" s="145">
        <f>Data!AT41</f>
        <v>63.287461614754861</v>
      </c>
      <c r="G98" s="145">
        <f t="shared" si="12"/>
        <v>659.29700460567358</v>
      </c>
      <c r="H98" s="145">
        <f t="shared" si="12"/>
        <v>632.87461614754864</v>
      </c>
      <c r="I98" s="177" t="str">
        <f t="shared" si="11"/>
        <v>10-013</v>
      </c>
      <c r="J98" s="177" t="str">
        <f t="shared" si="11"/>
        <v>B</v>
      </c>
      <c r="K98" s="177" t="str">
        <f t="shared" si="11"/>
        <v>3C</v>
      </c>
      <c r="L98" s="145">
        <f t="shared" si="14"/>
        <v>646.08581037661111</v>
      </c>
      <c r="M98" s="145">
        <f t="shared" si="15"/>
        <v>646.08581037661111</v>
      </c>
      <c r="N98" s="145">
        <f t="shared" si="16"/>
        <v>18.683450053885313</v>
      </c>
      <c r="O98" s="145">
        <f t="shared" si="17"/>
        <v>2.8917908045363987</v>
      </c>
      <c r="P98" s="606">
        <v>95</v>
      </c>
      <c r="Q98" s="610" t="str">
        <f>Report!A138</f>
        <v>U98</v>
      </c>
      <c r="R98" s="611">
        <f>Report!H138</f>
        <v>2.8917908045364048E-2</v>
      </c>
      <c r="S98" s="612">
        <f t="shared" si="13"/>
        <v>99.999999999999787</v>
      </c>
    </row>
    <row r="99" spans="1:19" ht="15.75" x14ac:dyDescent="0.25">
      <c r="A99" s="489" t="s">
        <v>1123</v>
      </c>
      <c r="B99" s="191" t="str">
        <f>Imported_Template!B97</f>
        <v>10-014</v>
      </c>
      <c r="C99" s="191" t="str">
        <f>Imported_Template!C97</f>
        <v>B</v>
      </c>
      <c r="D99" s="191" t="str">
        <f>Imported_Template!D97</f>
        <v>3D</v>
      </c>
      <c r="E99" s="145">
        <f>Data!AC39</f>
        <v>65.635805101984914</v>
      </c>
      <c r="F99" s="145">
        <f>Data!AT40</f>
        <v>63.434089458599452</v>
      </c>
      <c r="G99" s="145">
        <f t="shared" si="12"/>
        <v>656.3580510198492</v>
      </c>
      <c r="H99" s="145">
        <f t="shared" si="12"/>
        <v>634.34089458599453</v>
      </c>
      <c r="I99" s="177" t="str">
        <f t="shared" si="11"/>
        <v>10-014</v>
      </c>
      <c r="J99" s="177" t="str">
        <f t="shared" si="11"/>
        <v>B</v>
      </c>
      <c r="K99" s="177" t="str">
        <f t="shared" si="11"/>
        <v>3D</v>
      </c>
      <c r="L99" s="145">
        <f t="shared" si="14"/>
        <v>645.34947280292181</v>
      </c>
      <c r="M99" s="145">
        <f t="shared" si="15"/>
        <v>645.34947280292181</v>
      </c>
      <c r="N99" s="145">
        <f t="shared" si="16"/>
        <v>15.568480616823658</v>
      </c>
      <c r="O99" s="145">
        <f t="shared" si="17"/>
        <v>2.4124108367526311</v>
      </c>
      <c r="P99" s="606">
        <v>96</v>
      </c>
      <c r="Q99" s="610" t="str">
        <f>Report!A139</f>
        <v>U99</v>
      </c>
      <c r="R99" s="611">
        <f>Report!H139</f>
        <v>2.4124108367526261E-2</v>
      </c>
      <c r="S99" s="612">
        <f t="shared" si="13"/>
        <v>100.00000000000021</v>
      </c>
    </row>
    <row r="100" spans="1:19" ht="15.75" x14ac:dyDescent="0.25">
      <c r="A100" s="489" t="s">
        <v>1140</v>
      </c>
      <c r="B100" s="191" t="str">
        <f>Imported_Template!B98</f>
        <v>10-015</v>
      </c>
      <c r="C100" s="191" t="str">
        <f>Imported_Template!C98</f>
        <v>B</v>
      </c>
      <c r="D100" s="191" t="str">
        <f>Imported_Template!D98</f>
        <v>3E</v>
      </c>
      <c r="E100" s="145">
        <f>Data!AC40</f>
        <v>34.810905992708015</v>
      </c>
      <c r="F100" s="145">
        <f>Data!AT39</f>
        <v>31.054388001374441</v>
      </c>
      <c r="G100" s="145">
        <f t="shared" si="12"/>
        <v>348.10905992708012</v>
      </c>
      <c r="H100" s="145">
        <f t="shared" si="12"/>
        <v>310.5438800137444</v>
      </c>
      <c r="I100" s="177" t="str">
        <f t="shared" si="11"/>
        <v>10-015</v>
      </c>
      <c r="J100" s="177" t="str">
        <f t="shared" si="11"/>
        <v>B</v>
      </c>
      <c r="K100" s="177" t="str">
        <f t="shared" si="11"/>
        <v>3E</v>
      </c>
      <c r="L100" s="145">
        <f t="shared" si="14"/>
        <v>329.32646997041229</v>
      </c>
      <c r="M100" s="145">
        <f t="shared" si="15"/>
        <v>329.32646997041229</v>
      </c>
      <c r="N100" s="145">
        <f t="shared" si="16"/>
        <v>26.562593453212376</v>
      </c>
      <c r="O100" s="145">
        <f t="shared" si="17"/>
        <v>8.0657329049799245</v>
      </c>
      <c r="P100" s="606">
        <v>97</v>
      </c>
      <c r="Q100" s="610" t="str">
        <f>Report!A140</f>
        <v>U100</v>
      </c>
      <c r="R100" s="611">
        <f>Report!H140</f>
        <v>8.0657329049799442E-2</v>
      </c>
      <c r="S100" s="612">
        <f t="shared" si="13"/>
        <v>99.999999999999758</v>
      </c>
    </row>
    <row r="101" spans="1:19" ht="15.75" x14ac:dyDescent="0.25">
      <c r="A101" s="489" t="s">
        <v>1108</v>
      </c>
      <c r="B101" s="191" t="str">
        <f>Imported_Template!B99</f>
        <v>10-016</v>
      </c>
      <c r="C101" s="191" t="str">
        <f>Imported_Template!C99</f>
        <v>B</v>
      </c>
      <c r="D101" s="191" t="str">
        <f>Imported_Template!D99</f>
        <v>3F</v>
      </c>
      <c r="E101" s="145">
        <f>Data!AC41</f>
        <v>69.610365879695053</v>
      </c>
      <c r="F101" s="145">
        <f>Data!AT38</f>
        <v>63.434089458599452</v>
      </c>
      <c r="G101" s="145">
        <f t="shared" si="12"/>
        <v>696.10365879695053</v>
      </c>
      <c r="H101" s="145">
        <f t="shared" si="12"/>
        <v>634.34089458599453</v>
      </c>
      <c r="I101" s="177" t="str">
        <f t="shared" si="11"/>
        <v>10-016</v>
      </c>
      <c r="J101" s="177" t="str">
        <f t="shared" si="11"/>
        <v>B</v>
      </c>
      <c r="K101" s="177" t="str">
        <f t="shared" si="11"/>
        <v>3F</v>
      </c>
      <c r="L101" s="145">
        <f t="shared" si="14"/>
        <v>665.22227669147253</v>
      </c>
      <c r="M101" s="145">
        <f t="shared" si="15"/>
        <v>665.22227669147253</v>
      </c>
      <c r="N101" s="145">
        <f t="shared" si="16"/>
        <v>43.672869398392784</v>
      </c>
      <c r="O101" s="145">
        <f t="shared" si="17"/>
        <v>6.5651543745051235</v>
      </c>
      <c r="P101" s="606">
        <v>98</v>
      </c>
      <c r="Q101" s="610" t="str">
        <f>Report!A141</f>
        <v>U101</v>
      </c>
      <c r="R101" s="611">
        <f>Report!H141</f>
        <v>6.5651543745050958E-2</v>
      </c>
      <c r="S101" s="612">
        <f t="shared" si="13"/>
        <v>100.00000000000043</v>
      </c>
    </row>
    <row r="102" spans="1:19" ht="15.75" x14ac:dyDescent="0.25">
      <c r="A102" s="489" t="s">
        <v>1075</v>
      </c>
      <c r="B102" s="191" t="str">
        <f>Imported_Template!B100</f>
        <v>10-017</v>
      </c>
      <c r="C102" s="191" t="str">
        <f>Imported_Template!C100</f>
        <v>B</v>
      </c>
      <c r="D102" s="191" t="str">
        <f>Imported_Template!D100</f>
        <v>3G</v>
      </c>
      <c r="E102" s="145">
        <f>Data!AC42</f>
        <v>33.077070859667842</v>
      </c>
      <c r="F102" s="145">
        <f>Data!AT37</f>
        <v>34.088449215190153</v>
      </c>
      <c r="G102" s="145">
        <f t="shared" si="12"/>
        <v>330.77070859667845</v>
      </c>
      <c r="H102" s="145">
        <f t="shared" si="12"/>
        <v>340.88449215190155</v>
      </c>
      <c r="I102" s="177" t="str">
        <f t="shared" ref="I102:K164" si="18">B102</f>
        <v>10-017</v>
      </c>
      <c r="J102" s="177" t="str">
        <f t="shared" si="18"/>
        <v>B</v>
      </c>
      <c r="K102" s="177" t="str">
        <f t="shared" si="18"/>
        <v>3G</v>
      </c>
      <c r="L102" s="145">
        <f t="shared" si="14"/>
        <v>335.82760037429</v>
      </c>
      <c r="M102" s="145">
        <f t="shared" si="15"/>
        <v>335.82760037429</v>
      </c>
      <c r="N102" s="145">
        <f t="shared" si="16"/>
        <v>7.1515249353512491</v>
      </c>
      <c r="O102" s="145">
        <f t="shared" si="17"/>
        <v>2.129522685860441</v>
      </c>
      <c r="P102" s="606">
        <v>99</v>
      </c>
      <c r="Q102" s="610" t="str">
        <f>Report!A142</f>
        <v>U102</v>
      </c>
      <c r="R102" s="611">
        <f>Report!H142</f>
        <v>2.1295226858604563E-2</v>
      </c>
      <c r="S102" s="612">
        <f t="shared" si="13"/>
        <v>99.999999999999289</v>
      </c>
    </row>
    <row r="103" spans="1:19" ht="15.75" x14ac:dyDescent="0.25">
      <c r="A103" s="489" t="s">
        <v>1042</v>
      </c>
      <c r="B103" s="191" t="str">
        <f>Imported_Template!B101</f>
        <v>10-018</v>
      </c>
      <c r="C103" s="191" t="str">
        <f>Imported_Template!C101</f>
        <v>B</v>
      </c>
      <c r="D103" s="191" t="str">
        <f>Imported_Template!D101</f>
        <v>3H</v>
      </c>
      <c r="E103" s="145">
        <f>Data!AC43</f>
        <v>31.776776935741228</v>
      </c>
      <c r="F103" s="145">
        <f>Data!AT36</f>
        <v>32.788114156016725</v>
      </c>
      <c r="G103" s="145">
        <f t="shared" si="12"/>
        <v>317.76776935741231</v>
      </c>
      <c r="H103" s="145">
        <f t="shared" si="12"/>
        <v>327.88114156016724</v>
      </c>
      <c r="I103" s="177" t="str">
        <f t="shared" si="18"/>
        <v>10-018</v>
      </c>
      <c r="J103" s="177" t="str">
        <f t="shared" si="18"/>
        <v>B</v>
      </c>
      <c r="K103" s="177" t="str">
        <f t="shared" si="18"/>
        <v>3H</v>
      </c>
      <c r="L103" s="145">
        <f t="shared" si="14"/>
        <v>322.82445545878977</v>
      </c>
      <c r="M103" s="145">
        <f t="shared" si="15"/>
        <v>322.82445545878977</v>
      </c>
      <c r="N103" s="145">
        <f t="shared" si="16"/>
        <v>7.1512340652315434</v>
      </c>
      <c r="O103" s="145">
        <f t="shared" si="17"/>
        <v>2.2152082793939494</v>
      </c>
      <c r="P103" s="606">
        <v>100</v>
      </c>
      <c r="Q103" s="610" t="str">
        <f>Report!A143</f>
        <v>U103</v>
      </c>
      <c r="R103" s="611">
        <f>Report!H143</f>
        <v>2.2152082793939262E-2</v>
      </c>
      <c r="S103" s="612">
        <f t="shared" si="13"/>
        <v>100.00000000000105</v>
      </c>
    </row>
    <row r="104" spans="1:19" ht="15.75" x14ac:dyDescent="0.25">
      <c r="A104" s="489" t="s">
        <v>1026</v>
      </c>
      <c r="B104" s="191" t="str">
        <f>Imported_Template!B102</f>
        <v>10-019</v>
      </c>
      <c r="C104" s="191" t="str">
        <f>Imported_Template!C102</f>
        <v>B</v>
      </c>
      <c r="D104" s="191" t="str">
        <f>Imported_Template!D102</f>
        <v>4A</v>
      </c>
      <c r="E104" s="145">
        <f>Data!AD36</f>
        <v>77.757820214173961</v>
      </c>
      <c r="F104" s="145">
        <f>Data!AS43</f>
        <v>73.749068000937896</v>
      </c>
      <c r="G104" s="145">
        <f t="shared" si="12"/>
        <v>777.57820214173967</v>
      </c>
      <c r="H104" s="145">
        <f t="shared" si="12"/>
        <v>737.49068000937893</v>
      </c>
      <c r="I104" s="177" t="str">
        <f t="shared" si="18"/>
        <v>10-019</v>
      </c>
      <c r="J104" s="177" t="str">
        <f t="shared" si="18"/>
        <v>B</v>
      </c>
      <c r="K104" s="177" t="str">
        <f t="shared" si="18"/>
        <v>4A</v>
      </c>
      <c r="L104" s="145">
        <f t="shared" si="14"/>
        <v>757.53444107555924</v>
      </c>
      <c r="M104" s="145">
        <f t="shared" si="15"/>
        <v>757.53444107555924</v>
      </c>
      <c r="N104" s="145">
        <f t="shared" si="16"/>
        <v>28.346158740758082</v>
      </c>
      <c r="O104" s="145">
        <f t="shared" si="17"/>
        <v>3.7418970285379718</v>
      </c>
      <c r="P104" s="606">
        <v>101</v>
      </c>
      <c r="Q104" s="610" t="str">
        <f>Report!A144</f>
        <v>U104</v>
      </c>
      <c r="R104" s="611">
        <f>Report!H144</f>
        <v>3.7418970285379757E-2</v>
      </c>
      <c r="S104" s="612">
        <f t="shared" si="13"/>
        <v>99.999999999999901</v>
      </c>
    </row>
    <row r="105" spans="1:19" ht="15.75" x14ac:dyDescent="0.25">
      <c r="A105" s="489" t="s">
        <v>1059</v>
      </c>
      <c r="B105" s="191" t="str">
        <f>Imported_Template!B103</f>
        <v>10-020</v>
      </c>
      <c r="C105" s="191" t="str">
        <f>Imported_Template!C103</f>
        <v>B</v>
      </c>
      <c r="D105" s="191" t="str">
        <f>Imported_Template!D103</f>
        <v>4B</v>
      </c>
      <c r="E105" s="145">
        <f>Data!AD37</f>
        <v>31.921253513763681</v>
      </c>
      <c r="F105" s="145">
        <f>Data!AS42</f>
        <v>30.620945600970376</v>
      </c>
      <c r="G105" s="145">
        <f t="shared" si="12"/>
        <v>319.21253513763679</v>
      </c>
      <c r="H105" s="145">
        <f t="shared" si="12"/>
        <v>306.20945600970379</v>
      </c>
      <c r="I105" s="177" t="str">
        <f t="shared" si="18"/>
        <v>10-020</v>
      </c>
      <c r="J105" s="177" t="str">
        <f t="shared" si="18"/>
        <v>B</v>
      </c>
      <c r="K105" s="177" t="str">
        <f t="shared" si="18"/>
        <v>4B</v>
      </c>
      <c r="L105" s="145">
        <f t="shared" si="14"/>
        <v>312.71099557367029</v>
      </c>
      <c r="M105" s="145">
        <f t="shared" si="15"/>
        <v>312.71099557367029</v>
      </c>
      <c r="N105" s="145">
        <f t="shared" si="16"/>
        <v>9.1945654276666868</v>
      </c>
      <c r="O105" s="145">
        <f t="shared" si="17"/>
        <v>2.9402757043445815</v>
      </c>
      <c r="P105" s="606">
        <v>102</v>
      </c>
      <c r="Q105" s="610" t="str">
        <f>Report!A145</f>
        <v>U105</v>
      </c>
      <c r="R105" s="611">
        <f>Report!H145</f>
        <v>2.9402757043446064E-2</v>
      </c>
      <c r="S105" s="612">
        <f t="shared" si="13"/>
        <v>99.999999999999147</v>
      </c>
    </row>
    <row r="106" spans="1:19" ht="15.75" x14ac:dyDescent="0.25">
      <c r="A106" s="489" t="s">
        <v>1092</v>
      </c>
      <c r="B106" s="191" t="str">
        <f>Imported_Template!B104</f>
        <v>10-021</v>
      </c>
      <c r="C106" s="191" t="str">
        <f>Imported_Template!C104</f>
        <v>B</v>
      </c>
      <c r="D106" s="191" t="str">
        <f>Imported_Template!D104</f>
        <v>4C</v>
      </c>
      <c r="E106" s="145">
        <f>Data!AD38</f>
        <v>34.810905992708015</v>
      </c>
      <c r="F106" s="145">
        <f>Data!AS41</f>
        <v>39.725631211150841</v>
      </c>
      <c r="G106" s="145">
        <f t="shared" si="12"/>
        <v>348.10905992708012</v>
      </c>
      <c r="H106" s="145">
        <f t="shared" si="12"/>
        <v>397.25631211150841</v>
      </c>
      <c r="I106" s="177" t="str">
        <f t="shared" si="18"/>
        <v>10-021</v>
      </c>
      <c r="J106" s="177" t="str">
        <f t="shared" si="18"/>
        <v>B</v>
      </c>
      <c r="K106" s="177" t="str">
        <f t="shared" si="18"/>
        <v>4C</v>
      </c>
      <c r="L106" s="145">
        <f t="shared" si="14"/>
        <v>372.68268601929424</v>
      </c>
      <c r="M106" s="145">
        <f t="shared" si="15"/>
        <v>372.68268601929424</v>
      </c>
      <c r="N106" s="145">
        <f t="shared" si="16"/>
        <v>34.752355296294603</v>
      </c>
      <c r="O106" s="145">
        <f t="shared" si="17"/>
        <v>9.3249181139838164</v>
      </c>
      <c r="P106" s="606">
        <v>103</v>
      </c>
      <c r="Q106" s="610" t="str">
        <f>Report!A146</f>
        <v>U106</v>
      </c>
      <c r="R106" s="611">
        <f>Report!H146</f>
        <v>9.3249181139837975E-2</v>
      </c>
      <c r="S106" s="612">
        <f t="shared" si="13"/>
        <v>100.0000000000002</v>
      </c>
    </row>
    <row r="107" spans="1:19" ht="15.75" x14ac:dyDescent="0.25">
      <c r="A107" s="489" t="s">
        <v>1124</v>
      </c>
      <c r="B107" s="191" t="str">
        <f>Imported_Template!B105</f>
        <v>10-022</v>
      </c>
      <c r="C107" s="191" t="str">
        <f>Imported_Template!C105</f>
        <v>B</v>
      </c>
      <c r="D107" s="191" t="str">
        <f>Imported_Template!D105</f>
        <v>4D</v>
      </c>
      <c r="E107" s="145">
        <f>Data!AD39</f>
        <v>40.882809246450229</v>
      </c>
      <c r="F107" s="145">
        <f>Data!AS40</f>
        <v>39.581009390300764</v>
      </c>
      <c r="G107" s="145">
        <f t="shared" si="12"/>
        <v>408.82809246450228</v>
      </c>
      <c r="H107" s="145">
        <f t="shared" si="12"/>
        <v>395.81009390300767</v>
      </c>
      <c r="I107" s="177" t="str">
        <f t="shared" si="18"/>
        <v>10-022</v>
      </c>
      <c r="J107" s="177" t="str">
        <f t="shared" si="18"/>
        <v>B</v>
      </c>
      <c r="K107" s="177" t="str">
        <f t="shared" si="18"/>
        <v>4D</v>
      </c>
      <c r="L107" s="145">
        <f t="shared" si="14"/>
        <v>402.31909318375494</v>
      </c>
      <c r="M107" s="145">
        <f t="shared" si="15"/>
        <v>402.31909318375494</v>
      </c>
      <c r="N107" s="145">
        <f t="shared" si="16"/>
        <v>9.2051150603095575</v>
      </c>
      <c r="O107" s="145">
        <f t="shared" si="17"/>
        <v>2.288013473947959</v>
      </c>
      <c r="P107" s="606">
        <v>104</v>
      </c>
      <c r="Q107" s="610" t="str">
        <f>Report!A147</f>
        <v>U107</v>
      </c>
      <c r="R107" s="611">
        <f>Report!H147</f>
        <v>2.2880134739479661E-2</v>
      </c>
      <c r="S107" s="612">
        <f t="shared" si="13"/>
        <v>99.999999999999687</v>
      </c>
    </row>
    <row r="108" spans="1:19" ht="15.75" x14ac:dyDescent="0.25">
      <c r="A108" s="489" t="s">
        <v>1139</v>
      </c>
      <c r="B108" s="191" t="str">
        <f>Imported_Template!B106</f>
        <v>10-023</v>
      </c>
      <c r="C108" s="191" t="str">
        <f>Imported_Template!C106</f>
        <v>B</v>
      </c>
      <c r="D108" s="191" t="str">
        <f>Imported_Template!D106</f>
        <v>4E</v>
      </c>
      <c r="E108" s="145">
        <f>Data!AD40</f>
        <v>30.620945600970376</v>
      </c>
      <c r="F108" s="145">
        <f>Data!AS39</f>
        <v>28.308991671707691</v>
      </c>
      <c r="G108" s="145">
        <f t="shared" si="12"/>
        <v>306.20945600970379</v>
      </c>
      <c r="H108" s="145">
        <f t="shared" si="12"/>
        <v>283.0899167170769</v>
      </c>
      <c r="I108" s="177" t="str">
        <f t="shared" si="18"/>
        <v>10-023</v>
      </c>
      <c r="J108" s="177" t="str">
        <f t="shared" si="18"/>
        <v>B</v>
      </c>
      <c r="K108" s="177" t="str">
        <f t="shared" si="18"/>
        <v>4E</v>
      </c>
      <c r="L108" s="145">
        <f t="shared" si="14"/>
        <v>294.64968636339034</v>
      </c>
      <c r="M108" s="145">
        <f t="shared" si="15"/>
        <v>294.64968636339034</v>
      </c>
      <c r="N108" s="145">
        <f t="shared" si="16"/>
        <v>16.347983011725304</v>
      </c>
      <c r="O108" s="145">
        <f t="shared" si="17"/>
        <v>5.5482777577313955</v>
      </c>
      <c r="P108" s="606">
        <v>105</v>
      </c>
      <c r="Q108" s="610" t="str">
        <f>Report!A148</f>
        <v>U108</v>
      </c>
      <c r="R108" s="611">
        <f>Report!H148</f>
        <v>5.5482777577313735E-2</v>
      </c>
      <c r="S108" s="612">
        <f t="shared" si="13"/>
        <v>100.0000000000004</v>
      </c>
    </row>
    <row r="109" spans="1:19" ht="15.75" x14ac:dyDescent="0.25">
      <c r="A109" s="489" t="s">
        <v>1107</v>
      </c>
      <c r="B109" s="191" t="str">
        <f>Imported_Template!B107</f>
        <v>10-024</v>
      </c>
      <c r="C109" s="191" t="str">
        <f>Imported_Template!C107</f>
        <v>B</v>
      </c>
      <c r="D109" s="191" t="str">
        <f>Imported_Template!D107</f>
        <v>4F</v>
      </c>
      <c r="E109" s="145">
        <f>Data!AD41</f>
        <v>38.135069173367128</v>
      </c>
      <c r="F109" s="145">
        <f>Data!AS38</f>
        <v>35.38890784643506</v>
      </c>
      <c r="G109" s="145">
        <f t="shared" si="12"/>
        <v>381.35069173367128</v>
      </c>
      <c r="H109" s="145">
        <f t="shared" si="12"/>
        <v>353.88907846435063</v>
      </c>
      <c r="I109" s="177" t="str">
        <f t="shared" si="18"/>
        <v>10-024</v>
      </c>
      <c r="J109" s="177" t="str">
        <f t="shared" si="18"/>
        <v>B</v>
      </c>
      <c r="K109" s="177" t="str">
        <f t="shared" si="18"/>
        <v>4F</v>
      </c>
      <c r="L109" s="145">
        <f t="shared" si="14"/>
        <v>367.61988509901096</v>
      </c>
      <c r="M109" s="145">
        <f t="shared" si="15"/>
        <v>367.61988509901096</v>
      </c>
      <c r="N109" s="145">
        <f t="shared" si="16"/>
        <v>19.418292965059106</v>
      </c>
      <c r="O109" s="145">
        <f t="shared" si="17"/>
        <v>5.2821661047604058</v>
      </c>
      <c r="P109" s="606">
        <v>106</v>
      </c>
      <c r="Q109" s="610" t="str">
        <f>Report!A149</f>
        <v>U109</v>
      </c>
      <c r="R109" s="611">
        <f>Report!H149</f>
        <v>5.2821661047604114E-2</v>
      </c>
      <c r="S109" s="612">
        <f t="shared" si="13"/>
        <v>99.999999999999901</v>
      </c>
    </row>
    <row r="110" spans="1:19" ht="15.75" x14ac:dyDescent="0.25">
      <c r="A110" s="489" t="s">
        <v>1074</v>
      </c>
      <c r="B110" s="191" t="str">
        <f>Imported_Template!B108</f>
        <v>10-025</v>
      </c>
      <c r="C110" s="191" t="str">
        <f>Imported_Template!C108</f>
        <v>B</v>
      </c>
      <c r="D110" s="191" t="str">
        <f>Imported_Template!D108</f>
        <v>4G</v>
      </c>
      <c r="E110" s="145">
        <f>Data!AD42</f>
        <v>94.302605976120901</v>
      </c>
      <c r="F110" s="145">
        <f>Data!AS37</f>
        <v>86.134693619155414</v>
      </c>
      <c r="G110" s="145">
        <f t="shared" si="12"/>
        <v>943.02605976120901</v>
      </c>
      <c r="H110" s="145">
        <f t="shared" si="12"/>
        <v>861.34693619155416</v>
      </c>
      <c r="I110" s="177" t="str">
        <f t="shared" si="18"/>
        <v>10-025</v>
      </c>
      <c r="J110" s="177" t="str">
        <f t="shared" si="18"/>
        <v>B</v>
      </c>
      <c r="K110" s="177" t="str">
        <f t="shared" si="18"/>
        <v>4G</v>
      </c>
      <c r="L110" s="145">
        <f t="shared" si="14"/>
        <v>902.18649797638159</v>
      </c>
      <c r="M110" s="145">
        <f t="shared" si="15"/>
        <v>902.18649797638159</v>
      </c>
      <c r="N110" s="145">
        <f t="shared" si="16"/>
        <v>57.755862157476905</v>
      </c>
      <c r="O110" s="145">
        <f t="shared" si="17"/>
        <v>6.4017652987518883</v>
      </c>
      <c r="P110" s="606">
        <v>107</v>
      </c>
      <c r="Q110" s="610" t="str">
        <f>Report!A150</f>
        <v>U110</v>
      </c>
      <c r="R110" s="611">
        <f>Report!H150</f>
        <v>6.4017652987518908E-2</v>
      </c>
      <c r="S110" s="612">
        <f t="shared" si="13"/>
        <v>99.999999999999957</v>
      </c>
    </row>
    <row r="111" spans="1:19" ht="15.75" x14ac:dyDescent="0.25">
      <c r="A111" s="489" t="s">
        <v>1041</v>
      </c>
      <c r="B111" s="191" t="str">
        <f>Imported_Template!B109</f>
        <v>10-026</v>
      </c>
      <c r="C111" s="191" t="str">
        <f>Imported_Template!C109</f>
        <v>B</v>
      </c>
      <c r="D111" s="191" t="str">
        <f>Imported_Template!D109</f>
        <v>4H</v>
      </c>
      <c r="E111" s="145">
        <f>Data!AD43</f>
        <v>97.505636939416846</v>
      </c>
      <c r="F111" s="145">
        <f>Data!AS36</f>
        <v>90.358056307030452</v>
      </c>
      <c r="G111" s="145">
        <f t="shared" si="12"/>
        <v>975.05636939416843</v>
      </c>
      <c r="H111" s="145">
        <f t="shared" si="12"/>
        <v>903.58056307030449</v>
      </c>
      <c r="I111" s="177" t="str">
        <f t="shared" si="18"/>
        <v>10-026</v>
      </c>
      <c r="J111" s="177" t="str">
        <f t="shared" si="18"/>
        <v>B</v>
      </c>
      <c r="K111" s="177" t="str">
        <f t="shared" si="18"/>
        <v>4H</v>
      </c>
      <c r="L111" s="145">
        <f t="shared" si="14"/>
        <v>939.31846623223646</v>
      </c>
      <c r="M111" s="145">
        <f t="shared" si="15"/>
        <v>939.31846623223646</v>
      </c>
      <c r="N111" s="145">
        <f t="shared" si="16"/>
        <v>50.541027342380509</v>
      </c>
      <c r="O111" s="145">
        <f t="shared" si="17"/>
        <v>5.3806061691844542</v>
      </c>
      <c r="P111" s="606">
        <v>108</v>
      </c>
      <c r="Q111" s="610" t="str">
        <f>Report!A151</f>
        <v>U111</v>
      </c>
      <c r="R111" s="611">
        <f>Report!H151</f>
        <v>5.3806061691844542E-2</v>
      </c>
      <c r="S111" s="612">
        <f t="shared" si="13"/>
        <v>100</v>
      </c>
    </row>
    <row r="112" spans="1:19" ht="15.75" x14ac:dyDescent="0.25">
      <c r="A112" s="489" t="s">
        <v>1027</v>
      </c>
      <c r="B112" s="191" t="str">
        <f>Imported_Template!B110</f>
        <v>10-027</v>
      </c>
      <c r="C112" s="191" t="str">
        <f>Imported_Template!C110</f>
        <v>B</v>
      </c>
      <c r="D112" s="191" t="str">
        <f>Imported_Template!D110</f>
        <v>5A</v>
      </c>
      <c r="E112" s="145">
        <f>Data!AE36</f>
        <v>82.683419241760177</v>
      </c>
      <c r="F112" s="145">
        <f>Data!AR43</f>
        <v>80.440809372543583</v>
      </c>
      <c r="G112" s="145">
        <f t="shared" si="12"/>
        <v>826.8341924176018</v>
      </c>
      <c r="H112" s="145">
        <f t="shared" si="12"/>
        <v>804.40809372543583</v>
      </c>
      <c r="I112" s="177" t="str">
        <f t="shared" si="18"/>
        <v>10-027</v>
      </c>
      <c r="J112" s="177" t="str">
        <f t="shared" si="18"/>
        <v>B</v>
      </c>
      <c r="K112" s="177" t="str">
        <f t="shared" si="18"/>
        <v>5A</v>
      </c>
      <c r="L112" s="145">
        <f t="shared" si="14"/>
        <v>815.62114307151887</v>
      </c>
      <c r="M112" s="145">
        <f t="shared" si="15"/>
        <v>815.62114307151887</v>
      </c>
      <c r="N112" s="145">
        <f t="shared" si="16"/>
        <v>15.857646460789319</v>
      </c>
      <c r="O112" s="145">
        <f t="shared" si="17"/>
        <v>1.944241710197895</v>
      </c>
      <c r="P112" s="606">
        <v>109</v>
      </c>
      <c r="Q112" s="610" t="str">
        <f>Report!A152</f>
        <v>U112</v>
      </c>
      <c r="R112" s="611">
        <f>Report!H152</f>
        <v>1.9442417101978804E-2</v>
      </c>
      <c r="S112" s="612">
        <f t="shared" si="13"/>
        <v>100.00000000000075</v>
      </c>
    </row>
    <row r="113" spans="1:19" ht="15.75" x14ac:dyDescent="0.25">
      <c r="A113" s="489" t="s">
        <v>1060</v>
      </c>
      <c r="B113" s="191" t="str">
        <f>Imported_Template!B111</f>
        <v>10-028</v>
      </c>
      <c r="C113" s="191" t="str">
        <f>Imported_Template!C111</f>
        <v>B</v>
      </c>
      <c r="D113" s="191" t="str">
        <f>Imported_Template!D111</f>
        <v>5B</v>
      </c>
      <c r="E113" s="145">
        <f>Data!AE37</f>
        <v>71.529663763648998</v>
      </c>
      <c r="F113" s="145">
        <f>Data!AR42</f>
        <v>69.462883473788509</v>
      </c>
      <c r="G113" s="145">
        <f t="shared" si="12"/>
        <v>715.29663763649</v>
      </c>
      <c r="H113" s="145">
        <f t="shared" si="12"/>
        <v>694.62883473788509</v>
      </c>
      <c r="I113" s="177" t="str">
        <f t="shared" si="18"/>
        <v>10-028</v>
      </c>
      <c r="J113" s="177" t="str">
        <f t="shared" si="18"/>
        <v>B</v>
      </c>
      <c r="K113" s="177" t="str">
        <f t="shared" si="18"/>
        <v>5B</v>
      </c>
      <c r="L113" s="145">
        <f t="shared" si="14"/>
        <v>704.9627361871876</v>
      </c>
      <c r="M113" s="145">
        <f t="shared" si="15"/>
        <v>704.9627361871876</v>
      </c>
      <c r="N113" s="145">
        <f t="shared" si="16"/>
        <v>14.614343581830521</v>
      </c>
      <c r="O113" s="145">
        <f t="shared" si="17"/>
        <v>2.0730661113908861</v>
      </c>
      <c r="P113" s="606">
        <v>110</v>
      </c>
      <c r="Q113" s="610" t="str">
        <f>Report!A153</f>
        <v>U113</v>
      </c>
      <c r="R113" s="611">
        <f>Report!H153</f>
        <v>2.0730661113908835E-2</v>
      </c>
      <c r="S113" s="612">
        <f t="shared" si="13"/>
        <v>100.00000000000013</v>
      </c>
    </row>
    <row r="114" spans="1:19" ht="15.75" x14ac:dyDescent="0.25">
      <c r="A114" s="489" t="s">
        <v>1093</v>
      </c>
      <c r="B114" s="191" t="str">
        <f>Imported_Template!B112</f>
        <v>10-029</v>
      </c>
      <c r="C114" s="191" t="str">
        <f>Imported_Template!C112</f>
        <v>B</v>
      </c>
      <c r="D114" s="191" t="str">
        <f>Imported_Template!D112</f>
        <v>5C</v>
      </c>
      <c r="E114" s="145">
        <f>Data!AE38</f>
        <v>25.99621724612312</v>
      </c>
      <c r="F114" s="145">
        <f>Data!AR41</f>
        <v>23.247947682779369</v>
      </c>
      <c r="G114" s="145">
        <f t="shared" si="12"/>
        <v>259.96217246123121</v>
      </c>
      <c r="H114" s="145">
        <f t="shared" si="12"/>
        <v>232.47947682779369</v>
      </c>
      <c r="I114" s="177" t="str">
        <f t="shared" si="18"/>
        <v>10-029</v>
      </c>
      <c r="J114" s="177" t="str">
        <f t="shared" si="18"/>
        <v>B</v>
      </c>
      <c r="K114" s="177" t="str">
        <f t="shared" si="18"/>
        <v>5C</v>
      </c>
      <c r="L114" s="145">
        <f t="shared" si="14"/>
        <v>246.22082464451245</v>
      </c>
      <c r="M114" s="145">
        <f t="shared" si="15"/>
        <v>246.22082464451245</v>
      </c>
      <c r="N114" s="145">
        <f t="shared" si="16"/>
        <v>19.433200447689586</v>
      </c>
      <c r="O114" s="145">
        <f t="shared" si="17"/>
        <v>7.892590107171789</v>
      </c>
      <c r="P114" s="606">
        <v>111</v>
      </c>
      <c r="Q114" s="610" t="str">
        <f>Report!A154</f>
        <v>U114</v>
      </c>
      <c r="R114" s="611">
        <f>Report!H154</f>
        <v>0</v>
      </c>
      <c r="S114" s="612" t="e">
        <f t="shared" si="13"/>
        <v>#DIV/0!</v>
      </c>
    </row>
    <row r="115" spans="1:19" ht="15.75" x14ac:dyDescent="0.25">
      <c r="A115" s="489" t="s">
        <v>1125</v>
      </c>
      <c r="B115" s="191" t="str">
        <f>Imported_Template!B113</f>
        <v>10-030</v>
      </c>
      <c r="C115" s="191" t="str">
        <f>Imported_Template!C113</f>
        <v>B</v>
      </c>
      <c r="D115" s="191" t="str">
        <f>Imported_Template!D113</f>
        <v>5D</v>
      </c>
      <c r="E115" s="145">
        <f>Data!AE39</f>
        <v>0.6453228117128299</v>
      </c>
      <c r="F115" s="145" t="e">
        <f>Data!AR40</f>
        <v>#VALUE!</v>
      </c>
      <c r="G115" s="145">
        <f t="shared" si="12"/>
        <v>6.4532281171282992</v>
      </c>
      <c r="H115" s="145" t="e">
        <f t="shared" si="12"/>
        <v>#VALUE!</v>
      </c>
      <c r="I115" s="177" t="str">
        <f t="shared" si="18"/>
        <v>10-030</v>
      </c>
      <c r="J115" s="177" t="str">
        <f t="shared" si="18"/>
        <v>B</v>
      </c>
      <c r="K115" s="177" t="str">
        <f t="shared" si="18"/>
        <v>5D</v>
      </c>
      <c r="L115" s="145" t="e">
        <f t="shared" si="14"/>
        <v>#VALUE!</v>
      </c>
      <c r="M115" s="145" t="e">
        <f t="shared" si="15"/>
        <v>#VALUE!</v>
      </c>
      <c r="N115" s="145" t="e">
        <f t="shared" si="16"/>
        <v>#VALUE!</v>
      </c>
      <c r="O115" s="145" t="e">
        <f t="shared" si="17"/>
        <v>#VALUE!</v>
      </c>
      <c r="P115" s="606">
        <v>112</v>
      </c>
      <c r="Q115" s="610" t="str">
        <f>Report!A155</f>
        <v>U115</v>
      </c>
      <c r="R115" s="611">
        <f>Report!H155</f>
        <v>0</v>
      </c>
      <c r="S115" s="612" t="e">
        <f t="shared" si="13"/>
        <v>#VALUE!</v>
      </c>
    </row>
    <row r="116" spans="1:19" ht="15.75" x14ac:dyDescent="0.25">
      <c r="A116" s="489" t="s">
        <v>1138</v>
      </c>
      <c r="B116" s="191" t="str">
        <f>Imported_Template!B114</f>
        <v>10-031</v>
      </c>
      <c r="C116" s="191" t="str">
        <f>Imported_Template!C114</f>
        <v>B</v>
      </c>
      <c r="D116" s="191" t="str">
        <f>Imported_Template!D114</f>
        <v>5E</v>
      </c>
      <c r="E116" s="145">
        <f>Data!AE40</f>
        <v>1.1060166416540134</v>
      </c>
      <c r="F116" s="145" t="e">
        <f>Data!AR39</f>
        <v>#VALUE!</v>
      </c>
      <c r="G116" s="145">
        <f t="shared" si="12"/>
        <v>11.060166416540135</v>
      </c>
      <c r="H116" s="145" t="e">
        <f t="shared" si="12"/>
        <v>#VALUE!</v>
      </c>
      <c r="I116" s="177" t="str">
        <f t="shared" si="18"/>
        <v>10-031</v>
      </c>
      <c r="J116" s="177" t="str">
        <f t="shared" si="18"/>
        <v>B</v>
      </c>
      <c r="K116" s="177" t="str">
        <f t="shared" si="18"/>
        <v>5E</v>
      </c>
      <c r="L116" s="145" t="e">
        <f t="shared" si="14"/>
        <v>#VALUE!</v>
      </c>
      <c r="M116" s="145" t="e">
        <f t="shared" si="15"/>
        <v>#VALUE!</v>
      </c>
      <c r="N116" s="145" t="e">
        <f t="shared" si="16"/>
        <v>#VALUE!</v>
      </c>
      <c r="O116" s="145" t="e">
        <f t="shared" si="17"/>
        <v>#VALUE!</v>
      </c>
      <c r="P116" s="606">
        <v>113</v>
      </c>
      <c r="Q116" s="610" t="str">
        <f>Report!A156</f>
        <v>U116</v>
      </c>
      <c r="R116" s="611">
        <f>Report!H156</f>
        <v>0</v>
      </c>
      <c r="S116" s="612" t="e">
        <f t="shared" si="13"/>
        <v>#VALUE!</v>
      </c>
    </row>
    <row r="117" spans="1:19" ht="15.75" x14ac:dyDescent="0.25">
      <c r="A117" s="489" t="s">
        <v>1106</v>
      </c>
      <c r="B117" s="191" t="str">
        <f>Imported_Template!B115</f>
        <v>10-032</v>
      </c>
      <c r="C117" s="191" t="str">
        <f>Imported_Template!C115</f>
        <v>B</v>
      </c>
      <c r="D117" s="191" t="str">
        <f>Imported_Template!D115</f>
        <v>5F</v>
      </c>
      <c r="E117" s="145">
        <f>Data!AE41</f>
        <v>1.2586480955833492</v>
      </c>
      <c r="F117" s="145" t="e">
        <f>Data!AR38</f>
        <v>#VALUE!</v>
      </c>
      <c r="G117" s="145">
        <f t="shared" ref="G117:H167" si="19">E117*$B$2</f>
        <v>12.586480955833492</v>
      </c>
      <c r="H117" s="145" t="e">
        <f t="shared" si="19"/>
        <v>#VALUE!</v>
      </c>
      <c r="I117" s="177" t="str">
        <f t="shared" si="18"/>
        <v>10-032</v>
      </c>
      <c r="J117" s="177" t="str">
        <f t="shared" si="18"/>
        <v>B</v>
      </c>
      <c r="K117" s="177" t="str">
        <f t="shared" si="18"/>
        <v>5F</v>
      </c>
      <c r="L117" s="145" t="e">
        <f t="shared" si="14"/>
        <v>#VALUE!</v>
      </c>
      <c r="M117" s="145" t="e">
        <f t="shared" si="15"/>
        <v>#VALUE!</v>
      </c>
      <c r="N117" s="145" t="e">
        <f t="shared" si="16"/>
        <v>#VALUE!</v>
      </c>
      <c r="O117" s="145" t="e">
        <f t="shared" si="17"/>
        <v>#VALUE!</v>
      </c>
      <c r="P117" s="606">
        <v>114</v>
      </c>
      <c r="Q117" s="610" t="str">
        <f>Report!A157</f>
        <v>U117</v>
      </c>
      <c r="R117" s="611">
        <f>Report!H157</f>
        <v>0</v>
      </c>
      <c r="S117" s="612" t="e">
        <f t="shared" si="13"/>
        <v>#VALUE!</v>
      </c>
    </row>
    <row r="118" spans="1:19" ht="15.75" x14ac:dyDescent="0.25">
      <c r="A118" s="489" t="s">
        <v>1073</v>
      </c>
      <c r="B118" s="191" t="str">
        <f>Imported_Template!B116</f>
        <v>10-033</v>
      </c>
      <c r="C118" s="191" t="str">
        <f>Imported_Template!C116</f>
        <v>B</v>
      </c>
      <c r="D118" s="191" t="str">
        <f>Imported_Template!D116</f>
        <v>5G</v>
      </c>
      <c r="E118" s="145">
        <f>Data!AE42</f>
        <v>1.1060166416540114</v>
      </c>
      <c r="F118" s="145" t="e">
        <f>Data!AR37</f>
        <v>#VALUE!</v>
      </c>
      <c r="G118" s="145">
        <f t="shared" si="19"/>
        <v>11.060166416540113</v>
      </c>
      <c r="H118" s="145" t="e">
        <f t="shared" si="19"/>
        <v>#VALUE!</v>
      </c>
      <c r="I118" s="177" t="str">
        <f t="shared" si="18"/>
        <v>10-033</v>
      </c>
      <c r="J118" s="177" t="str">
        <f t="shared" si="18"/>
        <v>B</v>
      </c>
      <c r="K118" s="177" t="str">
        <f t="shared" si="18"/>
        <v>5G</v>
      </c>
      <c r="L118" s="145" t="e">
        <f t="shared" si="14"/>
        <v>#VALUE!</v>
      </c>
      <c r="M118" s="145" t="e">
        <f t="shared" si="15"/>
        <v>#VALUE!</v>
      </c>
      <c r="N118" s="145" t="e">
        <f t="shared" si="16"/>
        <v>#VALUE!</v>
      </c>
      <c r="O118" s="145" t="e">
        <f t="shared" si="17"/>
        <v>#VALUE!</v>
      </c>
      <c r="P118" s="606">
        <v>115</v>
      </c>
      <c r="Q118" s="610" t="str">
        <f>Report!A158</f>
        <v>U118</v>
      </c>
      <c r="R118" s="611">
        <f>Report!H158</f>
        <v>0</v>
      </c>
      <c r="S118" s="612" t="e">
        <f t="shared" si="13"/>
        <v>#VALUE!</v>
      </c>
    </row>
    <row r="119" spans="1:19" ht="15.75" x14ac:dyDescent="0.25">
      <c r="A119" s="489" t="s">
        <v>1040</v>
      </c>
      <c r="B119" s="191" t="str">
        <f>Imported_Template!B117</f>
        <v>10-034</v>
      </c>
      <c r="C119" s="191" t="str">
        <f>Imported_Template!C117</f>
        <v>B</v>
      </c>
      <c r="D119" s="191" t="str">
        <f>Imported_Template!D117</f>
        <v>5H</v>
      </c>
      <c r="E119" s="145" t="e">
        <f>Data!AE43</f>
        <v>#VALUE!</v>
      </c>
      <c r="F119" s="145" t="e">
        <f>Data!AR36</f>
        <v>#VALUE!</v>
      </c>
      <c r="G119" s="145" t="e">
        <f t="shared" si="19"/>
        <v>#VALUE!</v>
      </c>
      <c r="H119" s="145" t="e">
        <f t="shared" si="19"/>
        <v>#VALUE!</v>
      </c>
      <c r="I119" s="177" t="str">
        <f t="shared" si="18"/>
        <v>10-034</v>
      </c>
      <c r="J119" s="177" t="str">
        <f t="shared" si="18"/>
        <v>B</v>
      </c>
      <c r="K119" s="177" t="str">
        <f t="shared" si="18"/>
        <v>5H</v>
      </c>
      <c r="L119" s="145" t="e">
        <f t="shared" si="14"/>
        <v>#VALUE!</v>
      </c>
      <c r="M119" s="145" t="e">
        <f t="shared" si="15"/>
        <v>#VALUE!</v>
      </c>
      <c r="N119" s="145" t="e">
        <f t="shared" si="16"/>
        <v>#VALUE!</v>
      </c>
      <c r="O119" s="145" t="e">
        <f t="shared" si="17"/>
        <v>#VALUE!</v>
      </c>
      <c r="P119" s="606">
        <v>116</v>
      </c>
      <c r="Q119" s="610" t="str">
        <f>Report!A159</f>
        <v>U119</v>
      </c>
      <c r="R119" s="611">
        <f>Report!H159</f>
        <v>0</v>
      </c>
      <c r="S119" s="612" t="e">
        <f t="shared" si="13"/>
        <v>#VALUE!</v>
      </c>
    </row>
    <row r="120" spans="1:19" ht="15.75" x14ac:dyDescent="0.25">
      <c r="A120" s="489" t="s">
        <v>1028</v>
      </c>
      <c r="B120" s="191" t="str">
        <f>Imported_Template!B118</f>
        <v>10-035</v>
      </c>
      <c r="C120" s="191" t="str">
        <f>Imported_Template!C118</f>
        <v>B</v>
      </c>
      <c r="D120" s="191" t="str">
        <f>Imported_Template!D118</f>
        <v>6A</v>
      </c>
      <c r="E120" s="145" t="e">
        <f>Data!AF36</f>
        <v>#VALUE!</v>
      </c>
      <c r="F120" s="145" t="e">
        <f>Data!AQ43</f>
        <v>#VALUE!</v>
      </c>
      <c r="G120" s="145" t="e">
        <f t="shared" si="19"/>
        <v>#VALUE!</v>
      </c>
      <c r="H120" s="145" t="e">
        <f t="shared" si="19"/>
        <v>#VALUE!</v>
      </c>
      <c r="I120" s="177" t="str">
        <f t="shared" si="18"/>
        <v>10-035</v>
      </c>
      <c r="J120" s="177" t="str">
        <f t="shared" si="18"/>
        <v>B</v>
      </c>
      <c r="K120" s="177" t="str">
        <f t="shared" si="18"/>
        <v>6A</v>
      </c>
      <c r="L120" s="145" t="e">
        <f t="shared" si="14"/>
        <v>#VALUE!</v>
      </c>
      <c r="M120" s="145" t="e">
        <f t="shared" si="15"/>
        <v>#VALUE!</v>
      </c>
      <c r="N120" s="145" t="e">
        <f t="shared" si="16"/>
        <v>#VALUE!</v>
      </c>
      <c r="O120" s="145" t="e">
        <f t="shared" si="17"/>
        <v>#VALUE!</v>
      </c>
      <c r="P120" s="606">
        <v>117</v>
      </c>
      <c r="Q120" s="610" t="str">
        <f>Report!A160</f>
        <v>U120</v>
      </c>
      <c r="R120" s="611">
        <f>Report!H160</f>
        <v>0</v>
      </c>
      <c r="S120" s="612" t="e">
        <f t="shared" si="13"/>
        <v>#VALUE!</v>
      </c>
    </row>
    <row r="121" spans="1:19" ht="15.75" x14ac:dyDescent="0.25">
      <c r="A121" s="489" t="s">
        <v>1061</v>
      </c>
      <c r="B121" s="191" t="str">
        <f>Imported_Template!B119</f>
        <v>10-036</v>
      </c>
      <c r="C121" s="191" t="str">
        <f>Imported_Template!C119</f>
        <v>B</v>
      </c>
      <c r="D121" s="191" t="str">
        <f>Imported_Template!D119</f>
        <v>6B</v>
      </c>
      <c r="E121" s="145">
        <f>Data!AF37</f>
        <v>1.6552427638263877E-2</v>
      </c>
      <c r="F121" s="145" t="e">
        <f>Data!AQ42</f>
        <v>#VALUE!</v>
      </c>
      <c r="G121" s="145">
        <f t="shared" si="19"/>
        <v>0.16552427638263878</v>
      </c>
      <c r="H121" s="145" t="e">
        <f t="shared" si="19"/>
        <v>#VALUE!</v>
      </c>
      <c r="I121" s="177" t="str">
        <f t="shared" si="18"/>
        <v>10-036</v>
      </c>
      <c r="J121" s="177" t="str">
        <f t="shared" si="18"/>
        <v>B</v>
      </c>
      <c r="K121" s="177" t="str">
        <f t="shared" si="18"/>
        <v>6B</v>
      </c>
      <c r="L121" s="145" t="e">
        <f t="shared" si="14"/>
        <v>#VALUE!</v>
      </c>
      <c r="M121" s="145" t="e">
        <f t="shared" si="15"/>
        <v>#VALUE!</v>
      </c>
      <c r="N121" s="145" t="e">
        <f t="shared" si="16"/>
        <v>#VALUE!</v>
      </c>
      <c r="O121" s="145" t="e">
        <f t="shared" si="17"/>
        <v>#VALUE!</v>
      </c>
      <c r="P121" s="606">
        <v>118</v>
      </c>
      <c r="Q121" s="610" t="str">
        <f>Report!A161</f>
        <v>U121</v>
      </c>
      <c r="R121" s="611">
        <f>Report!H161</f>
        <v>0</v>
      </c>
      <c r="S121" s="612" t="e">
        <f t="shared" si="13"/>
        <v>#VALUE!</v>
      </c>
    </row>
    <row r="122" spans="1:19" ht="15.75" x14ac:dyDescent="0.25">
      <c r="A122" s="489" t="s">
        <v>1094</v>
      </c>
      <c r="B122" s="191" t="str">
        <f>Imported_Template!B120</f>
        <v>10-037</v>
      </c>
      <c r="C122" s="191" t="str">
        <f>Imported_Template!C120</f>
        <v>B</v>
      </c>
      <c r="D122" s="191" t="str">
        <f>Imported_Template!D120</f>
        <v>6A</v>
      </c>
      <c r="E122" s="145">
        <f>Data!AF38</f>
        <v>0.79943837504430848</v>
      </c>
      <c r="F122" s="145" t="e">
        <f>Data!AQ41</f>
        <v>#VALUE!</v>
      </c>
      <c r="G122" s="145">
        <f t="shared" si="19"/>
        <v>7.9943837504430846</v>
      </c>
      <c r="H122" s="145" t="e">
        <f t="shared" si="19"/>
        <v>#VALUE!</v>
      </c>
      <c r="I122" s="177" t="str">
        <f t="shared" si="18"/>
        <v>10-037</v>
      </c>
      <c r="J122" s="177" t="str">
        <f t="shared" si="18"/>
        <v>B</v>
      </c>
      <c r="K122" s="177" t="str">
        <f t="shared" si="18"/>
        <v>6A</v>
      </c>
      <c r="L122" s="145" t="e">
        <f t="shared" si="14"/>
        <v>#VALUE!</v>
      </c>
      <c r="M122" s="145" t="e">
        <f t="shared" si="15"/>
        <v>#VALUE!</v>
      </c>
      <c r="N122" s="145" t="e">
        <f t="shared" si="16"/>
        <v>#VALUE!</v>
      </c>
      <c r="O122" s="145" t="e">
        <f t="shared" si="17"/>
        <v>#VALUE!</v>
      </c>
      <c r="P122" s="606">
        <v>119</v>
      </c>
      <c r="Q122" s="610" t="str">
        <f>Report!A162</f>
        <v>U122</v>
      </c>
      <c r="R122" s="611">
        <f>Report!H162</f>
        <v>0</v>
      </c>
      <c r="S122" s="612" t="e">
        <f t="shared" si="13"/>
        <v>#VALUE!</v>
      </c>
    </row>
    <row r="123" spans="1:19" ht="15.75" x14ac:dyDescent="0.25">
      <c r="A123" s="489" t="s">
        <v>1126</v>
      </c>
      <c r="B123" s="191" t="str">
        <f>Imported_Template!B121</f>
        <v>10-038</v>
      </c>
      <c r="C123" s="191" t="str">
        <f>Imported_Template!C121</f>
        <v>B</v>
      </c>
      <c r="D123" s="191" t="str">
        <f>Imported_Template!D121</f>
        <v>6B</v>
      </c>
      <c r="E123" s="145" t="e">
        <f>Data!AF39</f>
        <v>#VALUE!</v>
      </c>
      <c r="F123" s="145" t="e">
        <f>Data!AQ40</f>
        <v>#VALUE!</v>
      </c>
      <c r="G123" s="145" t="e">
        <f t="shared" si="19"/>
        <v>#VALUE!</v>
      </c>
      <c r="H123" s="145" t="e">
        <f t="shared" si="19"/>
        <v>#VALUE!</v>
      </c>
      <c r="I123" s="177" t="str">
        <f t="shared" si="18"/>
        <v>10-038</v>
      </c>
      <c r="J123" s="177" t="str">
        <f t="shared" si="18"/>
        <v>B</v>
      </c>
      <c r="K123" s="177" t="str">
        <f t="shared" si="18"/>
        <v>6B</v>
      </c>
      <c r="L123" s="145" t="e">
        <f t="shared" si="14"/>
        <v>#VALUE!</v>
      </c>
      <c r="M123" s="145" t="e">
        <f t="shared" si="15"/>
        <v>#VALUE!</v>
      </c>
      <c r="N123" s="145" t="e">
        <f t="shared" si="16"/>
        <v>#VALUE!</v>
      </c>
      <c r="O123" s="145" t="e">
        <f t="shared" si="17"/>
        <v>#VALUE!</v>
      </c>
      <c r="P123" s="606">
        <v>120</v>
      </c>
      <c r="Q123" s="610" t="str">
        <f>Report!A163</f>
        <v>U123</v>
      </c>
      <c r="R123" s="611">
        <f>Report!H163</f>
        <v>0</v>
      </c>
      <c r="S123" s="612" t="e">
        <f t="shared" si="13"/>
        <v>#VALUE!</v>
      </c>
    </row>
    <row r="124" spans="1:19" ht="15.75" x14ac:dyDescent="0.25">
      <c r="A124" s="489" t="s">
        <v>1137</v>
      </c>
      <c r="B124" s="191" t="str">
        <f>Imported_Template!B122</f>
        <v>10-039</v>
      </c>
      <c r="C124" s="191" t="str">
        <f>Imported_Template!C122</f>
        <v>B</v>
      </c>
      <c r="D124" s="191" t="str">
        <f>Imported_Template!D122</f>
        <v>6A</v>
      </c>
      <c r="E124" s="145">
        <f>Data!AF40</f>
        <v>0.1773198067525851</v>
      </c>
      <c r="F124" s="145" t="e">
        <f>Data!AQ39</f>
        <v>#VALUE!</v>
      </c>
      <c r="G124" s="145">
        <f t="shared" si="19"/>
        <v>1.773198067525851</v>
      </c>
      <c r="H124" s="145" t="e">
        <f t="shared" si="19"/>
        <v>#VALUE!</v>
      </c>
      <c r="I124" s="177" t="str">
        <f t="shared" si="18"/>
        <v>10-039</v>
      </c>
      <c r="J124" s="177" t="str">
        <f t="shared" si="18"/>
        <v>B</v>
      </c>
      <c r="K124" s="177" t="str">
        <f t="shared" si="18"/>
        <v>6A</v>
      </c>
      <c r="L124" s="145" t="e">
        <f t="shared" si="14"/>
        <v>#VALUE!</v>
      </c>
      <c r="M124" s="145" t="e">
        <f t="shared" si="15"/>
        <v>#VALUE!</v>
      </c>
      <c r="N124" s="145" t="e">
        <f t="shared" si="16"/>
        <v>#VALUE!</v>
      </c>
      <c r="O124" s="145" t="e">
        <f t="shared" si="17"/>
        <v>#VALUE!</v>
      </c>
      <c r="P124" s="606">
        <v>121</v>
      </c>
      <c r="Q124" s="610" t="str">
        <f>Report!A164</f>
        <v>U124</v>
      </c>
      <c r="R124" s="611">
        <f>Report!H164</f>
        <v>0</v>
      </c>
      <c r="S124" s="612" t="e">
        <f t="shared" si="13"/>
        <v>#VALUE!</v>
      </c>
    </row>
    <row r="125" spans="1:19" ht="15.75" x14ac:dyDescent="0.25">
      <c r="A125" s="489" t="s">
        <v>1105</v>
      </c>
      <c r="B125" s="191" t="str">
        <f>Imported_Template!B123</f>
        <v>10-040</v>
      </c>
      <c r="C125" s="191" t="str">
        <f>Imported_Template!C123</f>
        <v>B</v>
      </c>
      <c r="D125" s="191" t="str">
        <f>Imported_Template!D123</f>
        <v>6B</v>
      </c>
      <c r="E125" s="145">
        <f>Data!AF41</f>
        <v>0.6453228117128299</v>
      </c>
      <c r="F125" s="145" t="e">
        <f>Data!AQ38</f>
        <v>#VALUE!</v>
      </c>
      <c r="G125" s="145">
        <f t="shared" si="19"/>
        <v>6.4532281171282992</v>
      </c>
      <c r="H125" s="145" t="e">
        <f t="shared" si="19"/>
        <v>#VALUE!</v>
      </c>
      <c r="I125" s="177" t="str">
        <f t="shared" si="18"/>
        <v>10-040</v>
      </c>
      <c r="J125" s="177" t="str">
        <f t="shared" si="18"/>
        <v>B</v>
      </c>
      <c r="K125" s="177" t="str">
        <f t="shared" si="18"/>
        <v>6B</v>
      </c>
      <c r="L125" s="145" t="e">
        <f t="shared" si="14"/>
        <v>#VALUE!</v>
      </c>
      <c r="M125" s="145" t="e">
        <f t="shared" si="15"/>
        <v>#VALUE!</v>
      </c>
      <c r="N125" s="145" t="e">
        <f t="shared" si="16"/>
        <v>#VALUE!</v>
      </c>
      <c r="O125" s="145" t="e">
        <f t="shared" si="17"/>
        <v>#VALUE!</v>
      </c>
      <c r="P125" s="606">
        <v>122</v>
      </c>
      <c r="Q125" s="610" t="str">
        <f>Report!A165</f>
        <v>U125</v>
      </c>
      <c r="R125" s="611">
        <f>Report!H165</f>
        <v>0</v>
      </c>
      <c r="S125" s="612" t="e">
        <f t="shared" ref="S125:S167" si="20">O125/R125</f>
        <v>#VALUE!</v>
      </c>
    </row>
    <row r="126" spans="1:19" ht="15.75" x14ac:dyDescent="0.25">
      <c r="A126" s="489" t="s">
        <v>1072</v>
      </c>
      <c r="B126" s="191" t="str">
        <f>Imported_Template!B124</f>
        <v>10-041</v>
      </c>
      <c r="C126" s="191" t="str">
        <f>Imported_Template!C124</f>
        <v>B</v>
      </c>
      <c r="D126" s="191" t="str">
        <f>Imported_Template!D124</f>
        <v>6A</v>
      </c>
      <c r="E126" s="145">
        <f>Data!AF42</f>
        <v>0.95297014171901628</v>
      </c>
      <c r="F126" s="145">
        <f>Data!AQ37</f>
        <v>2.6196405224279293</v>
      </c>
      <c r="G126" s="145">
        <f t="shared" si="19"/>
        <v>9.5297014171901626</v>
      </c>
      <c r="H126" s="145">
        <f t="shared" si="19"/>
        <v>26.196405224279292</v>
      </c>
      <c r="I126" s="177" t="str">
        <f t="shared" si="18"/>
        <v>10-041</v>
      </c>
      <c r="J126" s="177" t="str">
        <f t="shared" si="18"/>
        <v>B</v>
      </c>
      <c r="K126" s="177" t="str">
        <f t="shared" si="18"/>
        <v>6A</v>
      </c>
      <c r="L126" s="145">
        <f t="shared" si="14"/>
        <v>17.863053320734728</v>
      </c>
      <c r="M126" s="145">
        <f t="shared" si="15"/>
        <v>38.542238048596779</v>
      </c>
      <c r="N126" s="145">
        <f t="shared" si="16"/>
        <v>11.785139282020372</v>
      </c>
      <c r="O126" s="145">
        <f t="shared" si="17"/>
        <v>65.974943199327782</v>
      </c>
      <c r="P126" s="606">
        <v>123</v>
      </c>
      <c r="Q126" s="610" t="str">
        <f>Report!A166</f>
        <v>U126</v>
      </c>
      <c r="R126" s="611">
        <f>Report!H166</f>
        <v>0</v>
      </c>
      <c r="S126" s="612" t="e">
        <f t="shared" si="20"/>
        <v>#DIV/0!</v>
      </c>
    </row>
    <row r="127" spans="1:19" ht="15.75" x14ac:dyDescent="0.25">
      <c r="A127" s="489" t="s">
        <v>1039</v>
      </c>
      <c r="B127" s="191" t="str">
        <f>Imported_Template!B125</f>
        <v>10-042</v>
      </c>
      <c r="C127" s="191" t="str">
        <f>Imported_Template!C125</f>
        <v>B</v>
      </c>
      <c r="D127" s="191" t="str">
        <f>Imported_Template!D125</f>
        <v>6B</v>
      </c>
      <c r="E127" s="145" t="e">
        <f>Data!AF43</f>
        <v>#VALUE!</v>
      </c>
      <c r="F127" s="145" t="e">
        <f>Data!AQ36</f>
        <v>#VALUE!</v>
      </c>
      <c r="G127" s="145" t="e">
        <f t="shared" si="19"/>
        <v>#VALUE!</v>
      </c>
      <c r="H127" s="145" t="e">
        <f t="shared" si="19"/>
        <v>#VALUE!</v>
      </c>
      <c r="I127" s="177" t="str">
        <f t="shared" si="18"/>
        <v>10-042</v>
      </c>
      <c r="J127" s="177" t="str">
        <f t="shared" si="18"/>
        <v>B</v>
      </c>
      <c r="K127" s="177" t="str">
        <f t="shared" si="18"/>
        <v>6B</v>
      </c>
      <c r="L127" s="145" t="e">
        <f t="shared" si="14"/>
        <v>#VALUE!</v>
      </c>
      <c r="M127" s="145" t="e">
        <f t="shared" si="15"/>
        <v>#VALUE!</v>
      </c>
      <c r="N127" s="145" t="e">
        <f t="shared" si="16"/>
        <v>#VALUE!</v>
      </c>
      <c r="O127" s="145" t="e">
        <f t="shared" si="17"/>
        <v>#VALUE!</v>
      </c>
      <c r="P127" s="606">
        <v>124</v>
      </c>
      <c r="Q127" s="610" t="str">
        <f>Report!A167</f>
        <v>U127</v>
      </c>
      <c r="R127" s="611">
        <f>Report!H167</f>
        <v>0</v>
      </c>
      <c r="S127" s="612" t="e">
        <f t="shared" si="20"/>
        <v>#VALUE!</v>
      </c>
    </row>
    <row r="128" spans="1:19" ht="15.75" x14ac:dyDescent="0.25">
      <c r="A128" s="489" t="s">
        <v>1029</v>
      </c>
      <c r="B128" s="191" t="str">
        <f>Imported_Template!B126</f>
        <v>10-043</v>
      </c>
      <c r="C128" s="191" t="str">
        <f>Imported_Template!C126</f>
        <v>B</v>
      </c>
      <c r="D128" s="191" t="str">
        <f>Imported_Template!D126</f>
        <v>6A</v>
      </c>
      <c r="E128" s="145">
        <f>Data!AG36</f>
        <v>1.6552427638263877E-2</v>
      </c>
      <c r="F128" s="145" t="e">
        <f>Data!AP43</f>
        <v>#VALUE!</v>
      </c>
      <c r="G128" s="145">
        <f t="shared" si="19"/>
        <v>0.16552427638263878</v>
      </c>
      <c r="H128" s="145" t="e">
        <f t="shared" si="19"/>
        <v>#VALUE!</v>
      </c>
      <c r="I128" s="177" t="str">
        <f t="shared" si="18"/>
        <v>10-043</v>
      </c>
      <c r="J128" s="177" t="str">
        <f t="shared" si="18"/>
        <v>B</v>
      </c>
      <c r="K128" s="177" t="str">
        <f t="shared" si="18"/>
        <v>6A</v>
      </c>
      <c r="L128" s="145" t="e">
        <f t="shared" si="14"/>
        <v>#VALUE!</v>
      </c>
      <c r="M128" s="145" t="e">
        <f t="shared" si="15"/>
        <v>#VALUE!</v>
      </c>
      <c r="N128" s="145" t="e">
        <f t="shared" si="16"/>
        <v>#VALUE!</v>
      </c>
      <c r="O128" s="145" t="e">
        <f t="shared" si="17"/>
        <v>#VALUE!</v>
      </c>
      <c r="P128" s="606">
        <v>125</v>
      </c>
      <c r="Q128" s="610" t="str">
        <f>Report!A168</f>
        <v>U128</v>
      </c>
      <c r="R128" s="611">
        <f>Report!H168</f>
        <v>0</v>
      </c>
      <c r="S128" s="612" t="e">
        <f t="shared" si="20"/>
        <v>#VALUE!</v>
      </c>
    </row>
    <row r="129" spans="1:19" ht="15.75" x14ac:dyDescent="0.25">
      <c r="A129" s="489" t="s">
        <v>1062</v>
      </c>
      <c r="B129" s="191" t="str">
        <f>Imported_Template!B127</f>
        <v>10-044</v>
      </c>
      <c r="C129" s="191" t="str">
        <f>Imported_Template!C127</f>
        <v>B</v>
      </c>
      <c r="D129" s="191" t="str">
        <f>Imported_Template!D127</f>
        <v>6B</v>
      </c>
      <c r="E129" s="145" t="e">
        <f>Data!AG37</f>
        <v>#VALUE!</v>
      </c>
      <c r="F129" s="145" t="e">
        <f>Data!AP42</f>
        <v>#VALUE!</v>
      </c>
      <c r="G129" s="145" t="e">
        <f t="shared" si="19"/>
        <v>#VALUE!</v>
      </c>
      <c r="H129" s="145" t="e">
        <f t="shared" si="19"/>
        <v>#VALUE!</v>
      </c>
      <c r="I129" s="177" t="str">
        <f t="shared" si="18"/>
        <v>10-044</v>
      </c>
      <c r="J129" s="177" t="str">
        <f t="shared" si="18"/>
        <v>B</v>
      </c>
      <c r="K129" s="177" t="str">
        <f t="shared" si="18"/>
        <v>6B</v>
      </c>
      <c r="L129" s="145" t="e">
        <f t="shared" si="14"/>
        <v>#VALUE!</v>
      </c>
      <c r="M129" s="145" t="e">
        <f t="shared" si="15"/>
        <v>#VALUE!</v>
      </c>
      <c r="N129" s="145" t="e">
        <f t="shared" si="16"/>
        <v>#VALUE!</v>
      </c>
      <c r="O129" s="145" t="e">
        <f t="shared" si="17"/>
        <v>#VALUE!</v>
      </c>
      <c r="P129" s="606">
        <v>126</v>
      </c>
      <c r="Q129" s="610" t="str">
        <f>Report!A169</f>
        <v>U129</v>
      </c>
      <c r="R129" s="611">
        <f>Report!H169</f>
        <v>0</v>
      </c>
      <c r="S129" s="612" t="e">
        <f t="shared" si="20"/>
        <v>#VALUE!</v>
      </c>
    </row>
    <row r="130" spans="1:19" ht="15.75" x14ac:dyDescent="0.25">
      <c r="A130" s="489" t="s">
        <v>1095</v>
      </c>
      <c r="B130" s="191" t="str">
        <f>Imported_Template!B128</f>
        <v>10-045</v>
      </c>
      <c r="C130" s="191" t="str">
        <f>Imported_Template!C128</f>
        <v>B</v>
      </c>
      <c r="D130" s="191" t="str">
        <f>Imported_Template!D128</f>
        <v>6A</v>
      </c>
      <c r="E130" s="145">
        <f>Data!AG38</f>
        <v>0.1773198067525851</v>
      </c>
      <c r="F130" s="145" t="e">
        <f>Data!AP41</f>
        <v>#VALUE!</v>
      </c>
      <c r="G130" s="145">
        <f t="shared" si="19"/>
        <v>1.773198067525851</v>
      </c>
      <c r="H130" s="145" t="e">
        <f t="shared" si="19"/>
        <v>#VALUE!</v>
      </c>
      <c r="I130" s="177" t="str">
        <f t="shared" si="18"/>
        <v>10-045</v>
      </c>
      <c r="J130" s="177" t="str">
        <f t="shared" si="18"/>
        <v>B</v>
      </c>
      <c r="K130" s="177" t="str">
        <f t="shared" si="18"/>
        <v>6A</v>
      </c>
      <c r="L130" s="145" t="e">
        <f t="shared" si="14"/>
        <v>#VALUE!</v>
      </c>
      <c r="M130" s="145" t="e">
        <f t="shared" si="15"/>
        <v>#VALUE!</v>
      </c>
      <c r="N130" s="145" t="e">
        <f t="shared" si="16"/>
        <v>#VALUE!</v>
      </c>
      <c r="O130" s="145" t="e">
        <f t="shared" si="17"/>
        <v>#VALUE!</v>
      </c>
      <c r="P130" s="606">
        <v>127</v>
      </c>
      <c r="Q130" s="610" t="str">
        <f>Report!A170</f>
        <v>U130</v>
      </c>
      <c r="R130" s="611">
        <f>Report!H170</f>
        <v>0</v>
      </c>
      <c r="S130" s="612" t="e">
        <f t="shared" si="20"/>
        <v>#VALUE!</v>
      </c>
    </row>
    <row r="131" spans="1:19" ht="15.75" x14ac:dyDescent="0.25">
      <c r="A131" s="489" t="s">
        <v>1127</v>
      </c>
      <c r="B131" s="191" t="str">
        <f>Imported_Template!B129</f>
        <v>10-046</v>
      </c>
      <c r="C131" s="191" t="str">
        <f>Imported_Template!C129</f>
        <v>B</v>
      </c>
      <c r="D131" s="191" t="str">
        <f>Imported_Template!D129</f>
        <v>6B</v>
      </c>
      <c r="E131" s="145" t="e">
        <f>Data!AG39</f>
        <v>#VALUE!</v>
      </c>
      <c r="F131" s="145">
        <f>Data!AP40</f>
        <v>0.17731980675258402</v>
      </c>
      <c r="G131" s="145" t="e">
        <f t="shared" si="19"/>
        <v>#VALUE!</v>
      </c>
      <c r="H131" s="145">
        <f t="shared" si="19"/>
        <v>1.7731980675258403</v>
      </c>
      <c r="I131" s="177" t="str">
        <f t="shared" si="18"/>
        <v>10-046</v>
      </c>
      <c r="J131" s="177" t="str">
        <f t="shared" si="18"/>
        <v>B</v>
      </c>
      <c r="K131" s="177" t="str">
        <f t="shared" si="18"/>
        <v>6B</v>
      </c>
      <c r="L131" s="145" t="e">
        <f t="shared" si="14"/>
        <v>#VALUE!</v>
      </c>
      <c r="M131" s="145" t="e">
        <f t="shared" si="15"/>
        <v>#VALUE!</v>
      </c>
      <c r="N131" s="145" t="e">
        <f t="shared" si="16"/>
        <v>#VALUE!</v>
      </c>
      <c r="O131" s="145" t="e">
        <f t="shared" si="17"/>
        <v>#VALUE!</v>
      </c>
      <c r="P131" s="606">
        <v>128</v>
      </c>
      <c r="Q131" s="610" t="str">
        <f>Report!A171</f>
        <v>U131</v>
      </c>
      <c r="R131" s="611">
        <f>Report!H171</f>
        <v>0</v>
      </c>
      <c r="S131" s="612" t="e">
        <f t="shared" si="20"/>
        <v>#VALUE!</v>
      </c>
    </row>
    <row r="132" spans="1:19" ht="15.75" x14ac:dyDescent="0.25">
      <c r="A132" s="489" t="s">
        <v>1136</v>
      </c>
      <c r="B132" s="191" t="str">
        <f>Imported_Template!B130</f>
        <v>10-047</v>
      </c>
      <c r="C132" s="191" t="str">
        <f>Imported_Template!C130</f>
        <v>B</v>
      </c>
      <c r="D132" s="191" t="str">
        <f>Imported_Template!D130</f>
        <v>6A</v>
      </c>
      <c r="E132" s="145">
        <f>Data!AG40</f>
        <v>0.6453228117128299</v>
      </c>
      <c r="F132" s="145" t="e">
        <f>Data!AP39</f>
        <v>#VALUE!</v>
      </c>
      <c r="G132" s="145">
        <f t="shared" si="19"/>
        <v>6.4532281171282992</v>
      </c>
      <c r="H132" s="145" t="e">
        <f t="shared" si="19"/>
        <v>#VALUE!</v>
      </c>
      <c r="I132" s="177" t="str">
        <f t="shared" si="18"/>
        <v>10-047</v>
      </c>
      <c r="J132" s="177" t="str">
        <f t="shared" si="18"/>
        <v>B</v>
      </c>
      <c r="K132" s="177" t="str">
        <f t="shared" si="18"/>
        <v>6A</v>
      </c>
      <c r="L132" s="145" t="e">
        <f t="shared" si="14"/>
        <v>#VALUE!</v>
      </c>
      <c r="M132" s="145" t="e">
        <f t="shared" si="15"/>
        <v>#VALUE!</v>
      </c>
      <c r="N132" s="145" t="e">
        <f t="shared" si="16"/>
        <v>#VALUE!</v>
      </c>
      <c r="O132" s="145" t="e">
        <f t="shared" si="17"/>
        <v>#VALUE!</v>
      </c>
      <c r="P132" s="606">
        <v>129</v>
      </c>
      <c r="Q132" s="610" t="str">
        <f>Report!A172</f>
        <v>U132</v>
      </c>
      <c r="R132" s="611">
        <f>Report!H172</f>
        <v>0</v>
      </c>
      <c r="S132" s="612" t="e">
        <f t="shared" si="20"/>
        <v>#VALUE!</v>
      </c>
    </row>
    <row r="133" spans="1:19" ht="15.75" x14ac:dyDescent="0.25">
      <c r="A133" s="489" t="s">
        <v>1104</v>
      </c>
      <c r="B133" s="191" t="str">
        <f>Imported_Template!B131</f>
        <v>10-048</v>
      </c>
      <c r="C133" s="191" t="str">
        <f>Imported_Template!C131</f>
        <v>B</v>
      </c>
      <c r="D133" s="191" t="str">
        <f>Imported_Template!D131</f>
        <v>6B</v>
      </c>
      <c r="E133" s="145">
        <f>Data!AG41</f>
        <v>0.1773198067525851</v>
      </c>
      <c r="F133" s="145">
        <f>Data!AP38</f>
        <v>0.1773198067525851</v>
      </c>
      <c r="G133" s="145">
        <f t="shared" si="19"/>
        <v>1.773198067525851</v>
      </c>
      <c r="H133" s="145">
        <f t="shared" si="19"/>
        <v>1.773198067525851</v>
      </c>
      <c r="I133" s="177" t="str">
        <f t="shared" si="18"/>
        <v>10-048</v>
      </c>
      <c r="J133" s="177" t="str">
        <f t="shared" si="18"/>
        <v>B</v>
      </c>
      <c r="K133" s="177" t="str">
        <f t="shared" si="18"/>
        <v>6B</v>
      </c>
      <c r="L133" s="145">
        <f t="shared" ref="L133:L167" si="21">AVERAGE(G133:H133)</f>
        <v>1.773198067525851</v>
      </c>
      <c r="M133" s="145">
        <f t="shared" ref="M133:M167" si="22">IF(L133&lt;$Y$17,$Y$17, IF(L133&gt;$Y$18,$Y$18,L133))</f>
        <v>38.542238048596779</v>
      </c>
      <c r="N133" s="145">
        <f t="shared" ref="N133:N167" si="23">STDEV(G133:H133)</f>
        <v>0</v>
      </c>
      <c r="O133" s="145">
        <f t="shared" ref="O133:O167" si="24">(N133/L133)*100</f>
        <v>0</v>
      </c>
      <c r="P133" s="606">
        <v>130</v>
      </c>
      <c r="Q133" s="610" t="str">
        <f>Report!A173</f>
        <v>U133</v>
      </c>
      <c r="R133" s="611">
        <f>Report!H173</f>
        <v>0</v>
      </c>
      <c r="S133" s="612" t="e">
        <f t="shared" si="20"/>
        <v>#DIV/0!</v>
      </c>
    </row>
    <row r="134" spans="1:19" ht="15.75" x14ac:dyDescent="0.25">
      <c r="A134" s="489" t="s">
        <v>1071</v>
      </c>
      <c r="B134" s="191" t="str">
        <f>Imported_Template!B132</f>
        <v>10-049</v>
      </c>
      <c r="C134" s="191" t="str">
        <f>Imported_Template!C132</f>
        <v>B</v>
      </c>
      <c r="D134" s="191" t="str">
        <f>Imported_Template!D132</f>
        <v>6A</v>
      </c>
      <c r="E134" s="145">
        <f>Data!AG42</f>
        <v>1.6552427638265026E-2</v>
      </c>
      <c r="F134" s="145">
        <f>Data!AP37</f>
        <v>1.1060166416540134</v>
      </c>
      <c r="G134" s="145">
        <f t="shared" si="19"/>
        <v>0.16552427638265027</v>
      </c>
      <c r="H134" s="145">
        <f t="shared" si="19"/>
        <v>11.060166416540135</v>
      </c>
      <c r="I134" s="177" t="str">
        <f t="shared" si="18"/>
        <v>10-049</v>
      </c>
      <c r="J134" s="177" t="str">
        <f t="shared" si="18"/>
        <v>B</v>
      </c>
      <c r="K134" s="177" t="str">
        <f t="shared" si="18"/>
        <v>6A</v>
      </c>
      <c r="L134" s="145">
        <f t="shared" si="21"/>
        <v>5.6128453464613921</v>
      </c>
      <c r="M134" s="145">
        <f t="shared" si="22"/>
        <v>38.542238048596779</v>
      </c>
      <c r="N134" s="145">
        <f t="shared" si="23"/>
        <v>7.7036753359060786</v>
      </c>
      <c r="O134" s="145">
        <f t="shared" si="24"/>
        <v>137.25080347640161</v>
      </c>
      <c r="P134" s="606">
        <v>131</v>
      </c>
      <c r="Q134" s="610" t="str">
        <f>Report!A174</f>
        <v>U134</v>
      </c>
      <c r="R134" s="611">
        <f>Report!H174</f>
        <v>0</v>
      </c>
      <c r="S134" s="612" t="e">
        <f t="shared" si="20"/>
        <v>#DIV/0!</v>
      </c>
    </row>
    <row r="135" spans="1:19" ht="15.75" x14ac:dyDescent="0.25">
      <c r="A135" s="489" t="s">
        <v>1038</v>
      </c>
      <c r="B135" s="191" t="str">
        <f>Imported_Template!B133</f>
        <v>10-050</v>
      </c>
      <c r="C135" s="191" t="str">
        <f>Imported_Template!C133</f>
        <v>B</v>
      </c>
      <c r="D135" s="191" t="str">
        <f>Imported_Template!D133</f>
        <v>6B</v>
      </c>
      <c r="E135" s="145">
        <f>Data!AG43</f>
        <v>0.334645417437342</v>
      </c>
      <c r="F135" s="145" t="e">
        <f>Data!AP36</f>
        <v>#VALUE!</v>
      </c>
      <c r="G135" s="145">
        <f t="shared" si="19"/>
        <v>3.3464541743734202</v>
      </c>
      <c r="H135" s="145" t="e">
        <f t="shared" si="19"/>
        <v>#VALUE!</v>
      </c>
      <c r="I135" s="177" t="str">
        <f t="shared" si="18"/>
        <v>10-050</v>
      </c>
      <c r="J135" s="177" t="str">
        <f t="shared" si="18"/>
        <v>B</v>
      </c>
      <c r="K135" s="177" t="str">
        <f t="shared" si="18"/>
        <v>6B</v>
      </c>
      <c r="L135" s="145" t="e">
        <f t="shared" si="21"/>
        <v>#VALUE!</v>
      </c>
      <c r="M135" s="145" t="e">
        <f t="shared" si="22"/>
        <v>#VALUE!</v>
      </c>
      <c r="N135" s="145" t="e">
        <f t="shared" si="23"/>
        <v>#VALUE!</v>
      </c>
      <c r="O135" s="145" t="e">
        <f t="shared" si="24"/>
        <v>#VALUE!</v>
      </c>
      <c r="P135" s="606">
        <v>132</v>
      </c>
      <c r="Q135" s="610" t="str">
        <f>Report!A175</f>
        <v>U135</v>
      </c>
      <c r="R135" s="611">
        <f>Report!H175</f>
        <v>0</v>
      </c>
      <c r="S135" s="612" t="e">
        <f t="shared" si="20"/>
        <v>#VALUE!</v>
      </c>
    </row>
    <row r="136" spans="1:19" ht="15.75" x14ac:dyDescent="0.25">
      <c r="A136" s="489" t="s">
        <v>1030</v>
      </c>
      <c r="B136" s="191" t="str">
        <f>Imported_Template!B134</f>
        <v>10-051</v>
      </c>
      <c r="C136" s="191" t="str">
        <f>Imported_Template!C134</f>
        <v>B</v>
      </c>
      <c r="D136" s="191" t="str">
        <f>Imported_Template!D134</f>
        <v>6A</v>
      </c>
      <c r="E136" s="145">
        <f>Data!AH36</f>
        <v>1.6552427638262725E-2</v>
      </c>
      <c r="F136" s="145" t="e">
        <f>Data!AO43</f>
        <v>#VALUE!</v>
      </c>
      <c r="G136" s="145">
        <f t="shared" si="19"/>
        <v>0.16552427638262726</v>
      </c>
      <c r="H136" s="145" t="e">
        <f t="shared" si="19"/>
        <v>#VALUE!</v>
      </c>
      <c r="I136" s="177" t="str">
        <f t="shared" si="18"/>
        <v>10-051</v>
      </c>
      <c r="J136" s="177" t="str">
        <f t="shared" si="18"/>
        <v>B</v>
      </c>
      <c r="K136" s="177" t="str">
        <f t="shared" si="18"/>
        <v>6A</v>
      </c>
      <c r="L136" s="145" t="e">
        <f t="shared" si="21"/>
        <v>#VALUE!</v>
      </c>
      <c r="M136" s="145" t="e">
        <f t="shared" si="22"/>
        <v>#VALUE!</v>
      </c>
      <c r="N136" s="145" t="e">
        <f t="shared" si="23"/>
        <v>#VALUE!</v>
      </c>
      <c r="O136" s="145" t="e">
        <f t="shared" si="24"/>
        <v>#VALUE!</v>
      </c>
      <c r="P136" s="606">
        <v>133</v>
      </c>
      <c r="Q136" s="610" t="str">
        <f>Report!A176</f>
        <v>U136</v>
      </c>
      <c r="R136" s="611">
        <f>Report!H176</f>
        <v>0</v>
      </c>
      <c r="S136" s="612" t="e">
        <f t="shared" si="20"/>
        <v>#VALUE!</v>
      </c>
    </row>
    <row r="137" spans="1:19" ht="15.75" x14ac:dyDescent="0.25">
      <c r="A137" s="489" t="s">
        <v>1063</v>
      </c>
      <c r="B137" s="191" t="str">
        <f>Imported_Template!B135</f>
        <v>10-052</v>
      </c>
      <c r="C137" s="191" t="str">
        <f>Imported_Template!C135</f>
        <v>B</v>
      </c>
      <c r="D137" s="191" t="str">
        <f>Imported_Template!D135</f>
        <v>6B</v>
      </c>
      <c r="E137" s="145" t="e">
        <f>Data!AH37</f>
        <v>#VALUE!</v>
      </c>
      <c r="F137" s="145" t="e">
        <f>Data!AO42</f>
        <v>#VALUE!</v>
      </c>
      <c r="G137" s="145" t="e">
        <f t="shared" si="19"/>
        <v>#VALUE!</v>
      </c>
      <c r="H137" s="145" t="e">
        <f t="shared" si="19"/>
        <v>#VALUE!</v>
      </c>
      <c r="I137" s="177" t="str">
        <f t="shared" si="18"/>
        <v>10-052</v>
      </c>
      <c r="J137" s="177" t="str">
        <f t="shared" si="18"/>
        <v>B</v>
      </c>
      <c r="K137" s="177" t="str">
        <f t="shared" si="18"/>
        <v>6B</v>
      </c>
      <c r="L137" s="145" t="e">
        <f t="shared" si="21"/>
        <v>#VALUE!</v>
      </c>
      <c r="M137" s="145" t="e">
        <f t="shared" si="22"/>
        <v>#VALUE!</v>
      </c>
      <c r="N137" s="145" t="e">
        <f t="shared" si="23"/>
        <v>#VALUE!</v>
      </c>
      <c r="O137" s="145" t="e">
        <f t="shared" si="24"/>
        <v>#VALUE!</v>
      </c>
      <c r="P137" s="606">
        <v>134</v>
      </c>
      <c r="Q137" s="610" t="str">
        <f>Report!A177</f>
        <v>U137</v>
      </c>
      <c r="R137" s="611">
        <f>Report!H177</f>
        <v>0</v>
      </c>
      <c r="S137" s="612" t="e">
        <f t="shared" si="20"/>
        <v>#VALUE!</v>
      </c>
    </row>
    <row r="138" spans="1:19" ht="15.75" x14ac:dyDescent="0.25">
      <c r="A138" s="489" t="s">
        <v>1096</v>
      </c>
      <c r="B138" s="191" t="str">
        <f>Imported_Template!B136</f>
        <v>10-053</v>
      </c>
      <c r="C138" s="191" t="str">
        <f>Imported_Template!C136</f>
        <v>B</v>
      </c>
      <c r="D138" s="191" t="str">
        <f>Imported_Template!D136</f>
        <v>6A</v>
      </c>
      <c r="E138" s="145">
        <f>Data!AH38</f>
        <v>0.95297014171901839</v>
      </c>
      <c r="F138" s="145" t="e">
        <f>Data!AO41</f>
        <v>#VALUE!</v>
      </c>
      <c r="G138" s="145">
        <f t="shared" si="19"/>
        <v>9.5297014171901839</v>
      </c>
      <c r="H138" s="145" t="e">
        <f t="shared" si="19"/>
        <v>#VALUE!</v>
      </c>
      <c r="I138" s="177" t="str">
        <f t="shared" si="18"/>
        <v>10-053</v>
      </c>
      <c r="J138" s="177" t="str">
        <f t="shared" si="18"/>
        <v>B</v>
      </c>
      <c r="K138" s="177" t="str">
        <f t="shared" si="18"/>
        <v>6A</v>
      </c>
      <c r="L138" s="145" t="e">
        <f t="shared" si="21"/>
        <v>#VALUE!</v>
      </c>
      <c r="M138" s="145" t="e">
        <f t="shared" si="22"/>
        <v>#VALUE!</v>
      </c>
      <c r="N138" s="145" t="e">
        <f t="shared" si="23"/>
        <v>#VALUE!</v>
      </c>
      <c r="O138" s="145" t="e">
        <f t="shared" si="24"/>
        <v>#VALUE!</v>
      </c>
      <c r="P138" s="606">
        <v>135</v>
      </c>
      <c r="Q138" s="610" t="str">
        <f>Report!A178</f>
        <v>U138</v>
      </c>
      <c r="R138" s="611">
        <f>Report!H178</f>
        <v>0</v>
      </c>
      <c r="S138" s="612" t="e">
        <f t="shared" si="20"/>
        <v>#VALUE!</v>
      </c>
    </row>
    <row r="139" spans="1:19" ht="15.75" x14ac:dyDescent="0.25">
      <c r="A139" s="489" t="s">
        <v>1128</v>
      </c>
      <c r="B139" s="191" t="str">
        <f>Imported_Template!B137</f>
        <v>10-054</v>
      </c>
      <c r="C139" s="191" t="str">
        <f>Imported_Template!C137</f>
        <v>B</v>
      </c>
      <c r="D139" s="191" t="str">
        <f>Imported_Template!D137</f>
        <v>6B</v>
      </c>
      <c r="E139" s="145" t="e">
        <f>Data!AH39</f>
        <v>#VALUE!</v>
      </c>
      <c r="F139" s="145" t="e">
        <f>Data!AO40</f>
        <v>#VALUE!</v>
      </c>
      <c r="G139" s="145" t="e">
        <f t="shared" si="19"/>
        <v>#VALUE!</v>
      </c>
      <c r="H139" s="145" t="e">
        <f t="shared" si="19"/>
        <v>#VALUE!</v>
      </c>
      <c r="I139" s="177" t="str">
        <f t="shared" si="18"/>
        <v>10-054</v>
      </c>
      <c r="J139" s="177" t="str">
        <f t="shared" si="18"/>
        <v>B</v>
      </c>
      <c r="K139" s="177" t="str">
        <f t="shared" si="18"/>
        <v>6B</v>
      </c>
      <c r="L139" s="145" t="e">
        <f t="shared" si="21"/>
        <v>#VALUE!</v>
      </c>
      <c r="M139" s="145" t="e">
        <f t="shared" si="22"/>
        <v>#VALUE!</v>
      </c>
      <c r="N139" s="145" t="e">
        <f t="shared" si="23"/>
        <v>#VALUE!</v>
      </c>
      <c r="O139" s="145" t="e">
        <f t="shared" si="24"/>
        <v>#VALUE!</v>
      </c>
      <c r="P139" s="606">
        <v>136</v>
      </c>
      <c r="Q139" s="610" t="str">
        <f>Report!A179</f>
        <v>U139</v>
      </c>
      <c r="R139" s="611">
        <f>Report!H179</f>
        <v>0</v>
      </c>
      <c r="S139" s="612" t="e">
        <f t="shared" si="20"/>
        <v>#VALUE!</v>
      </c>
    </row>
    <row r="140" spans="1:19" ht="15.75" x14ac:dyDescent="0.25">
      <c r="A140" s="489" t="s">
        <v>1135</v>
      </c>
      <c r="B140" s="191" t="str">
        <f>Imported_Template!B138</f>
        <v>10-055</v>
      </c>
      <c r="C140" s="191" t="str">
        <f>Imported_Template!C138</f>
        <v>B</v>
      </c>
      <c r="D140" s="191" t="str">
        <f>Imported_Template!D138</f>
        <v>6A</v>
      </c>
      <c r="E140" s="145" t="e">
        <f>Data!AH40</f>
        <v>#VALUE!</v>
      </c>
      <c r="F140" s="145" t="e">
        <f>Data!AO39</f>
        <v>#VALUE!</v>
      </c>
      <c r="G140" s="145" t="e">
        <f t="shared" si="19"/>
        <v>#VALUE!</v>
      </c>
      <c r="H140" s="145" t="e">
        <f t="shared" si="19"/>
        <v>#VALUE!</v>
      </c>
      <c r="I140" s="177" t="str">
        <f t="shared" si="18"/>
        <v>10-055</v>
      </c>
      <c r="J140" s="177" t="str">
        <f t="shared" si="18"/>
        <v>B</v>
      </c>
      <c r="K140" s="177" t="str">
        <f t="shared" si="18"/>
        <v>6A</v>
      </c>
      <c r="L140" s="145" t="e">
        <f t="shared" si="21"/>
        <v>#VALUE!</v>
      </c>
      <c r="M140" s="145" t="e">
        <f t="shared" si="22"/>
        <v>#VALUE!</v>
      </c>
      <c r="N140" s="145" t="e">
        <f t="shared" si="23"/>
        <v>#VALUE!</v>
      </c>
      <c r="O140" s="145" t="e">
        <f t="shared" si="24"/>
        <v>#VALUE!</v>
      </c>
      <c r="P140" s="606">
        <v>137</v>
      </c>
      <c r="Q140" s="610" t="str">
        <f>Report!A180</f>
        <v>U140</v>
      </c>
      <c r="R140" s="611">
        <f>Report!H180</f>
        <v>0</v>
      </c>
      <c r="S140" s="612" t="e">
        <f t="shared" si="20"/>
        <v>#VALUE!</v>
      </c>
    </row>
    <row r="141" spans="1:19" ht="15.75" x14ac:dyDescent="0.25">
      <c r="A141" s="489" t="s">
        <v>1103</v>
      </c>
      <c r="B141" s="191" t="str">
        <f>Imported_Template!B139</f>
        <v>10-056</v>
      </c>
      <c r="C141" s="191" t="str">
        <f>Imported_Template!C139</f>
        <v>B</v>
      </c>
      <c r="D141" s="191" t="str">
        <f>Imported_Template!D139</f>
        <v>6B</v>
      </c>
      <c r="E141" s="145" t="e">
        <f>Data!AH41</f>
        <v>#VALUE!</v>
      </c>
      <c r="F141" s="145" t="e">
        <f>Data!AO38</f>
        <v>#VALUE!</v>
      </c>
      <c r="G141" s="145" t="e">
        <f t="shared" si="19"/>
        <v>#VALUE!</v>
      </c>
      <c r="H141" s="145" t="e">
        <f t="shared" si="19"/>
        <v>#VALUE!</v>
      </c>
      <c r="I141" s="177" t="str">
        <f t="shared" si="18"/>
        <v>10-056</v>
      </c>
      <c r="J141" s="177" t="str">
        <f t="shared" si="18"/>
        <v>B</v>
      </c>
      <c r="K141" s="177" t="str">
        <f t="shared" si="18"/>
        <v>6B</v>
      </c>
      <c r="L141" s="145" t="e">
        <f t="shared" si="21"/>
        <v>#VALUE!</v>
      </c>
      <c r="M141" s="145" t="e">
        <f t="shared" si="22"/>
        <v>#VALUE!</v>
      </c>
      <c r="N141" s="145" t="e">
        <f t="shared" si="23"/>
        <v>#VALUE!</v>
      </c>
      <c r="O141" s="145" t="e">
        <f t="shared" si="24"/>
        <v>#VALUE!</v>
      </c>
      <c r="P141" s="606">
        <v>138</v>
      </c>
      <c r="Q141" s="610" t="str">
        <f>Report!A181</f>
        <v>U141</v>
      </c>
      <c r="R141" s="611">
        <f>Report!H181</f>
        <v>0</v>
      </c>
      <c r="S141" s="612" t="e">
        <f t="shared" si="20"/>
        <v>#VALUE!</v>
      </c>
    </row>
    <row r="142" spans="1:19" ht="15.75" x14ac:dyDescent="0.25">
      <c r="A142" s="489" t="s">
        <v>1070</v>
      </c>
      <c r="B142" s="191" t="str">
        <f>Imported_Template!B140</f>
        <v>10-057</v>
      </c>
      <c r="C142" s="191" t="str">
        <f>Imported_Template!C140</f>
        <v>B</v>
      </c>
      <c r="D142" s="191" t="str">
        <f>Imported_Template!D140</f>
        <v>6A</v>
      </c>
      <c r="E142" s="145">
        <f>Data!AH42</f>
        <v>1.6552427638263877E-2</v>
      </c>
      <c r="F142" s="145">
        <f>Data!AO37</f>
        <v>0.33464541743734305</v>
      </c>
      <c r="G142" s="145">
        <f t="shared" si="19"/>
        <v>0.16552427638263878</v>
      </c>
      <c r="H142" s="145">
        <f t="shared" si="19"/>
        <v>3.3464541743734304</v>
      </c>
      <c r="I142" s="177" t="str">
        <f t="shared" si="18"/>
        <v>10-057</v>
      </c>
      <c r="J142" s="177" t="str">
        <f t="shared" si="18"/>
        <v>B</v>
      </c>
      <c r="K142" s="177" t="str">
        <f t="shared" si="18"/>
        <v>6A</v>
      </c>
      <c r="L142" s="145">
        <f t="shared" si="21"/>
        <v>1.7559892253780345</v>
      </c>
      <c r="M142" s="145">
        <f t="shared" si="22"/>
        <v>38.542238048596779</v>
      </c>
      <c r="N142" s="145">
        <f t="shared" si="23"/>
        <v>2.2492571013483218</v>
      </c>
      <c r="O142" s="145">
        <f t="shared" si="24"/>
        <v>128.09059809943281</v>
      </c>
      <c r="P142" s="606">
        <v>139</v>
      </c>
      <c r="Q142" s="610" t="str">
        <f>Report!A182</f>
        <v>U142</v>
      </c>
      <c r="R142" s="611">
        <f>Report!H182</f>
        <v>0</v>
      </c>
      <c r="S142" s="612" t="e">
        <f t="shared" si="20"/>
        <v>#DIV/0!</v>
      </c>
    </row>
    <row r="143" spans="1:19" ht="15.75" x14ac:dyDescent="0.25">
      <c r="A143" s="489" t="s">
        <v>1037</v>
      </c>
      <c r="B143" s="191" t="str">
        <f>Imported_Template!B141</f>
        <v>10-058</v>
      </c>
      <c r="C143" s="191" t="str">
        <f>Imported_Template!C141</f>
        <v>B</v>
      </c>
      <c r="D143" s="191" t="str">
        <f>Imported_Template!D141</f>
        <v>6B</v>
      </c>
      <c r="E143" s="145">
        <f>Data!AH43</f>
        <v>1.6552427638262725E-2</v>
      </c>
      <c r="F143" s="145" t="e">
        <f>Data!AO36</f>
        <v>#VALUE!</v>
      </c>
      <c r="G143" s="145">
        <f t="shared" si="19"/>
        <v>0.16552427638262726</v>
      </c>
      <c r="H143" s="145" t="e">
        <f t="shared" si="19"/>
        <v>#VALUE!</v>
      </c>
      <c r="I143" s="177" t="str">
        <f t="shared" si="18"/>
        <v>10-058</v>
      </c>
      <c r="J143" s="177" t="str">
        <f t="shared" si="18"/>
        <v>B</v>
      </c>
      <c r="K143" s="177" t="str">
        <f t="shared" si="18"/>
        <v>6B</v>
      </c>
      <c r="L143" s="145" t="e">
        <f t="shared" si="21"/>
        <v>#VALUE!</v>
      </c>
      <c r="M143" s="145" t="e">
        <f t="shared" si="22"/>
        <v>#VALUE!</v>
      </c>
      <c r="N143" s="145" t="e">
        <f t="shared" si="23"/>
        <v>#VALUE!</v>
      </c>
      <c r="O143" s="145" t="e">
        <f t="shared" si="24"/>
        <v>#VALUE!</v>
      </c>
      <c r="P143" s="606">
        <v>140</v>
      </c>
      <c r="Q143" s="610" t="str">
        <f>Report!A183</f>
        <v>U143</v>
      </c>
      <c r="R143" s="611">
        <f>Report!H183</f>
        <v>0</v>
      </c>
      <c r="S143" s="612" t="e">
        <f t="shared" si="20"/>
        <v>#VALUE!</v>
      </c>
    </row>
    <row r="144" spans="1:19" ht="15.75" x14ac:dyDescent="0.25">
      <c r="A144" s="489" t="s">
        <v>1031</v>
      </c>
      <c r="B144" s="191" t="str">
        <f>Imported_Template!B142</f>
        <v>10-059</v>
      </c>
      <c r="C144" s="191" t="str">
        <f>Imported_Template!C142</f>
        <v>B</v>
      </c>
      <c r="D144" s="191" t="str">
        <f>Imported_Template!D142</f>
        <v>6A</v>
      </c>
      <c r="E144" s="145" t="e">
        <f>Data!AI36</f>
        <v>#VALUE!</v>
      </c>
      <c r="F144" s="145">
        <f>Data!AN43</f>
        <v>1.6552427638263877E-2</v>
      </c>
      <c r="G144" s="145" t="e">
        <f t="shared" si="19"/>
        <v>#VALUE!</v>
      </c>
      <c r="H144" s="145">
        <f t="shared" si="19"/>
        <v>0.16552427638263878</v>
      </c>
      <c r="I144" s="177" t="str">
        <f t="shared" si="18"/>
        <v>10-059</v>
      </c>
      <c r="J144" s="177" t="str">
        <f t="shared" si="18"/>
        <v>B</v>
      </c>
      <c r="K144" s="177" t="str">
        <f t="shared" si="18"/>
        <v>6A</v>
      </c>
      <c r="L144" s="145" t="e">
        <f t="shared" si="21"/>
        <v>#VALUE!</v>
      </c>
      <c r="M144" s="145" t="e">
        <f t="shared" si="22"/>
        <v>#VALUE!</v>
      </c>
      <c r="N144" s="145" t="e">
        <f t="shared" si="23"/>
        <v>#VALUE!</v>
      </c>
      <c r="O144" s="145" t="e">
        <f t="shared" si="24"/>
        <v>#VALUE!</v>
      </c>
      <c r="P144" s="606">
        <v>141</v>
      </c>
      <c r="Q144" s="610" t="str">
        <f>Report!A184</f>
        <v>U144</v>
      </c>
      <c r="R144" s="611">
        <f>Report!H184</f>
        <v>0</v>
      </c>
      <c r="S144" s="612" t="e">
        <f t="shared" si="20"/>
        <v>#VALUE!</v>
      </c>
    </row>
    <row r="145" spans="1:19" ht="15.75" x14ac:dyDescent="0.25">
      <c r="A145" s="489" t="s">
        <v>1064</v>
      </c>
      <c r="B145" s="191" t="str">
        <f>Imported_Template!B143</f>
        <v>10-060</v>
      </c>
      <c r="C145" s="191" t="str">
        <f>Imported_Template!C143</f>
        <v>B</v>
      </c>
      <c r="D145" s="191" t="str">
        <f>Imported_Template!D143</f>
        <v>6B</v>
      </c>
      <c r="E145" s="145" t="e">
        <f>Data!AI37</f>
        <v>#VALUE!</v>
      </c>
      <c r="F145" s="145" t="e">
        <f>Data!AN42</f>
        <v>#VALUE!</v>
      </c>
      <c r="G145" s="145" t="e">
        <f t="shared" si="19"/>
        <v>#VALUE!</v>
      </c>
      <c r="H145" s="145" t="e">
        <f t="shared" si="19"/>
        <v>#VALUE!</v>
      </c>
      <c r="I145" s="177" t="str">
        <f t="shared" si="18"/>
        <v>10-060</v>
      </c>
      <c r="J145" s="177" t="str">
        <f t="shared" si="18"/>
        <v>B</v>
      </c>
      <c r="K145" s="177" t="str">
        <f t="shared" si="18"/>
        <v>6B</v>
      </c>
      <c r="L145" s="145" t="e">
        <f t="shared" si="21"/>
        <v>#VALUE!</v>
      </c>
      <c r="M145" s="145" t="e">
        <f t="shared" si="22"/>
        <v>#VALUE!</v>
      </c>
      <c r="N145" s="145" t="e">
        <f t="shared" si="23"/>
        <v>#VALUE!</v>
      </c>
      <c r="O145" s="145" t="e">
        <f t="shared" si="24"/>
        <v>#VALUE!</v>
      </c>
      <c r="P145" s="606">
        <v>142</v>
      </c>
      <c r="Q145" s="610" t="str">
        <f>Report!A185</f>
        <v>U145</v>
      </c>
      <c r="R145" s="611">
        <f>Report!H185</f>
        <v>0</v>
      </c>
      <c r="S145" s="612" t="e">
        <f t="shared" si="20"/>
        <v>#VALUE!</v>
      </c>
    </row>
    <row r="146" spans="1:19" ht="15.75" x14ac:dyDescent="0.25">
      <c r="A146" s="489" t="s">
        <v>1097</v>
      </c>
      <c r="B146" s="191" t="str">
        <f>Imported_Template!B144</f>
        <v>10-061</v>
      </c>
      <c r="C146" s="191" t="str">
        <f>Imported_Template!C144</f>
        <v>B</v>
      </c>
      <c r="D146" s="191" t="str">
        <f>Imported_Template!D144</f>
        <v>6A</v>
      </c>
      <c r="E146" s="145" t="e">
        <f>Data!AI38</f>
        <v>#VALUE!</v>
      </c>
      <c r="F146" s="145" t="e">
        <f>Data!AN41</f>
        <v>#VALUE!</v>
      </c>
      <c r="G146" s="145" t="e">
        <f t="shared" si="19"/>
        <v>#VALUE!</v>
      </c>
      <c r="H146" s="145" t="e">
        <f t="shared" si="19"/>
        <v>#VALUE!</v>
      </c>
      <c r="I146" s="177" t="str">
        <f t="shared" si="18"/>
        <v>10-061</v>
      </c>
      <c r="J146" s="177" t="str">
        <f t="shared" si="18"/>
        <v>B</v>
      </c>
      <c r="K146" s="177" t="str">
        <f t="shared" si="18"/>
        <v>6A</v>
      </c>
      <c r="L146" s="145" t="e">
        <f t="shared" si="21"/>
        <v>#VALUE!</v>
      </c>
      <c r="M146" s="145" t="e">
        <f t="shared" si="22"/>
        <v>#VALUE!</v>
      </c>
      <c r="N146" s="145" t="e">
        <f t="shared" si="23"/>
        <v>#VALUE!</v>
      </c>
      <c r="O146" s="145" t="e">
        <f t="shared" si="24"/>
        <v>#VALUE!</v>
      </c>
      <c r="P146" s="606">
        <v>143</v>
      </c>
      <c r="Q146" s="610" t="str">
        <f>Report!A186</f>
        <v>U146</v>
      </c>
      <c r="R146" s="611">
        <f>Report!H186</f>
        <v>0</v>
      </c>
      <c r="S146" s="612" t="e">
        <f t="shared" si="20"/>
        <v>#VALUE!</v>
      </c>
    </row>
    <row r="147" spans="1:19" ht="15.75" x14ac:dyDescent="0.25">
      <c r="A147" s="489" t="s">
        <v>1129</v>
      </c>
      <c r="B147" s="191" t="str">
        <f>Imported_Template!B145</f>
        <v>10-062</v>
      </c>
      <c r="C147" s="191" t="str">
        <f>Imported_Template!C145</f>
        <v>B</v>
      </c>
      <c r="D147" s="191" t="str">
        <f>Imported_Template!D145</f>
        <v>6B</v>
      </c>
      <c r="E147" s="145" t="e">
        <f>Data!AI39</f>
        <v>#VALUE!</v>
      </c>
      <c r="F147" s="145" t="e">
        <f>Data!AN40</f>
        <v>#VALUE!</v>
      </c>
      <c r="G147" s="145" t="e">
        <f t="shared" si="19"/>
        <v>#VALUE!</v>
      </c>
      <c r="H147" s="145" t="e">
        <f t="shared" si="19"/>
        <v>#VALUE!</v>
      </c>
      <c r="I147" s="177" t="str">
        <f t="shared" si="18"/>
        <v>10-062</v>
      </c>
      <c r="J147" s="177" t="str">
        <f t="shared" si="18"/>
        <v>B</v>
      </c>
      <c r="K147" s="177" t="str">
        <f t="shared" si="18"/>
        <v>6B</v>
      </c>
      <c r="L147" s="145" t="e">
        <f t="shared" si="21"/>
        <v>#VALUE!</v>
      </c>
      <c r="M147" s="145" t="e">
        <f t="shared" si="22"/>
        <v>#VALUE!</v>
      </c>
      <c r="N147" s="145" t="e">
        <f t="shared" si="23"/>
        <v>#VALUE!</v>
      </c>
      <c r="O147" s="145" t="e">
        <f t="shared" si="24"/>
        <v>#VALUE!</v>
      </c>
      <c r="P147" s="606">
        <v>144</v>
      </c>
      <c r="Q147" s="610" t="str">
        <f>Report!A187</f>
        <v>U147</v>
      </c>
      <c r="R147" s="611">
        <f>Report!H187</f>
        <v>0</v>
      </c>
      <c r="S147" s="612" t="e">
        <f t="shared" si="20"/>
        <v>#VALUE!</v>
      </c>
    </row>
    <row r="148" spans="1:19" ht="15.75" x14ac:dyDescent="0.25">
      <c r="A148" s="489" t="s">
        <v>1134</v>
      </c>
      <c r="B148" s="191" t="str">
        <f>Imported_Template!B146</f>
        <v>10-063</v>
      </c>
      <c r="C148" s="191" t="str">
        <f>Imported_Template!C146</f>
        <v>B</v>
      </c>
      <c r="D148" s="191" t="str">
        <f>Imported_Template!D146</f>
        <v>6A</v>
      </c>
      <c r="E148" s="145">
        <f>Data!AI40</f>
        <v>1.8659192735965164</v>
      </c>
      <c r="F148" s="145" t="e">
        <f>Data!AN39</f>
        <v>#VALUE!</v>
      </c>
      <c r="G148" s="145">
        <f t="shared" si="19"/>
        <v>18.659192735965163</v>
      </c>
      <c r="H148" s="145" t="e">
        <f t="shared" si="19"/>
        <v>#VALUE!</v>
      </c>
      <c r="I148" s="177" t="str">
        <f t="shared" si="18"/>
        <v>10-063</v>
      </c>
      <c r="J148" s="177" t="str">
        <f t="shared" si="18"/>
        <v>B</v>
      </c>
      <c r="K148" s="177" t="str">
        <f t="shared" si="18"/>
        <v>6A</v>
      </c>
      <c r="L148" s="145" t="e">
        <f t="shared" si="21"/>
        <v>#VALUE!</v>
      </c>
      <c r="M148" s="145" t="e">
        <f t="shared" si="22"/>
        <v>#VALUE!</v>
      </c>
      <c r="N148" s="145" t="e">
        <f t="shared" si="23"/>
        <v>#VALUE!</v>
      </c>
      <c r="O148" s="145" t="e">
        <f t="shared" si="24"/>
        <v>#VALUE!</v>
      </c>
      <c r="P148" s="606">
        <v>145</v>
      </c>
      <c r="Q148" s="610" t="str">
        <f>Report!A188</f>
        <v>U148</v>
      </c>
      <c r="R148" s="611">
        <f>Report!H188</f>
        <v>0</v>
      </c>
      <c r="S148" s="612" t="e">
        <f t="shared" si="20"/>
        <v>#VALUE!</v>
      </c>
    </row>
    <row r="149" spans="1:19" ht="15.75" x14ac:dyDescent="0.25">
      <c r="A149" s="489" t="s">
        <v>1102</v>
      </c>
      <c r="B149" s="191" t="str">
        <f>Imported_Template!B147</f>
        <v>10-064</v>
      </c>
      <c r="C149" s="191" t="str">
        <f>Imported_Template!C147</f>
        <v>B</v>
      </c>
      <c r="D149" s="191" t="str">
        <f>Imported_Template!D147</f>
        <v>6B</v>
      </c>
      <c r="E149" s="145" t="e">
        <f>Data!AI41</f>
        <v>#VALUE!</v>
      </c>
      <c r="F149" s="145" t="e">
        <f>Data!AN38</f>
        <v>#VALUE!</v>
      </c>
      <c r="G149" s="145" t="e">
        <f t="shared" si="19"/>
        <v>#VALUE!</v>
      </c>
      <c r="H149" s="145" t="e">
        <f t="shared" si="19"/>
        <v>#VALUE!</v>
      </c>
      <c r="I149" s="177" t="str">
        <f t="shared" si="18"/>
        <v>10-064</v>
      </c>
      <c r="J149" s="177" t="str">
        <f t="shared" si="18"/>
        <v>B</v>
      </c>
      <c r="K149" s="177" t="str">
        <f t="shared" si="18"/>
        <v>6B</v>
      </c>
      <c r="L149" s="145" t="e">
        <f t="shared" si="21"/>
        <v>#VALUE!</v>
      </c>
      <c r="M149" s="145" t="e">
        <f t="shared" si="22"/>
        <v>#VALUE!</v>
      </c>
      <c r="N149" s="145" t="e">
        <f t="shared" si="23"/>
        <v>#VALUE!</v>
      </c>
      <c r="O149" s="145" t="e">
        <f t="shared" si="24"/>
        <v>#VALUE!</v>
      </c>
      <c r="P149" s="606">
        <v>146</v>
      </c>
      <c r="Q149" s="610" t="str">
        <f>Report!A189</f>
        <v>U149</v>
      </c>
      <c r="R149" s="611">
        <f>Report!H189</f>
        <v>0</v>
      </c>
      <c r="S149" s="612" t="e">
        <f t="shared" si="20"/>
        <v>#VALUE!</v>
      </c>
    </row>
    <row r="150" spans="1:19" ht="15.75" x14ac:dyDescent="0.25">
      <c r="A150" s="489" t="s">
        <v>1069</v>
      </c>
      <c r="B150" s="191" t="str">
        <f>Imported_Template!B148</f>
        <v>10-065</v>
      </c>
      <c r="C150" s="191" t="str">
        <f>Imported_Template!C148</f>
        <v>B</v>
      </c>
      <c r="D150" s="191" t="str">
        <f>Imported_Template!D148</f>
        <v>6A</v>
      </c>
      <c r="E150" s="145">
        <f>Data!AI42</f>
        <v>0.334645417437342</v>
      </c>
      <c r="F150" s="145" t="e">
        <f>Data!AN37</f>
        <v>#VALUE!</v>
      </c>
      <c r="G150" s="145">
        <f t="shared" si="19"/>
        <v>3.3464541743734202</v>
      </c>
      <c r="H150" s="145" t="e">
        <f t="shared" si="19"/>
        <v>#VALUE!</v>
      </c>
      <c r="I150" s="177" t="str">
        <f t="shared" si="18"/>
        <v>10-065</v>
      </c>
      <c r="J150" s="177" t="str">
        <f t="shared" si="18"/>
        <v>B</v>
      </c>
      <c r="K150" s="177" t="str">
        <f t="shared" si="18"/>
        <v>6A</v>
      </c>
      <c r="L150" s="145" t="e">
        <f t="shared" si="21"/>
        <v>#VALUE!</v>
      </c>
      <c r="M150" s="145" t="e">
        <f t="shared" si="22"/>
        <v>#VALUE!</v>
      </c>
      <c r="N150" s="145" t="e">
        <f t="shared" si="23"/>
        <v>#VALUE!</v>
      </c>
      <c r="O150" s="145" t="e">
        <f t="shared" si="24"/>
        <v>#VALUE!</v>
      </c>
      <c r="P150" s="606">
        <v>147</v>
      </c>
      <c r="Q150" s="610" t="str">
        <f>Report!A190</f>
        <v>U150</v>
      </c>
      <c r="R150" s="611">
        <f>Report!H190</f>
        <v>0</v>
      </c>
      <c r="S150" s="612" t="e">
        <f t="shared" si="20"/>
        <v>#VALUE!</v>
      </c>
    </row>
    <row r="151" spans="1:19" ht="15.75" x14ac:dyDescent="0.25">
      <c r="A151" s="489" t="s">
        <v>1036</v>
      </c>
      <c r="B151" s="191" t="str">
        <f>Imported_Template!B149</f>
        <v>10-066</v>
      </c>
      <c r="C151" s="191" t="str">
        <f>Imported_Template!C149</f>
        <v>B</v>
      </c>
      <c r="D151" s="191" t="str">
        <f>Imported_Template!D149</f>
        <v>6B</v>
      </c>
      <c r="E151" s="145">
        <f>Data!AI43</f>
        <v>1.6552427638263877E-2</v>
      </c>
      <c r="F151" s="145">
        <f>Data!AN36</f>
        <v>1.6552427638263877E-2</v>
      </c>
      <c r="G151" s="145">
        <f t="shared" si="19"/>
        <v>0.16552427638263878</v>
      </c>
      <c r="H151" s="145">
        <f t="shared" si="19"/>
        <v>0.16552427638263878</v>
      </c>
      <c r="I151" s="177" t="str">
        <f t="shared" si="18"/>
        <v>10-066</v>
      </c>
      <c r="J151" s="177" t="str">
        <f t="shared" si="18"/>
        <v>B</v>
      </c>
      <c r="K151" s="177" t="str">
        <f t="shared" si="18"/>
        <v>6B</v>
      </c>
      <c r="L151" s="145">
        <f t="shared" si="21"/>
        <v>0.16552427638263878</v>
      </c>
      <c r="M151" s="145">
        <f t="shared" si="22"/>
        <v>38.542238048596779</v>
      </c>
      <c r="N151" s="145">
        <f t="shared" si="23"/>
        <v>0</v>
      </c>
      <c r="O151" s="145">
        <f t="shared" si="24"/>
        <v>0</v>
      </c>
      <c r="P151" s="606">
        <v>148</v>
      </c>
      <c r="Q151" s="610" t="str">
        <f>Report!A191</f>
        <v>U151</v>
      </c>
      <c r="R151" s="611">
        <f>Report!H191</f>
        <v>0</v>
      </c>
      <c r="S151" s="612" t="e">
        <f t="shared" si="20"/>
        <v>#DIV/0!</v>
      </c>
    </row>
    <row r="152" spans="1:19" ht="15.75" x14ac:dyDescent="0.25">
      <c r="A152" s="489" t="s">
        <v>1032</v>
      </c>
      <c r="B152" s="191" t="str">
        <f>Imported_Template!B150</f>
        <v>10-067</v>
      </c>
      <c r="C152" s="191" t="str">
        <f>Imported_Template!C150</f>
        <v>B</v>
      </c>
      <c r="D152" s="191" t="str">
        <f>Imported_Template!D150</f>
        <v>6A</v>
      </c>
      <c r="E152" s="145" t="e">
        <f>Data!AJ36</f>
        <v>#VALUE!</v>
      </c>
      <c r="F152" s="145" t="e">
        <f>Data!AM43</f>
        <v>#VALUE!</v>
      </c>
      <c r="G152" s="145" t="e">
        <f t="shared" si="19"/>
        <v>#VALUE!</v>
      </c>
      <c r="H152" s="145" t="e">
        <f t="shared" si="19"/>
        <v>#VALUE!</v>
      </c>
      <c r="I152" s="177" t="str">
        <f t="shared" si="18"/>
        <v>10-067</v>
      </c>
      <c r="J152" s="177" t="str">
        <f t="shared" si="18"/>
        <v>B</v>
      </c>
      <c r="K152" s="177" t="str">
        <f t="shared" si="18"/>
        <v>6A</v>
      </c>
      <c r="L152" s="145" t="e">
        <f t="shared" si="21"/>
        <v>#VALUE!</v>
      </c>
      <c r="M152" s="145" t="e">
        <f t="shared" si="22"/>
        <v>#VALUE!</v>
      </c>
      <c r="N152" s="145" t="e">
        <f t="shared" si="23"/>
        <v>#VALUE!</v>
      </c>
      <c r="O152" s="145" t="e">
        <f t="shared" si="24"/>
        <v>#VALUE!</v>
      </c>
      <c r="P152" s="606">
        <v>149</v>
      </c>
      <c r="Q152" s="610" t="str">
        <f>Report!A192</f>
        <v>U152</v>
      </c>
      <c r="R152" s="611">
        <f>Report!H192</f>
        <v>0</v>
      </c>
      <c r="S152" s="612" t="e">
        <f t="shared" si="20"/>
        <v>#VALUE!</v>
      </c>
    </row>
    <row r="153" spans="1:19" ht="15.75" x14ac:dyDescent="0.25">
      <c r="A153" s="489" t="s">
        <v>1065</v>
      </c>
      <c r="B153" s="191" t="str">
        <f>Imported_Template!B151</f>
        <v>10-068</v>
      </c>
      <c r="C153" s="191" t="str">
        <f>Imported_Template!C151</f>
        <v>B</v>
      </c>
      <c r="D153" s="191" t="str">
        <f>Imported_Template!D151</f>
        <v>6B</v>
      </c>
      <c r="E153" s="145" t="e">
        <f>Data!AJ37</f>
        <v>#VALUE!</v>
      </c>
      <c r="F153" s="145" t="e">
        <f>Data!AM42</f>
        <v>#VALUE!</v>
      </c>
      <c r="G153" s="145" t="e">
        <f t="shared" si="19"/>
        <v>#VALUE!</v>
      </c>
      <c r="H153" s="145" t="e">
        <f t="shared" si="19"/>
        <v>#VALUE!</v>
      </c>
      <c r="I153" s="177" t="str">
        <f t="shared" si="18"/>
        <v>10-068</v>
      </c>
      <c r="J153" s="177" t="str">
        <f t="shared" si="18"/>
        <v>B</v>
      </c>
      <c r="K153" s="177" t="str">
        <f t="shared" si="18"/>
        <v>6B</v>
      </c>
      <c r="L153" s="145" t="e">
        <f t="shared" si="21"/>
        <v>#VALUE!</v>
      </c>
      <c r="M153" s="145" t="e">
        <f t="shared" si="22"/>
        <v>#VALUE!</v>
      </c>
      <c r="N153" s="145" t="e">
        <f t="shared" si="23"/>
        <v>#VALUE!</v>
      </c>
      <c r="O153" s="145" t="e">
        <f t="shared" si="24"/>
        <v>#VALUE!</v>
      </c>
      <c r="P153" s="606">
        <v>150</v>
      </c>
      <c r="Q153" s="610" t="str">
        <f>Report!A193</f>
        <v>U153</v>
      </c>
      <c r="R153" s="611">
        <f>Report!H193</f>
        <v>0</v>
      </c>
      <c r="S153" s="612" t="e">
        <f t="shared" si="20"/>
        <v>#VALUE!</v>
      </c>
    </row>
    <row r="154" spans="1:19" ht="15.75" x14ac:dyDescent="0.25">
      <c r="A154" s="489" t="s">
        <v>1098</v>
      </c>
      <c r="B154" s="191" t="str">
        <f>Imported_Template!B152</f>
        <v>10-069</v>
      </c>
      <c r="C154" s="191" t="str">
        <f>Imported_Template!C152</f>
        <v>B</v>
      </c>
      <c r="D154" s="191" t="str">
        <f>Imported_Template!D152</f>
        <v>6A</v>
      </c>
      <c r="E154" s="145" t="e">
        <f>Data!AJ38</f>
        <v>#VALUE!</v>
      </c>
      <c r="F154" s="145" t="e">
        <f>Data!AM41</f>
        <v>#VALUE!</v>
      </c>
      <c r="G154" s="145" t="e">
        <f t="shared" si="19"/>
        <v>#VALUE!</v>
      </c>
      <c r="H154" s="145" t="e">
        <f t="shared" si="19"/>
        <v>#VALUE!</v>
      </c>
      <c r="I154" s="177" t="str">
        <f t="shared" si="18"/>
        <v>10-069</v>
      </c>
      <c r="J154" s="177" t="str">
        <f t="shared" si="18"/>
        <v>B</v>
      </c>
      <c r="K154" s="177" t="str">
        <f t="shared" si="18"/>
        <v>6A</v>
      </c>
      <c r="L154" s="145" t="e">
        <f t="shared" si="21"/>
        <v>#VALUE!</v>
      </c>
      <c r="M154" s="145" t="e">
        <f t="shared" si="22"/>
        <v>#VALUE!</v>
      </c>
      <c r="N154" s="145" t="e">
        <f t="shared" si="23"/>
        <v>#VALUE!</v>
      </c>
      <c r="O154" s="145" t="e">
        <f t="shared" si="24"/>
        <v>#VALUE!</v>
      </c>
      <c r="P154" s="606">
        <v>151</v>
      </c>
      <c r="Q154" s="610" t="str">
        <f>Report!A194</f>
        <v>U154</v>
      </c>
      <c r="R154" s="611">
        <f>Report!H194</f>
        <v>0</v>
      </c>
      <c r="S154" s="612" t="e">
        <f t="shared" si="20"/>
        <v>#VALUE!</v>
      </c>
    </row>
    <row r="155" spans="1:19" ht="15.75" x14ac:dyDescent="0.25">
      <c r="A155" s="489" t="s">
        <v>1130</v>
      </c>
      <c r="B155" s="191" t="str">
        <f>Imported_Template!B153</f>
        <v>10-070</v>
      </c>
      <c r="C155" s="191" t="str">
        <f>Imported_Template!C153</f>
        <v>B</v>
      </c>
      <c r="D155" s="191" t="str">
        <f>Imported_Template!D153</f>
        <v>6B</v>
      </c>
      <c r="E155" s="145" t="e">
        <f>Data!AJ39</f>
        <v>#VALUE!</v>
      </c>
      <c r="F155" s="145" t="e">
        <f>Data!AM40</f>
        <v>#VALUE!</v>
      </c>
      <c r="G155" s="145" t="e">
        <f t="shared" si="19"/>
        <v>#VALUE!</v>
      </c>
      <c r="H155" s="145" t="e">
        <f t="shared" si="19"/>
        <v>#VALUE!</v>
      </c>
      <c r="I155" s="177" t="str">
        <f t="shared" si="18"/>
        <v>10-070</v>
      </c>
      <c r="J155" s="177" t="str">
        <f t="shared" si="18"/>
        <v>B</v>
      </c>
      <c r="K155" s="177" t="str">
        <f t="shared" si="18"/>
        <v>6B</v>
      </c>
      <c r="L155" s="145" t="e">
        <f t="shared" si="21"/>
        <v>#VALUE!</v>
      </c>
      <c r="M155" s="145" t="e">
        <f t="shared" si="22"/>
        <v>#VALUE!</v>
      </c>
      <c r="N155" s="145" t="e">
        <f t="shared" si="23"/>
        <v>#VALUE!</v>
      </c>
      <c r="O155" s="145" t="e">
        <f t="shared" si="24"/>
        <v>#VALUE!</v>
      </c>
      <c r="P155" s="606">
        <v>152</v>
      </c>
      <c r="Q155" s="610" t="str">
        <f>Report!A195</f>
        <v>U155</v>
      </c>
      <c r="R155" s="611">
        <f>Report!H195</f>
        <v>0</v>
      </c>
      <c r="S155" s="612" t="e">
        <f t="shared" si="20"/>
        <v>#VALUE!</v>
      </c>
    </row>
    <row r="156" spans="1:19" ht="15.75" x14ac:dyDescent="0.25">
      <c r="A156" s="489" t="s">
        <v>1133</v>
      </c>
      <c r="B156" s="191" t="str">
        <f>Imported_Template!B154</f>
        <v>10-071</v>
      </c>
      <c r="C156" s="191" t="str">
        <f>Imported_Template!C154</f>
        <v>B</v>
      </c>
      <c r="D156" s="191" t="str">
        <f>Imported_Template!D154</f>
        <v>6A</v>
      </c>
      <c r="E156" s="145">
        <f>Data!AJ40</f>
        <v>1.6552427638263877E-2</v>
      </c>
      <c r="F156" s="145" t="e">
        <f>Data!AM39</f>
        <v>#VALUE!</v>
      </c>
      <c r="G156" s="145">
        <f t="shared" si="19"/>
        <v>0.16552427638263878</v>
      </c>
      <c r="H156" s="145" t="e">
        <f t="shared" si="19"/>
        <v>#VALUE!</v>
      </c>
      <c r="I156" s="177" t="str">
        <f t="shared" si="18"/>
        <v>10-071</v>
      </c>
      <c r="J156" s="177" t="str">
        <f t="shared" si="18"/>
        <v>B</v>
      </c>
      <c r="K156" s="177" t="str">
        <f t="shared" si="18"/>
        <v>6A</v>
      </c>
      <c r="L156" s="145" t="e">
        <f t="shared" si="21"/>
        <v>#VALUE!</v>
      </c>
      <c r="M156" s="145" t="e">
        <f t="shared" si="22"/>
        <v>#VALUE!</v>
      </c>
      <c r="N156" s="145" t="e">
        <f t="shared" si="23"/>
        <v>#VALUE!</v>
      </c>
      <c r="O156" s="145" t="e">
        <f t="shared" si="24"/>
        <v>#VALUE!</v>
      </c>
      <c r="P156" s="606">
        <v>153</v>
      </c>
      <c r="Q156" s="610" t="str">
        <f>Report!A196</f>
        <v>U156</v>
      </c>
      <c r="R156" s="611">
        <f>Report!H196</f>
        <v>0</v>
      </c>
      <c r="S156" s="612" t="e">
        <f t="shared" si="20"/>
        <v>#VALUE!</v>
      </c>
    </row>
    <row r="157" spans="1:19" ht="15.75" x14ac:dyDescent="0.25">
      <c r="A157" s="489" t="s">
        <v>1101</v>
      </c>
      <c r="B157" s="191" t="str">
        <f>Imported_Template!B155</f>
        <v>10-072</v>
      </c>
      <c r="C157" s="191" t="str">
        <f>Imported_Template!C155</f>
        <v>B</v>
      </c>
      <c r="D157" s="191" t="str">
        <f>Imported_Template!D155</f>
        <v>6B</v>
      </c>
      <c r="E157" s="145" t="e">
        <f>Data!AJ41</f>
        <v>#VALUE!</v>
      </c>
      <c r="F157" s="145" t="e">
        <f>Data!AM38</f>
        <v>#VALUE!</v>
      </c>
      <c r="G157" s="145" t="e">
        <f t="shared" si="19"/>
        <v>#VALUE!</v>
      </c>
      <c r="H157" s="145" t="e">
        <f t="shared" si="19"/>
        <v>#VALUE!</v>
      </c>
      <c r="I157" s="177" t="str">
        <f t="shared" si="18"/>
        <v>10-072</v>
      </c>
      <c r="J157" s="177" t="str">
        <f t="shared" si="18"/>
        <v>B</v>
      </c>
      <c r="K157" s="177" t="str">
        <f t="shared" si="18"/>
        <v>6B</v>
      </c>
      <c r="L157" s="145" t="e">
        <f t="shared" si="21"/>
        <v>#VALUE!</v>
      </c>
      <c r="M157" s="145" t="e">
        <f t="shared" si="22"/>
        <v>#VALUE!</v>
      </c>
      <c r="N157" s="145" t="e">
        <f t="shared" si="23"/>
        <v>#VALUE!</v>
      </c>
      <c r="O157" s="145" t="e">
        <f t="shared" si="24"/>
        <v>#VALUE!</v>
      </c>
      <c r="P157" s="606">
        <v>154</v>
      </c>
      <c r="Q157" s="610" t="str">
        <f>Report!A197</f>
        <v>U157</v>
      </c>
      <c r="R157" s="611">
        <f>Report!H197</f>
        <v>0</v>
      </c>
      <c r="S157" s="612" t="e">
        <f t="shared" si="20"/>
        <v>#VALUE!</v>
      </c>
    </row>
    <row r="158" spans="1:19" ht="15.75" x14ac:dyDescent="0.25">
      <c r="A158" s="489" t="s">
        <v>1068</v>
      </c>
      <c r="B158" s="191" t="str">
        <f>Imported_Template!B156</f>
        <v>10-073</v>
      </c>
      <c r="C158" s="191" t="str">
        <f>Imported_Template!C156</f>
        <v>B</v>
      </c>
      <c r="D158" s="191" t="str">
        <f>Imported_Template!D156</f>
        <v>6A</v>
      </c>
      <c r="E158" s="145">
        <f>Data!AJ42</f>
        <v>1.6552427638263877E-2</v>
      </c>
      <c r="F158" s="145">
        <f>Data!AM37</f>
        <v>0.1773198067525851</v>
      </c>
      <c r="G158" s="145">
        <f t="shared" si="19"/>
        <v>0.16552427638263878</v>
      </c>
      <c r="H158" s="145">
        <f t="shared" si="19"/>
        <v>1.773198067525851</v>
      </c>
      <c r="I158" s="177" t="str">
        <f t="shared" si="18"/>
        <v>10-073</v>
      </c>
      <c r="J158" s="177" t="str">
        <f t="shared" si="18"/>
        <v>B</v>
      </c>
      <c r="K158" s="177" t="str">
        <f t="shared" si="18"/>
        <v>6A</v>
      </c>
      <c r="L158" s="145">
        <f t="shared" si="21"/>
        <v>0.96936117195424487</v>
      </c>
      <c r="M158" s="145">
        <f t="shared" si="22"/>
        <v>38.542238048596779</v>
      </c>
      <c r="N158" s="145">
        <f t="shared" si="23"/>
        <v>1.1367970396532507</v>
      </c>
      <c r="O158" s="145">
        <f t="shared" si="24"/>
        <v>117.27280528076578</v>
      </c>
      <c r="P158" s="606">
        <v>155</v>
      </c>
      <c r="Q158" s="610" t="str">
        <f>Report!A198</f>
        <v>U158</v>
      </c>
      <c r="R158" s="611">
        <f>Report!H198</f>
        <v>0</v>
      </c>
      <c r="S158" s="612" t="e">
        <f t="shared" si="20"/>
        <v>#DIV/0!</v>
      </c>
    </row>
    <row r="159" spans="1:19" ht="15.75" x14ac:dyDescent="0.25">
      <c r="A159" s="489" t="s">
        <v>1035</v>
      </c>
      <c r="B159" s="191" t="str">
        <f>Imported_Template!B157</f>
        <v>10-074</v>
      </c>
      <c r="C159" s="191" t="str">
        <f>Imported_Template!C157</f>
        <v>B</v>
      </c>
      <c r="D159" s="191" t="str">
        <f>Imported_Template!D157</f>
        <v>6B</v>
      </c>
      <c r="E159" s="145">
        <f>Data!AJ43</f>
        <v>0.79943837504430948</v>
      </c>
      <c r="F159" s="145" t="e">
        <f>Data!AM36</f>
        <v>#VALUE!</v>
      </c>
      <c r="G159" s="145">
        <f t="shared" si="19"/>
        <v>7.9943837504430952</v>
      </c>
      <c r="H159" s="145" t="e">
        <f t="shared" si="19"/>
        <v>#VALUE!</v>
      </c>
      <c r="I159" s="177" t="str">
        <f t="shared" si="18"/>
        <v>10-074</v>
      </c>
      <c r="J159" s="177" t="str">
        <f t="shared" si="18"/>
        <v>B</v>
      </c>
      <c r="K159" s="177" t="str">
        <f t="shared" si="18"/>
        <v>6B</v>
      </c>
      <c r="L159" s="145" t="e">
        <f t="shared" si="21"/>
        <v>#VALUE!</v>
      </c>
      <c r="M159" s="145" t="e">
        <f t="shared" si="22"/>
        <v>#VALUE!</v>
      </c>
      <c r="N159" s="145" t="e">
        <f t="shared" si="23"/>
        <v>#VALUE!</v>
      </c>
      <c r="O159" s="145" t="e">
        <f t="shared" si="24"/>
        <v>#VALUE!</v>
      </c>
      <c r="P159" s="606">
        <v>156</v>
      </c>
      <c r="Q159" s="610" t="str">
        <f>Report!A199</f>
        <v>U159</v>
      </c>
      <c r="R159" s="611">
        <f>Report!H199</f>
        <v>0</v>
      </c>
      <c r="S159" s="612" t="e">
        <f t="shared" si="20"/>
        <v>#VALUE!</v>
      </c>
    </row>
    <row r="160" spans="1:19" ht="15.75" x14ac:dyDescent="0.25">
      <c r="A160" s="489" t="s">
        <v>1033</v>
      </c>
      <c r="B160" s="191" t="str">
        <f>Imported_Template!B158</f>
        <v>10-075</v>
      </c>
      <c r="C160" s="191" t="str">
        <f>Imported_Template!C158</f>
        <v>B</v>
      </c>
      <c r="D160" s="191" t="str">
        <f>Imported_Template!D158</f>
        <v>6A</v>
      </c>
      <c r="E160" s="145" t="e">
        <f>Data!AK36</f>
        <v>#VALUE!</v>
      </c>
      <c r="F160" s="145" t="e">
        <f>Data!AM43</f>
        <v>#VALUE!</v>
      </c>
      <c r="G160" s="145" t="e">
        <f t="shared" si="19"/>
        <v>#VALUE!</v>
      </c>
      <c r="H160" s="145" t="e">
        <f t="shared" si="19"/>
        <v>#VALUE!</v>
      </c>
      <c r="I160" s="177" t="str">
        <f t="shared" si="18"/>
        <v>10-075</v>
      </c>
      <c r="J160" s="177" t="str">
        <f t="shared" si="18"/>
        <v>B</v>
      </c>
      <c r="K160" s="177" t="str">
        <f t="shared" si="18"/>
        <v>6A</v>
      </c>
      <c r="L160" s="145" t="e">
        <f t="shared" si="21"/>
        <v>#VALUE!</v>
      </c>
      <c r="M160" s="145" t="e">
        <f t="shared" si="22"/>
        <v>#VALUE!</v>
      </c>
      <c r="N160" s="145" t="e">
        <f t="shared" si="23"/>
        <v>#VALUE!</v>
      </c>
      <c r="O160" s="145" t="e">
        <f t="shared" si="24"/>
        <v>#VALUE!</v>
      </c>
      <c r="P160" s="606">
        <v>157</v>
      </c>
      <c r="Q160" s="610" t="str">
        <f>Report!A200</f>
        <v>U160</v>
      </c>
      <c r="R160" s="611">
        <f>Report!H200</f>
        <v>0</v>
      </c>
      <c r="S160" s="612" t="e">
        <f t="shared" si="20"/>
        <v>#VALUE!</v>
      </c>
    </row>
    <row r="161" spans="1:19" ht="15.75" x14ac:dyDescent="0.25">
      <c r="A161" s="489" t="s">
        <v>1066</v>
      </c>
      <c r="B161" s="191" t="str">
        <f>Imported_Template!B159</f>
        <v>10-076</v>
      </c>
      <c r="C161" s="191" t="str">
        <f>Imported_Template!C159</f>
        <v>B</v>
      </c>
      <c r="D161" s="191" t="str">
        <f>Imported_Template!D159</f>
        <v>6B</v>
      </c>
      <c r="E161" s="145" t="e">
        <f>Data!AK37</f>
        <v>#VALUE!</v>
      </c>
      <c r="F161" s="145" t="e">
        <f>Data!AM42</f>
        <v>#VALUE!</v>
      </c>
      <c r="G161" s="145" t="e">
        <f t="shared" si="19"/>
        <v>#VALUE!</v>
      </c>
      <c r="H161" s="145" t="e">
        <f t="shared" si="19"/>
        <v>#VALUE!</v>
      </c>
      <c r="I161" s="177" t="str">
        <f t="shared" si="18"/>
        <v>10-076</v>
      </c>
      <c r="J161" s="177" t="str">
        <f t="shared" si="18"/>
        <v>B</v>
      </c>
      <c r="K161" s="177" t="str">
        <f t="shared" si="18"/>
        <v>6B</v>
      </c>
      <c r="L161" s="145" t="e">
        <f t="shared" si="21"/>
        <v>#VALUE!</v>
      </c>
      <c r="M161" s="145" t="e">
        <f t="shared" si="22"/>
        <v>#VALUE!</v>
      </c>
      <c r="N161" s="145" t="e">
        <f t="shared" si="23"/>
        <v>#VALUE!</v>
      </c>
      <c r="O161" s="145" t="e">
        <f t="shared" si="24"/>
        <v>#VALUE!</v>
      </c>
      <c r="P161" s="606">
        <v>158</v>
      </c>
      <c r="Q161" s="610" t="str">
        <f>Report!A201</f>
        <v>U161</v>
      </c>
      <c r="R161" s="611">
        <f>Report!H201</f>
        <v>0</v>
      </c>
      <c r="S161" s="612" t="e">
        <f t="shared" si="20"/>
        <v>#VALUE!</v>
      </c>
    </row>
    <row r="162" spans="1:19" ht="15.75" x14ac:dyDescent="0.25">
      <c r="A162" s="489" t="s">
        <v>1099</v>
      </c>
      <c r="B162" s="191" t="str">
        <f>Imported_Template!B160</f>
        <v>10-077</v>
      </c>
      <c r="C162" s="191" t="str">
        <f>Imported_Template!C160</f>
        <v>B</v>
      </c>
      <c r="D162" s="191" t="str">
        <f>Imported_Template!D160</f>
        <v>6A</v>
      </c>
      <c r="E162" s="145" t="e">
        <f>Data!AK38</f>
        <v>#VALUE!</v>
      </c>
      <c r="F162" s="145" t="e">
        <f>Data!AM41</f>
        <v>#VALUE!</v>
      </c>
      <c r="G162" s="145" t="e">
        <f t="shared" si="19"/>
        <v>#VALUE!</v>
      </c>
      <c r="H162" s="145" t="e">
        <f t="shared" si="19"/>
        <v>#VALUE!</v>
      </c>
      <c r="I162" s="177" t="str">
        <f t="shared" si="18"/>
        <v>10-077</v>
      </c>
      <c r="J162" s="177" t="str">
        <f t="shared" si="18"/>
        <v>B</v>
      </c>
      <c r="K162" s="177" t="str">
        <f t="shared" si="18"/>
        <v>6A</v>
      </c>
      <c r="L162" s="145" t="e">
        <f t="shared" si="21"/>
        <v>#VALUE!</v>
      </c>
      <c r="M162" s="145" t="e">
        <f t="shared" si="22"/>
        <v>#VALUE!</v>
      </c>
      <c r="N162" s="145" t="e">
        <f t="shared" si="23"/>
        <v>#VALUE!</v>
      </c>
      <c r="O162" s="145" t="e">
        <f t="shared" si="24"/>
        <v>#VALUE!</v>
      </c>
      <c r="P162" s="606">
        <v>159</v>
      </c>
      <c r="Q162" s="610" t="str">
        <f>Report!A202</f>
        <v>U162</v>
      </c>
      <c r="R162" s="611">
        <f>Report!H202</f>
        <v>0</v>
      </c>
      <c r="S162" s="612" t="e">
        <f t="shared" si="20"/>
        <v>#VALUE!</v>
      </c>
    </row>
    <row r="163" spans="1:19" ht="15.75" x14ac:dyDescent="0.25">
      <c r="A163" s="489" t="s">
        <v>1131</v>
      </c>
      <c r="B163" s="191" t="str">
        <f>Imported_Template!B161</f>
        <v>10-078</v>
      </c>
      <c r="C163" s="191" t="str">
        <f>Imported_Template!C161</f>
        <v>B</v>
      </c>
      <c r="D163" s="191" t="str">
        <f>Imported_Template!D161</f>
        <v>6B</v>
      </c>
      <c r="E163" s="145" t="e">
        <f>Data!AK39</f>
        <v>#VALUE!</v>
      </c>
      <c r="F163" s="145" t="e">
        <f>Data!AM40</f>
        <v>#VALUE!</v>
      </c>
      <c r="G163" s="145" t="e">
        <f t="shared" si="19"/>
        <v>#VALUE!</v>
      </c>
      <c r="H163" s="145" t="e">
        <f t="shared" si="19"/>
        <v>#VALUE!</v>
      </c>
      <c r="I163" s="177" t="str">
        <f t="shared" si="18"/>
        <v>10-078</v>
      </c>
      <c r="J163" s="177" t="str">
        <f t="shared" si="18"/>
        <v>B</v>
      </c>
      <c r="K163" s="177" t="str">
        <f t="shared" si="18"/>
        <v>6B</v>
      </c>
      <c r="L163" s="145" t="e">
        <f t="shared" si="21"/>
        <v>#VALUE!</v>
      </c>
      <c r="M163" s="145" t="e">
        <f t="shared" si="22"/>
        <v>#VALUE!</v>
      </c>
      <c r="N163" s="145" t="e">
        <f t="shared" si="23"/>
        <v>#VALUE!</v>
      </c>
      <c r="O163" s="145" t="e">
        <f t="shared" si="24"/>
        <v>#VALUE!</v>
      </c>
      <c r="P163" s="606">
        <v>160</v>
      </c>
      <c r="Q163" s="610" t="str">
        <f>Report!A203</f>
        <v>U163</v>
      </c>
      <c r="R163" s="611">
        <f>Report!H203</f>
        <v>0</v>
      </c>
      <c r="S163" s="612" t="e">
        <f t="shared" si="20"/>
        <v>#VALUE!</v>
      </c>
    </row>
    <row r="164" spans="1:19" ht="15.75" x14ac:dyDescent="0.25">
      <c r="A164" s="489" t="s">
        <v>1132</v>
      </c>
      <c r="B164" s="191" t="str">
        <f>Imported_Template!B162</f>
        <v>10-079</v>
      </c>
      <c r="C164" s="191" t="str">
        <f>Imported_Template!C162</f>
        <v>B</v>
      </c>
      <c r="D164" s="191" t="str">
        <f>Imported_Template!D162</f>
        <v>6A</v>
      </c>
      <c r="E164" s="145">
        <f>Data!AK40</f>
        <v>0.64532281171283101</v>
      </c>
      <c r="F164" s="145" t="e">
        <f>Data!AM39</f>
        <v>#VALUE!</v>
      </c>
      <c r="G164" s="145">
        <f t="shared" si="19"/>
        <v>6.4532281171283099</v>
      </c>
      <c r="H164" s="145" t="e">
        <f t="shared" si="19"/>
        <v>#VALUE!</v>
      </c>
      <c r="I164" s="177" t="str">
        <f t="shared" si="18"/>
        <v>10-079</v>
      </c>
      <c r="J164" s="177" t="str">
        <f t="shared" si="18"/>
        <v>B</v>
      </c>
      <c r="K164" s="177" t="str">
        <f t="shared" si="18"/>
        <v>6A</v>
      </c>
      <c r="L164" s="145" t="e">
        <f t="shared" si="21"/>
        <v>#VALUE!</v>
      </c>
      <c r="M164" s="145" t="e">
        <f t="shared" si="22"/>
        <v>#VALUE!</v>
      </c>
      <c r="N164" s="145" t="e">
        <f t="shared" si="23"/>
        <v>#VALUE!</v>
      </c>
      <c r="O164" s="145" t="e">
        <f t="shared" si="24"/>
        <v>#VALUE!</v>
      </c>
      <c r="P164" s="606">
        <v>161</v>
      </c>
      <c r="Q164" s="610" t="str">
        <f>Report!A204</f>
        <v>U164</v>
      </c>
      <c r="R164" s="611">
        <f>Report!H204</f>
        <v>0</v>
      </c>
      <c r="S164" s="612" t="e">
        <f t="shared" si="20"/>
        <v>#VALUE!</v>
      </c>
    </row>
    <row r="165" spans="1:19" ht="15.75" x14ac:dyDescent="0.25">
      <c r="A165" s="489" t="s">
        <v>1100</v>
      </c>
      <c r="B165" s="191" t="str">
        <f>Imported_Template!B163</f>
        <v>10-080</v>
      </c>
      <c r="C165" s="191" t="str">
        <f>Imported_Template!C163</f>
        <v>B</v>
      </c>
      <c r="D165" s="191" t="str">
        <f>Imported_Template!D163</f>
        <v>6B</v>
      </c>
      <c r="E165" s="145" t="e">
        <f>Data!AK41</f>
        <v>#VALUE!</v>
      </c>
      <c r="F165" s="145" t="e">
        <f>Data!AM38</f>
        <v>#VALUE!</v>
      </c>
      <c r="G165" s="145" t="e">
        <f t="shared" si="19"/>
        <v>#VALUE!</v>
      </c>
      <c r="H165" s="145" t="e">
        <f t="shared" si="19"/>
        <v>#VALUE!</v>
      </c>
      <c r="I165" s="177" t="str">
        <f t="shared" ref="I165:K167" si="25">B165</f>
        <v>10-080</v>
      </c>
      <c r="J165" s="177" t="str">
        <f t="shared" si="25"/>
        <v>B</v>
      </c>
      <c r="K165" s="177" t="str">
        <f t="shared" si="25"/>
        <v>6B</v>
      </c>
      <c r="L165" s="145" t="e">
        <f t="shared" si="21"/>
        <v>#VALUE!</v>
      </c>
      <c r="M165" s="145" t="e">
        <f t="shared" si="22"/>
        <v>#VALUE!</v>
      </c>
      <c r="N165" s="145" t="e">
        <f t="shared" si="23"/>
        <v>#VALUE!</v>
      </c>
      <c r="O165" s="145" t="e">
        <f t="shared" si="24"/>
        <v>#VALUE!</v>
      </c>
      <c r="P165" s="606">
        <v>162</v>
      </c>
      <c r="Q165" s="610" t="str">
        <f>Report!A205</f>
        <v>U165</v>
      </c>
      <c r="R165" s="611">
        <f>Report!H205</f>
        <v>0</v>
      </c>
      <c r="S165" s="612" t="e">
        <f t="shared" si="20"/>
        <v>#VALUE!</v>
      </c>
    </row>
    <row r="166" spans="1:19" ht="15.75" x14ac:dyDescent="0.25">
      <c r="A166" s="489" t="s">
        <v>1067</v>
      </c>
      <c r="B166" s="191" t="str">
        <f>Imported_Template!B164</f>
        <v>10-081</v>
      </c>
      <c r="C166" s="191" t="str">
        <f>Imported_Template!C164</f>
        <v>B</v>
      </c>
      <c r="D166" s="191" t="str">
        <f>Imported_Template!D164</f>
        <v>6A</v>
      </c>
      <c r="E166" s="145" t="e">
        <f>Data!AK42</f>
        <v>#VALUE!</v>
      </c>
      <c r="F166" s="145">
        <f>Data!AM37</f>
        <v>0.1773198067525851</v>
      </c>
      <c r="G166" s="145" t="e">
        <f t="shared" si="19"/>
        <v>#VALUE!</v>
      </c>
      <c r="H166" s="145">
        <f t="shared" si="19"/>
        <v>1.773198067525851</v>
      </c>
      <c r="I166" s="177" t="str">
        <f t="shared" si="25"/>
        <v>10-081</v>
      </c>
      <c r="J166" s="177" t="str">
        <f t="shared" si="25"/>
        <v>B</v>
      </c>
      <c r="K166" s="177" t="str">
        <f t="shared" si="25"/>
        <v>6A</v>
      </c>
      <c r="L166" s="145" t="e">
        <f t="shared" si="21"/>
        <v>#VALUE!</v>
      </c>
      <c r="M166" s="145" t="e">
        <f t="shared" si="22"/>
        <v>#VALUE!</v>
      </c>
      <c r="N166" s="145" t="e">
        <f t="shared" si="23"/>
        <v>#VALUE!</v>
      </c>
      <c r="O166" s="145" t="e">
        <f t="shared" si="24"/>
        <v>#VALUE!</v>
      </c>
      <c r="P166" s="606">
        <v>163</v>
      </c>
      <c r="Q166" s="610" t="str">
        <f>Report!A206</f>
        <v>U166</v>
      </c>
      <c r="R166" s="611">
        <f>Report!H206</f>
        <v>0</v>
      </c>
      <c r="S166" s="612" t="e">
        <f t="shared" si="20"/>
        <v>#VALUE!</v>
      </c>
    </row>
    <row r="167" spans="1:19" ht="15.75" x14ac:dyDescent="0.25">
      <c r="A167" s="489" t="s">
        <v>1034</v>
      </c>
      <c r="B167" s="191" t="str">
        <f>Imported_Template!B165</f>
        <v>10-082</v>
      </c>
      <c r="C167" s="191" t="str">
        <f>Imported_Template!C165</f>
        <v>B</v>
      </c>
      <c r="D167" s="191" t="str">
        <f>Imported_Template!D165</f>
        <v>6B</v>
      </c>
      <c r="E167" s="145">
        <f>Data!AK43</f>
        <v>0.334645417437342</v>
      </c>
      <c r="F167" s="145" t="e">
        <f>Data!AM36</f>
        <v>#VALUE!</v>
      </c>
      <c r="G167" s="145">
        <f t="shared" si="19"/>
        <v>3.3464541743734202</v>
      </c>
      <c r="H167" s="145" t="e">
        <f t="shared" si="19"/>
        <v>#VALUE!</v>
      </c>
      <c r="I167" s="177" t="str">
        <f t="shared" si="25"/>
        <v>10-082</v>
      </c>
      <c r="J167" s="177" t="str">
        <f t="shared" si="25"/>
        <v>B</v>
      </c>
      <c r="K167" s="177" t="str">
        <f t="shared" si="25"/>
        <v>6B</v>
      </c>
      <c r="L167" s="145" t="e">
        <f t="shared" si="21"/>
        <v>#VALUE!</v>
      </c>
      <c r="M167" s="145" t="e">
        <f t="shared" si="22"/>
        <v>#VALUE!</v>
      </c>
      <c r="N167" s="145" t="e">
        <f t="shared" si="23"/>
        <v>#VALUE!</v>
      </c>
      <c r="O167" s="145" t="e">
        <f t="shared" si="24"/>
        <v>#VALUE!</v>
      </c>
      <c r="P167" s="606">
        <v>164</v>
      </c>
      <c r="Q167" s="610" t="str">
        <f>Report!A207</f>
        <v>U167</v>
      </c>
      <c r="R167" s="611">
        <f>Report!H207</f>
        <v>0</v>
      </c>
      <c r="S167" s="612" t="e">
        <f t="shared" si="20"/>
        <v>#VALUE!</v>
      </c>
    </row>
  </sheetData>
  <mergeCells count="2">
    <mergeCell ref="AF4:AI4"/>
    <mergeCell ref="B1:C1"/>
  </mergeCells>
  <conditionalFormatting sqref="S4:S167">
    <cfRule type="cellIs" dxfId="28" priority="1" operator="greaterThan">
      <formula>101</formula>
    </cfRule>
    <cfRule type="cellIs" dxfId="27" priority="2" operator="lessThan">
      <formula>99</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X419"/>
  <sheetViews>
    <sheetView zoomScaleNormal="100" zoomScalePageLayoutView="70" workbookViewId="0">
      <selection activeCell="N103" sqref="N103"/>
    </sheetView>
  </sheetViews>
  <sheetFormatPr defaultRowHeight="15" x14ac:dyDescent="0.25"/>
  <cols>
    <col min="2" max="2" width="10.85546875" customWidth="1"/>
    <col min="3" max="3" width="11.28515625" customWidth="1"/>
    <col min="4" max="4" width="14" customWidth="1"/>
    <col min="5" max="5" width="12.140625" customWidth="1"/>
    <col min="6" max="6" width="10.28515625" customWidth="1"/>
    <col min="7" max="7" width="11.28515625" customWidth="1"/>
    <col min="8" max="8" width="8.42578125" customWidth="1"/>
    <col min="9" max="9" width="6.140625" customWidth="1"/>
    <col min="11" max="11" width="14.85546875" bestFit="1" customWidth="1"/>
    <col min="13" max="13" width="19.7109375" customWidth="1"/>
    <col min="21" max="21" width="11.140625" customWidth="1"/>
    <col min="30" max="30" width="10.5703125" customWidth="1"/>
    <col min="36" max="36" width="5" customWidth="1"/>
    <col min="37" max="37" width="12.28515625" customWidth="1"/>
    <col min="40" max="40" width="12.85546875" customWidth="1"/>
    <col min="41" max="41" width="12.140625" customWidth="1"/>
    <col min="42" max="42" width="10.85546875" customWidth="1"/>
    <col min="43" max="43" width="10.5703125" customWidth="1"/>
  </cols>
  <sheetData>
    <row r="1" spans="1:50" s="122" customFormat="1" ht="23.25" x14ac:dyDescent="0.35">
      <c r="A1" s="552" t="s">
        <v>1382</v>
      </c>
      <c r="B1" s="553"/>
      <c r="C1" s="553"/>
      <c r="D1" s="553"/>
      <c r="E1" s="553"/>
      <c r="F1" s="553"/>
      <c r="G1" s="553"/>
      <c r="H1" s="553"/>
      <c r="I1" s="195"/>
      <c r="J1" s="195"/>
      <c r="K1" s="195"/>
      <c r="L1" s="195"/>
      <c r="M1" s="195"/>
      <c r="N1" s="195"/>
      <c r="O1" s="195"/>
      <c r="P1" s="195"/>
      <c r="Q1" s="195"/>
      <c r="R1" s="195"/>
      <c r="AA1" s="195"/>
      <c r="AB1" s="196"/>
      <c r="AC1" s="196"/>
      <c r="AD1" s="196"/>
      <c r="AE1" s="196"/>
      <c r="AF1" s="196"/>
      <c r="AG1" s="196"/>
      <c r="AH1" s="196"/>
      <c r="AI1" s="196"/>
      <c r="AJ1" s="196"/>
      <c r="AQ1" s="1"/>
      <c r="AR1" s="195"/>
      <c r="AS1" s="1"/>
      <c r="AT1" s="195"/>
      <c r="AU1" s="195"/>
      <c r="AV1" s="195"/>
      <c r="AW1" s="195"/>
      <c r="AX1" s="1"/>
    </row>
    <row r="2" spans="1:50" ht="5.25" customHeight="1" x14ac:dyDescent="0.25">
      <c r="A2" s="42"/>
      <c r="B2" s="42"/>
      <c r="C2" s="42"/>
      <c r="D2" s="42"/>
      <c r="E2" s="42"/>
      <c r="F2" s="42"/>
      <c r="G2" s="42"/>
      <c r="H2" s="42"/>
      <c r="AA2" s="1"/>
      <c r="AB2" s="122"/>
      <c r="AC2" s="122"/>
      <c r="AD2" s="122"/>
      <c r="AE2" s="122"/>
      <c r="AF2" s="122"/>
      <c r="AG2" s="122"/>
      <c r="AH2" s="122"/>
      <c r="AI2" s="122"/>
      <c r="AJ2" s="122"/>
      <c r="AQ2" s="1"/>
      <c r="AR2" s="1"/>
      <c r="AS2" s="1"/>
      <c r="AT2" s="1"/>
      <c r="AU2" s="1"/>
      <c r="AV2" s="1"/>
      <c r="AW2" s="1"/>
      <c r="AX2" s="1"/>
    </row>
    <row r="3" spans="1:50" s="122" customFormat="1" x14ac:dyDescent="0.25">
      <c r="A3" s="851" t="s">
        <v>1351</v>
      </c>
      <c r="B3" s="851"/>
      <c r="C3" s="537" t="str">
        <f>Data!B118</f>
        <v>PASS</v>
      </c>
      <c r="D3" s="857"/>
      <c r="E3" s="858"/>
      <c r="F3" s="858"/>
      <c r="G3" s="858"/>
      <c r="H3" s="858"/>
      <c r="AA3" s="1"/>
      <c r="AQ3" s="1"/>
      <c r="AR3" s="1"/>
      <c r="AS3" s="1"/>
      <c r="AT3" s="1"/>
      <c r="AU3" s="1"/>
      <c r="AV3" s="1"/>
      <c r="AW3" s="1"/>
      <c r="AX3" s="1"/>
    </row>
    <row r="4" spans="1:50" s="122" customFormat="1" ht="11.25" customHeight="1" x14ac:dyDescent="0.25">
      <c r="A4" s="535"/>
      <c r="B4" s="535"/>
      <c r="C4" s="536"/>
      <c r="D4" s="536"/>
      <c r="E4" s="536"/>
      <c r="F4" s="536"/>
      <c r="G4" s="536"/>
      <c r="H4" s="536"/>
      <c r="I4" s="25"/>
      <c r="AA4" s="1"/>
      <c r="AQ4" s="1"/>
      <c r="AR4" s="1"/>
      <c r="AS4" s="1"/>
      <c r="AT4" s="1"/>
      <c r="AU4" s="1"/>
      <c r="AV4" s="1"/>
      <c r="AW4" s="1"/>
      <c r="AX4" s="1"/>
    </row>
    <row r="5" spans="1:50" x14ac:dyDescent="0.25">
      <c r="A5" s="538" t="s">
        <v>609</v>
      </c>
      <c r="B5" s="538"/>
      <c r="C5" s="859" t="str">
        <f>Data!C1</f>
        <v>GDF-15</v>
      </c>
      <c r="D5" s="859"/>
      <c r="E5" s="859"/>
      <c r="F5" s="859"/>
      <c r="G5" s="859"/>
      <c r="H5" s="859"/>
      <c r="I5" s="122"/>
      <c r="AB5" s="122"/>
      <c r="AC5" s="122"/>
      <c r="AD5" s="122"/>
      <c r="AE5" s="122"/>
      <c r="AF5" s="122"/>
      <c r="AG5" s="122"/>
      <c r="AH5" s="122"/>
      <c r="AI5" s="122"/>
      <c r="AJ5" s="122"/>
      <c r="AQ5" s="1"/>
      <c r="AR5" s="1"/>
      <c r="AS5" s="1"/>
      <c r="AT5" s="1"/>
      <c r="AU5" s="1"/>
      <c r="AV5" s="1"/>
      <c r="AW5" s="1"/>
      <c r="AX5" s="1"/>
    </row>
    <row r="6" spans="1:50" s="122" customFormat="1" x14ac:dyDescent="0.25">
      <c r="A6" s="852" t="s">
        <v>1362</v>
      </c>
      <c r="B6" s="852"/>
      <c r="C6" s="846" t="str">
        <f>Data!C2</f>
        <v>Lot 55</v>
      </c>
      <c r="D6" s="847"/>
      <c r="E6" s="847"/>
      <c r="F6" s="847"/>
      <c r="G6" s="847"/>
      <c r="H6" s="848"/>
      <c r="AQ6" s="1"/>
      <c r="AR6" s="1"/>
      <c r="AS6" s="1"/>
      <c r="AT6" s="1"/>
      <c r="AU6" s="1"/>
      <c r="AV6" s="1"/>
      <c r="AW6" s="1"/>
      <c r="AX6" s="1"/>
    </row>
    <row r="7" spans="1:50" s="122" customFormat="1" x14ac:dyDescent="0.25">
      <c r="A7" s="852" t="s">
        <v>1363</v>
      </c>
      <c r="B7" s="852"/>
      <c r="C7" s="846" t="str">
        <f>Data!D2</f>
        <v>Lot 56</v>
      </c>
      <c r="D7" s="847"/>
      <c r="E7" s="847"/>
      <c r="F7" s="847"/>
      <c r="G7" s="847"/>
      <c r="H7" s="848"/>
      <c r="AQ7" s="1"/>
      <c r="AR7" s="1"/>
      <c r="AS7" s="1"/>
      <c r="AT7" s="1"/>
      <c r="AU7" s="1"/>
      <c r="AV7" s="1"/>
      <c r="AW7" s="1"/>
      <c r="AX7" s="1"/>
    </row>
    <row r="8" spans="1:50" x14ac:dyDescent="0.25">
      <c r="A8" s="852" t="s">
        <v>610</v>
      </c>
      <c r="B8" s="852"/>
      <c r="C8" s="836" t="str">
        <f>Data!F2</f>
        <v>232Aug2018 batch</v>
      </c>
      <c r="D8" s="837"/>
      <c r="E8" s="837"/>
      <c r="F8" s="837"/>
      <c r="G8" s="837"/>
      <c r="H8" s="838"/>
      <c r="I8" s="122"/>
      <c r="AB8" s="122"/>
      <c r="AC8" s="122"/>
      <c r="AD8" s="122"/>
      <c r="AE8" s="122"/>
      <c r="AF8" s="122"/>
      <c r="AG8" s="122"/>
      <c r="AH8" s="122"/>
      <c r="AI8" s="122"/>
      <c r="AJ8" s="122"/>
      <c r="AQ8" s="1"/>
      <c r="AR8" s="1"/>
      <c r="AS8" s="1"/>
      <c r="AT8" s="1"/>
      <c r="AU8" s="1"/>
      <c r="AV8" s="1"/>
      <c r="AW8" s="1"/>
      <c r="AX8" s="1"/>
    </row>
    <row r="9" spans="1:50" x14ac:dyDescent="0.25">
      <c r="A9" s="852" t="s">
        <v>919</v>
      </c>
      <c r="B9" s="852"/>
      <c r="C9" s="833" t="str">
        <f xml:space="preserve"> Internal!C4</f>
        <v>BioTEK µQuant B</v>
      </c>
      <c r="D9" s="834"/>
      <c r="E9" s="834"/>
      <c r="F9" s="834"/>
      <c r="G9" s="834"/>
      <c r="H9" s="835"/>
      <c r="I9" s="122"/>
      <c r="AB9" s="122"/>
      <c r="AC9" s="122"/>
      <c r="AD9" s="122"/>
      <c r="AE9" s="122"/>
      <c r="AF9" s="122"/>
      <c r="AG9" s="122"/>
      <c r="AH9" s="122"/>
      <c r="AI9" s="122"/>
      <c r="AJ9" s="122"/>
      <c r="AQ9" s="1"/>
      <c r="AR9" s="1"/>
      <c r="AS9" s="1"/>
      <c r="AT9" s="1"/>
      <c r="AU9" s="1"/>
      <c r="AV9" s="1"/>
      <c r="AW9" s="1"/>
      <c r="AX9" s="1"/>
    </row>
    <row r="10" spans="1:50" x14ac:dyDescent="0.25">
      <c r="A10" s="852" t="s">
        <v>1341</v>
      </c>
      <c r="B10" s="852"/>
      <c r="C10" s="860" t="str">
        <f xml:space="preserve"> TEXT(Imported_Rawdata!B7,"m/dd/yyyy ") &amp;TEXT(Imported_Rawdata!B8,"hh:mm:ss")</f>
        <v>8/22/2018 16:02:20</v>
      </c>
      <c r="D10" s="861"/>
      <c r="E10" s="861"/>
      <c r="F10" s="861"/>
      <c r="G10" s="861"/>
      <c r="H10" s="862"/>
      <c r="I10" s="122"/>
      <c r="AB10" s="122"/>
      <c r="AC10" s="122"/>
      <c r="AD10" s="122"/>
      <c r="AE10" s="122"/>
      <c r="AF10" s="122"/>
      <c r="AG10" s="122"/>
      <c r="AH10" s="122"/>
      <c r="AI10" s="122"/>
      <c r="AJ10" s="122"/>
      <c r="AQ10" s="1"/>
      <c r="AR10" s="1"/>
      <c r="AS10" s="1"/>
      <c r="AT10" s="1"/>
      <c r="AU10" s="1"/>
      <c r="AV10" s="1"/>
      <c r="AW10" s="1"/>
      <c r="AX10" s="1"/>
    </row>
    <row r="11" spans="1:50" s="122" customFormat="1" x14ac:dyDescent="0.25">
      <c r="A11" s="538" t="s">
        <v>1345</v>
      </c>
      <c r="B11" s="538"/>
      <c r="C11" s="853">
        <f ca="1">Data!I2</f>
        <v>43340.56172928241</v>
      </c>
      <c r="D11" s="854"/>
      <c r="E11" s="854"/>
      <c r="F11" s="854"/>
      <c r="G11" s="854"/>
      <c r="H11" s="855"/>
      <c r="AQ11" s="1"/>
      <c r="AR11" s="1"/>
      <c r="AS11" s="1"/>
      <c r="AT11" s="1"/>
      <c r="AU11" s="1"/>
      <c r="AV11" s="1"/>
      <c r="AW11" s="1"/>
      <c r="AX11" s="1"/>
    </row>
    <row r="12" spans="1:50" s="122" customFormat="1" x14ac:dyDescent="0.25">
      <c r="A12" s="828" t="s">
        <v>1344</v>
      </c>
      <c r="B12" s="829"/>
      <c r="C12" s="836">
        <f>Data!C3</f>
        <v>164</v>
      </c>
      <c r="D12" s="837"/>
      <c r="E12" s="837"/>
      <c r="F12" s="837"/>
      <c r="G12" s="837"/>
      <c r="H12" s="838"/>
      <c r="AQ12" s="1"/>
      <c r="AR12" s="1"/>
      <c r="AS12" s="1"/>
      <c r="AT12" s="1"/>
      <c r="AU12" s="1"/>
      <c r="AV12" s="1"/>
      <c r="AW12" s="1"/>
      <c r="AX12" s="1"/>
    </row>
    <row r="13" spans="1:50" x14ac:dyDescent="0.25">
      <c r="A13" s="828" t="s">
        <v>1353</v>
      </c>
      <c r="B13" s="829"/>
      <c r="C13" s="836">
        <f>Data!B8</f>
        <v>0</v>
      </c>
      <c r="D13" s="837"/>
      <c r="E13" s="837"/>
      <c r="F13" s="837"/>
      <c r="G13" s="837"/>
      <c r="H13" s="838"/>
      <c r="I13" s="122"/>
      <c r="AB13" s="122"/>
      <c r="AC13" s="122"/>
      <c r="AD13" s="122"/>
      <c r="AE13" s="122"/>
      <c r="AF13" s="122"/>
      <c r="AG13" s="122"/>
      <c r="AH13" s="122"/>
      <c r="AI13" s="122"/>
      <c r="AJ13" s="122"/>
      <c r="AQ13" s="1"/>
      <c r="AR13" s="1"/>
      <c r="AS13" s="1"/>
      <c r="AT13" s="1"/>
      <c r="AU13" s="1"/>
      <c r="AV13" s="1"/>
      <c r="AW13" s="1"/>
      <c r="AX13" s="1"/>
    </row>
    <row r="14" spans="1:50" x14ac:dyDescent="0.25">
      <c r="A14" s="828" t="s">
        <v>612</v>
      </c>
      <c r="B14" s="829"/>
      <c r="C14" s="836" t="str">
        <f>Data!L1</f>
        <v>BM</v>
      </c>
      <c r="D14" s="837"/>
      <c r="E14" s="837"/>
      <c r="F14" s="837"/>
      <c r="G14" s="837"/>
      <c r="H14" s="838"/>
      <c r="I14" s="122"/>
      <c r="AB14" s="122"/>
      <c r="AC14" s="122"/>
      <c r="AD14" s="122"/>
      <c r="AE14" s="122"/>
      <c r="AF14" s="122"/>
      <c r="AG14" s="122"/>
      <c r="AH14" s="122"/>
      <c r="AI14" s="122"/>
      <c r="AJ14" s="122"/>
      <c r="AQ14" s="1"/>
      <c r="AR14" s="1"/>
      <c r="AS14" s="1"/>
      <c r="AT14" s="1"/>
      <c r="AU14" s="1"/>
      <c r="AV14" s="1"/>
      <c r="AW14" s="1"/>
      <c r="AX14" s="1"/>
    </row>
    <row r="15" spans="1:50" x14ac:dyDescent="0.25">
      <c r="A15" s="538" t="s">
        <v>617</v>
      </c>
      <c r="B15" s="538"/>
      <c r="C15" s="836">
        <f>Data!C5</f>
        <v>10</v>
      </c>
      <c r="D15" s="837"/>
      <c r="E15" s="837"/>
      <c r="F15" s="837"/>
      <c r="G15" s="837"/>
      <c r="H15" s="838"/>
      <c r="I15" s="122"/>
      <c r="K15" s="198"/>
      <c r="AB15" s="122"/>
      <c r="AC15" s="122"/>
      <c r="AD15" s="122"/>
      <c r="AE15" s="122"/>
      <c r="AF15" s="122"/>
      <c r="AG15" s="122"/>
      <c r="AH15" s="122"/>
      <c r="AI15" s="122"/>
      <c r="AJ15" s="122"/>
      <c r="AQ15" s="1"/>
      <c r="AR15" s="1"/>
      <c r="AS15" s="1"/>
      <c r="AT15" s="1"/>
      <c r="AU15" s="1"/>
      <c r="AV15" s="1"/>
      <c r="AW15" s="1"/>
      <c r="AX15" s="1"/>
    </row>
    <row r="16" spans="1:50" x14ac:dyDescent="0.25">
      <c r="A16" s="538" t="s">
        <v>619</v>
      </c>
      <c r="B16" s="538"/>
      <c r="C16" s="830" t="str">
        <f>Data!C6</f>
        <v>I:\COPD\BIO-TEK Gen5 Uquant 384 - B\22Aug2018 raw data set 1 BM.xlsx</v>
      </c>
      <c r="D16" s="831"/>
      <c r="E16" s="831"/>
      <c r="F16" s="831"/>
      <c r="G16" s="831"/>
      <c r="H16" s="832"/>
      <c r="I16" s="122"/>
      <c r="AB16" s="122"/>
      <c r="AC16" s="122"/>
      <c r="AD16" s="122"/>
      <c r="AE16" s="122"/>
      <c r="AF16" s="122"/>
      <c r="AG16" s="122"/>
      <c r="AH16" s="122"/>
      <c r="AI16" s="122"/>
      <c r="AJ16" s="122"/>
      <c r="AQ16" s="1"/>
      <c r="AR16" s="1"/>
      <c r="AS16" s="1"/>
      <c r="AT16" s="1"/>
      <c r="AU16" s="1"/>
      <c r="AV16" s="1"/>
      <c r="AW16" s="1"/>
      <c r="AX16" s="1"/>
    </row>
    <row r="17" spans="1:50" x14ac:dyDescent="0.25">
      <c r="A17" s="538" t="s">
        <v>1346</v>
      </c>
      <c r="B17" s="538"/>
      <c r="C17" s="833" t="str">
        <f xml:space="preserve"> scratch!A5</f>
        <v>384well_MASTER_AnalysisWorksheet_SB_v6_48columns_v19.xlsm</v>
      </c>
      <c r="D17" s="834"/>
      <c r="E17" s="834"/>
      <c r="F17" s="834"/>
      <c r="G17" s="834"/>
      <c r="H17" s="835"/>
      <c r="I17" s="122"/>
      <c r="AB17" s="122"/>
      <c r="AC17" s="122"/>
      <c r="AD17" s="122"/>
      <c r="AE17" s="122"/>
      <c r="AF17" s="122"/>
      <c r="AG17" s="122"/>
      <c r="AH17" s="122"/>
      <c r="AI17" s="122"/>
      <c r="AJ17" s="122"/>
      <c r="AQ17" s="1"/>
      <c r="AR17" s="1"/>
      <c r="AS17" s="1"/>
      <c r="AT17" s="1"/>
      <c r="AU17" s="1"/>
      <c r="AV17" s="1"/>
      <c r="AW17" s="1"/>
      <c r="AX17" s="1"/>
    </row>
    <row r="18" spans="1:50" x14ac:dyDescent="0.25">
      <c r="A18" s="42"/>
      <c r="B18" s="42"/>
      <c r="C18" s="42"/>
      <c r="D18" s="42"/>
      <c r="E18" s="42"/>
      <c r="F18" s="42"/>
      <c r="G18" s="42"/>
      <c r="H18" s="42"/>
      <c r="I18" s="122"/>
      <c r="AB18" s="122"/>
      <c r="AC18" s="122"/>
      <c r="AD18" s="122"/>
      <c r="AE18" s="122"/>
      <c r="AF18" s="122"/>
      <c r="AG18" s="122"/>
      <c r="AH18" s="122"/>
      <c r="AI18" s="122"/>
      <c r="AJ18" s="122"/>
    </row>
    <row r="19" spans="1:50" s="122" customFormat="1" x14ac:dyDescent="0.25">
      <c r="A19" s="42"/>
      <c r="B19" s="42"/>
      <c r="C19" s="42"/>
      <c r="D19" s="42"/>
      <c r="E19" s="42"/>
      <c r="F19" s="42"/>
      <c r="G19" s="42"/>
      <c r="H19" s="42"/>
    </row>
    <row r="20" spans="1:50" s="122" customFormat="1" x14ac:dyDescent="0.25">
      <c r="A20" s="42"/>
      <c r="B20" s="42"/>
      <c r="C20" s="42"/>
      <c r="D20" s="42"/>
      <c r="E20" s="42"/>
      <c r="F20" s="42"/>
      <c r="G20" s="42"/>
      <c r="H20" s="42"/>
    </row>
    <row r="21" spans="1:50" s="122" customFormat="1" ht="18.75" x14ac:dyDescent="0.3">
      <c r="A21" s="555" t="s">
        <v>1380</v>
      </c>
      <c r="B21" s="42"/>
      <c r="C21" s="42"/>
      <c r="D21" s="42"/>
      <c r="E21" s="42"/>
      <c r="F21" s="42"/>
      <c r="G21" s="42"/>
      <c r="H21" s="42"/>
    </row>
    <row r="22" spans="1:50" s="122" customFormat="1" ht="6" customHeight="1" x14ac:dyDescent="0.25">
      <c r="A22" s="42"/>
      <c r="B22" s="42"/>
      <c r="C22" s="42"/>
      <c r="D22" s="42"/>
      <c r="E22" s="42"/>
      <c r="F22" s="42"/>
      <c r="G22" s="42"/>
      <c r="H22" s="42"/>
    </row>
    <row r="23" spans="1:50" s="122" customFormat="1" x14ac:dyDescent="0.25">
      <c r="A23" s="600" t="s">
        <v>1352</v>
      </c>
      <c r="B23" s="600" t="s">
        <v>1353</v>
      </c>
      <c r="C23" s="843" t="s">
        <v>1354</v>
      </c>
      <c r="D23" s="844"/>
      <c r="E23" s="844"/>
      <c r="F23" s="844"/>
      <c r="G23" s="845"/>
      <c r="H23" s="42"/>
    </row>
    <row r="24" spans="1:50" s="122" customFormat="1" x14ac:dyDescent="0.25">
      <c r="A24" s="539" t="s">
        <v>590</v>
      </c>
      <c r="B24" s="623" t="str">
        <f>Data!B113</f>
        <v>pass</v>
      </c>
      <c r="C24" s="846" t="str">
        <f>IF(B24="pass","LLOQ lower than S6", "LLOQ higher than S6, ")</f>
        <v>LLOQ lower than S6</v>
      </c>
      <c r="D24" s="847"/>
      <c r="E24" s="847"/>
      <c r="F24" s="847"/>
      <c r="G24" s="848"/>
      <c r="H24" s="42"/>
    </row>
    <row r="25" spans="1:50" s="122" customFormat="1" x14ac:dyDescent="0.25">
      <c r="A25" s="539" t="s">
        <v>591</v>
      </c>
      <c r="B25" s="623" t="str">
        <f>Data!B114</f>
        <v>pass</v>
      </c>
      <c r="C25" s="846" t="str">
        <f>IF(B25="pass","ULOQ higher than S2", "ULOQ lower than S2, ")</f>
        <v>ULOQ higher than S2</v>
      </c>
      <c r="D25" s="847"/>
      <c r="E25" s="847"/>
      <c r="F25" s="847"/>
      <c r="G25" s="848"/>
      <c r="H25" s="42"/>
    </row>
    <row r="26" spans="1:50" s="122" customFormat="1" x14ac:dyDescent="0.25">
      <c r="A26" s="539" t="s">
        <v>621</v>
      </c>
      <c r="B26" s="623" t="str">
        <f>Data!B115</f>
        <v>pass</v>
      </c>
      <c r="C26" s="846" t="str">
        <f>IF(B26="pass","Process Control recovery within 80/120", "Process Control recovery outside 80/120, ")</f>
        <v>Process Control recovery within 80/120</v>
      </c>
      <c r="D26" s="847"/>
      <c r="E26" s="847"/>
      <c r="F26" s="847"/>
      <c r="G26" s="848"/>
      <c r="H26" s="42"/>
    </row>
    <row r="27" spans="1:50" s="122" customFormat="1" x14ac:dyDescent="0.25">
      <c r="A27" s="539" t="s">
        <v>607</v>
      </c>
      <c r="B27" s="623" t="str">
        <f>Data!B116</f>
        <v>pass</v>
      </c>
      <c r="C27" s="846" t="str">
        <f>IF(B27="pass","%CV &lt; 20%", "%CV &gt; 20%, ")</f>
        <v>%CV &lt; 20%</v>
      </c>
      <c r="D27" s="847"/>
      <c r="E27" s="847"/>
      <c r="F27" s="847"/>
      <c r="G27" s="848"/>
      <c r="H27" s="42"/>
    </row>
    <row r="28" spans="1:50" s="122" customFormat="1" x14ac:dyDescent="0.25">
      <c r="A28" s="42"/>
      <c r="B28" s="42"/>
      <c r="C28" s="42"/>
      <c r="D28" s="42"/>
      <c r="E28" s="42"/>
      <c r="F28" s="42"/>
      <c r="G28" s="42"/>
      <c r="H28" s="42"/>
    </row>
    <row r="29" spans="1:50" s="122" customFormat="1" x14ac:dyDescent="0.25">
      <c r="A29" s="42"/>
      <c r="B29" s="42"/>
      <c r="C29" s="42"/>
      <c r="D29" s="42"/>
      <c r="E29" s="42"/>
      <c r="F29" s="42"/>
      <c r="G29" s="42"/>
      <c r="H29" s="42"/>
    </row>
    <row r="30" spans="1:50" s="122" customFormat="1" x14ac:dyDescent="0.25">
      <c r="A30" s="42"/>
      <c r="B30" s="42"/>
      <c r="C30" s="42"/>
      <c r="D30" s="42"/>
      <c r="E30" s="42"/>
      <c r="F30" s="42"/>
      <c r="G30" s="42"/>
      <c r="H30" s="42"/>
    </row>
    <row r="31" spans="1:50" s="122" customFormat="1" ht="18.75" x14ac:dyDescent="0.3">
      <c r="A31" s="555" t="s">
        <v>1381</v>
      </c>
      <c r="B31" s="42"/>
      <c r="C31" s="42"/>
      <c r="D31" s="42"/>
      <c r="E31" s="42"/>
      <c r="F31" s="42"/>
      <c r="G31" s="42"/>
      <c r="H31" s="42"/>
    </row>
    <row r="32" spans="1:50" s="122" customFormat="1" ht="3" customHeight="1" x14ac:dyDescent="0.25">
      <c r="A32" s="42"/>
      <c r="B32" s="42"/>
      <c r="C32" s="42"/>
      <c r="D32" s="42"/>
      <c r="E32" s="42"/>
      <c r="F32" s="42"/>
      <c r="G32" s="42"/>
      <c r="H32" s="42"/>
    </row>
    <row r="33" spans="1:36" x14ac:dyDescent="0.25">
      <c r="A33" s="856" t="s">
        <v>1370</v>
      </c>
      <c r="B33" s="856"/>
      <c r="C33" s="856"/>
      <c r="D33" s="856"/>
      <c r="E33" s="856"/>
      <c r="F33" s="42"/>
      <c r="G33" s="42"/>
      <c r="H33" s="42"/>
      <c r="I33" s="122"/>
      <c r="AB33" s="122"/>
      <c r="AC33" s="122"/>
      <c r="AD33" s="122"/>
      <c r="AE33" s="122"/>
      <c r="AF33" s="122"/>
      <c r="AG33" s="122"/>
      <c r="AH33" s="122"/>
      <c r="AI33" s="122"/>
      <c r="AJ33" s="122"/>
    </row>
    <row r="34" spans="1:36" x14ac:dyDescent="0.25">
      <c r="A34" s="600" t="s">
        <v>615</v>
      </c>
      <c r="B34" s="600" t="s">
        <v>676</v>
      </c>
      <c r="C34" s="600" t="s">
        <v>1367</v>
      </c>
      <c r="D34" s="600" t="s">
        <v>1368</v>
      </c>
      <c r="E34" s="600" t="s">
        <v>1371</v>
      </c>
      <c r="F34" s="42"/>
      <c r="G34" s="42"/>
      <c r="H34" s="42"/>
      <c r="AB34" s="122"/>
      <c r="AC34" s="122"/>
      <c r="AD34" s="122"/>
      <c r="AE34" s="122"/>
      <c r="AF34" s="122"/>
      <c r="AG34" s="122"/>
      <c r="AH34" s="122"/>
      <c r="AI34" s="122"/>
      <c r="AJ34" s="122"/>
    </row>
    <row r="35" spans="1:36" x14ac:dyDescent="0.25">
      <c r="A35" s="539" t="s">
        <v>697</v>
      </c>
      <c r="B35" s="540">
        <f>Data!L4</f>
        <v>12</v>
      </c>
      <c r="C35" s="596">
        <f>Data!D100</f>
        <v>12.264912161636687</v>
      </c>
      <c r="D35" s="598">
        <f>IFERROR(AVERAGE(Data!G100:G107),"NaN")</f>
        <v>1.0220760134697238</v>
      </c>
      <c r="E35" s="598">
        <f>Data!F100</f>
        <v>2.9802084265902296E-2</v>
      </c>
      <c r="F35" s="42"/>
      <c r="G35" s="42"/>
      <c r="H35" s="42"/>
      <c r="J35" s="26"/>
      <c r="K35" s="26"/>
      <c r="L35" s="26"/>
      <c r="M35" s="26"/>
      <c r="N35" s="26"/>
      <c r="O35" s="26"/>
      <c r="P35" s="26"/>
      <c r="Q35" s="26"/>
      <c r="AB35" s="122"/>
      <c r="AC35" s="122"/>
      <c r="AD35" s="122"/>
      <c r="AE35" s="122"/>
      <c r="AF35" s="122"/>
      <c r="AG35" s="122"/>
      <c r="AH35" s="122"/>
      <c r="AI35" s="122"/>
      <c r="AJ35" s="122"/>
    </row>
    <row r="36" spans="1:36" s="122" customFormat="1" x14ac:dyDescent="0.25">
      <c r="A36" s="539" t="s">
        <v>699</v>
      </c>
      <c r="B36" s="540">
        <f>Data!L5</f>
        <v>300</v>
      </c>
      <c r="C36" s="596">
        <f>Data!D92</f>
        <v>318.01720578415024</v>
      </c>
      <c r="D36" s="598">
        <f>AVERAGE(Data!G92:G99)</f>
        <v>1.0600573526138342</v>
      </c>
      <c r="E36" s="598">
        <f>Data!F92</f>
        <v>3.2259231935829705E-2</v>
      </c>
      <c r="F36" s="42"/>
      <c r="G36" s="42"/>
      <c r="H36" s="42"/>
      <c r="J36" s="26"/>
      <c r="K36" s="26"/>
      <c r="L36" s="26"/>
      <c r="M36" s="26"/>
      <c r="N36" s="26"/>
      <c r="O36" s="26"/>
      <c r="P36" s="26"/>
      <c r="Q36" s="26"/>
    </row>
    <row r="37" spans="1:36" s="122" customFormat="1" x14ac:dyDescent="0.25">
      <c r="A37" s="539" t="s">
        <v>621</v>
      </c>
      <c r="B37" s="540">
        <f>Data!L6</f>
        <v>60</v>
      </c>
      <c r="C37" s="596">
        <f>Data!B71</f>
        <v>53.776716416420612</v>
      </c>
      <c r="D37" s="598">
        <f>Data!C71</f>
        <v>0.89627860694034356</v>
      </c>
      <c r="E37" s="598">
        <f>Data!B73</f>
        <v>4.4638582165145747E-2</v>
      </c>
      <c r="F37" s="42"/>
      <c r="G37" s="42"/>
      <c r="H37" s="42"/>
      <c r="J37" s="26"/>
      <c r="K37" s="26"/>
      <c r="L37" s="26"/>
      <c r="M37" s="26"/>
      <c r="N37" s="26"/>
      <c r="O37" s="26"/>
      <c r="P37" s="26"/>
      <c r="Q37" s="26"/>
    </row>
    <row r="38" spans="1:36" s="122" customFormat="1" x14ac:dyDescent="0.25">
      <c r="A38" s="42"/>
      <c r="B38" s="42"/>
      <c r="C38" s="42"/>
      <c r="D38" s="42"/>
      <c r="E38" s="42"/>
      <c r="F38" s="42"/>
      <c r="G38" s="42"/>
      <c r="H38" s="42"/>
      <c r="J38" s="26"/>
      <c r="K38" s="26"/>
      <c r="L38" s="26"/>
      <c r="M38" s="26"/>
      <c r="N38" s="26"/>
      <c r="O38" s="26"/>
      <c r="P38" s="26"/>
      <c r="Q38" s="26"/>
    </row>
    <row r="39" spans="1:36" s="122" customFormat="1" x14ac:dyDescent="0.25">
      <c r="A39" s="841" t="s">
        <v>617</v>
      </c>
      <c r="B39" s="842"/>
      <c r="C39" s="621">
        <f>Data!C5</f>
        <v>10</v>
      </c>
      <c r="D39" s="42"/>
      <c r="E39" s="554"/>
      <c r="F39" s="554"/>
      <c r="G39" s="42"/>
      <c r="H39" s="42"/>
      <c r="J39" s="26"/>
      <c r="K39" s="26"/>
      <c r="L39" s="26"/>
      <c r="M39" s="26"/>
      <c r="N39" s="26"/>
      <c r="O39" s="26"/>
      <c r="P39" s="26"/>
      <c r="Q39" s="26"/>
    </row>
    <row r="40" spans="1:36" s="122" customFormat="1" ht="22.5" x14ac:dyDescent="0.25">
      <c r="A40" s="600"/>
      <c r="B40" s="617" t="s">
        <v>687</v>
      </c>
      <c r="C40" s="620" t="s">
        <v>703</v>
      </c>
      <c r="D40" s="617" t="s">
        <v>1336</v>
      </c>
      <c r="E40" s="42"/>
      <c r="F40" s="42"/>
      <c r="G40" s="42"/>
      <c r="H40" s="42"/>
      <c r="J40" s="26"/>
      <c r="K40" s="26"/>
      <c r="L40" s="26"/>
      <c r="M40" s="26"/>
      <c r="N40" s="26"/>
      <c r="O40" s="26"/>
      <c r="P40" s="26"/>
      <c r="Q40" s="26"/>
    </row>
    <row r="41" spans="1:36" s="122" customFormat="1" x14ac:dyDescent="0.25">
      <c r="A41" s="541" t="s">
        <v>590</v>
      </c>
      <c r="B41" s="589">
        <f>Data!I81</f>
        <v>3.8542238048596777</v>
      </c>
      <c r="C41" s="590">
        <f>Data!J81</f>
        <v>38.542238048596779</v>
      </c>
      <c r="D41" s="619" t="str">
        <f>Data!K81</f>
        <v>S6</v>
      </c>
      <c r="E41" s="42"/>
      <c r="F41" s="42"/>
      <c r="G41" s="42"/>
      <c r="H41" s="42"/>
      <c r="J41" s="26"/>
      <c r="K41" s="26"/>
      <c r="L41" s="26"/>
      <c r="M41" s="26"/>
      <c r="N41" s="26"/>
      <c r="O41" s="26"/>
      <c r="P41" s="26"/>
      <c r="Q41" s="26"/>
    </row>
    <row r="42" spans="1:36" s="122" customFormat="1" x14ac:dyDescent="0.25">
      <c r="A42" s="541" t="s">
        <v>591</v>
      </c>
      <c r="B42" s="589">
        <f>Data!I82</f>
        <v>967.85773922502312</v>
      </c>
      <c r="C42" s="590">
        <f>Data!J82</f>
        <v>9678.5773922502303</v>
      </c>
      <c r="D42" s="618" t="str">
        <f>Data!K82</f>
        <v>S1</v>
      </c>
      <c r="E42" s="42"/>
      <c r="F42" s="42"/>
      <c r="G42" s="42"/>
      <c r="H42" s="42"/>
      <c r="J42" s="26"/>
      <c r="K42" s="26"/>
      <c r="L42" s="26"/>
      <c r="M42" s="26"/>
      <c r="N42" s="26"/>
      <c r="O42" s="26"/>
      <c r="P42" s="26"/>
      <c r="Q42" s="26"/>
    </row>
    <row r="43" spans="1:36" s="122" customFormat="1" x14ac:dyDescent="0.25">
      <c r="A43" s="42"/>
      <c r="B43" s="42"/>
      <c r="C43" s="42"/>
      <c r="D43" s="42"/>
      <c r="E43" s="42"/>
      <c r="F43" s="42"/>
      <c r="G43" s="42"/>
      <c r="H43" s="42"/>
      <c r="J43" s="26"/>
      <c r="K43" s="26"/>
      <c r="L43" s="26"/>
      <c r="M43" s="26"/>
      <c r="N43" s="26"/>
      <c r="O43" s="26"/>
      <c r="P43" s="26"/>
      <c r="Q43" s="26"/>
    </row>
    <row r="44" spans="1:36" s="122" customFormat="1" x14ac:dyDescent="0.25">
      <c r="A44" s="42"/>
      <c r="B44" s="42"/>
      <c r="C44" s="42"/>
      <c r="D44" s="42"/>
      <c r="E44" s="42"/>
      <c r="F44" s="42"/>
      <c r="G44" s="42"/>
      <c r="H44" s="42"/>
      <c r="J44" s="26"/>
      <c r="K44" s="26"/>
      <c r="L44" s="26"/>
      <c r="M44" s="26"/>
      <c r="N44" s="26"/>
      <c r="O44" s="26"/>
      <c r="P44" s="26"/>
      <c r="Q44" s="26"/>
    </row>
    <row r="45" spans="1:36" s="122" customFormat="1" x14ac:dyDescent="0.25">
      <c r="A45" s="42"/>
      <c r="B45" s="42"/>
      <c r="C45" s="42"/>
      <c r="D45" s="42"/>
      <c r="E45" s="42"/>
      <c r="F45" s="42"/>
      <c r="G45" s="42"/>
      <c r="H45" s="42"/>
      <c r="J45" s="26"/>
      <c r="K45" s="26"/>
      <c r="L45" s="26"/>
      <c r="M45" s="26"/>
      <c r="N45" s="26"/>
      <c r="O45" s="26"/>
      <c r="P45" s="26"/>
      <c r="Q45" s="26"/>
    </row>
    <row r="46" spans="1:36" s="122" customFormat="1" x14ac:dyDescent="0.25">
      <c r="A46" s="42"/>
      <c r="B46" s="42"/>
      <c r="C46" s="42"/>
      <c r="D46" s="42"/>
      <c r="E46" s="42"/>
      <c r="F46" s="42"/>
      <c r="G46" s="42"/>
      <c r="H46" s="42"/>
      <c r="J46" s="26"/>
      <c r="K46" s="26"/>
      <c r="L46" s="26"/>
      <c r="M46" s="26"/>
      <c r="N46" s="26"/>
      <c r="O46" s="26"/>
      <c r="P46" s="26"/>
      <c r="Q46" s="26"/>
    </row>
    <row r="47" spans="1:36" s="122" customFormat="1" x14ac:dyDescent="0.25">
      <c r="A47" s="42"/>
      <c r="B47" s="42"/>
      <c r="C47" s="42"/>
      <c r="D47" s="42"/>
      <c r="E47" s="42"/>
      <c r="F47" s="42"/>
      <c r="G47" s="42"/>
      <c r="H47" s="42"/>
      <c r="J47" s="26"/>
      <c r="K47" s="26"/>
      <c r="L47" s="26"/>
      <c r="M47" s="26"/>
      <c r="N47" s="26"/>
      <c r="O47" s="26"/>
      <c r="P47" s="26"/>
      <c r="Q47" s="26"/>
    </row>
    <row r="48" spans="1:36" s="122" customFormat="1" x14ac:dyDescent="0.25">
      <c r="A48" s="42"/>
      <c r="B48" s="42"/>
      <c r="C48" s="42"/>
      <c r="D48" s="42"/>
      <c r="E48" s="42"/>
      <c r="F48" s="42"/>
      <c r="G48" s="42"/>
      <c r="H48" s="42"/>
      <c r="J48" s="26"/>
      <c r="K48" s="26"/>
      <c r="L48" s="26"/>
      <c r="M48" s="26"/>
      <c r="N48" s="26"/>
      <c r="O48" s="26"/>
      <c r="P48" s="26"/>
      <c r="Q48" s="26"/>
    </row>
    <row r="49" spans="1:17" s="122" customFormat="1" ht="18.75" x14ac:dyDescent="0.3">
      <c r="A49" s="555" t="s">
        <v>1348</v>
      </c>
      <c r="B49" s="42"/>
      <c r="C49" s="42"/>
      <c r="D49" s="42"/>
      <c r="E49" s="42"/>
      <c r="F49" s="42"/>
      <c r="G49" s="42"/>
      <c r="H49" s="42"/>
      <c r="J49" s="26"/>
      <c r="K49" s="26"/>
      <c r="L49" s="26"/>
      <c r="M49" s="26"/>
      <c r="N49" s="26"/>
      <c r="O49" s="26"/>
      <c r="P49" s="26"/>
      <c r="Q49" s="26"/>
    </row>
    <row r="50" spans="1:17" s="122" customFormat="1" ht="8.25" customHeight="1" x14ac:dyDescent="0.25">
      <c r="A50" s="601"/>
      <c r="B50" s="601"/>
      <c r="C50" s="42"/>
      <c r="D50" s="42"/>
      <c r="E50" s="42"/>
      <c r="F50" s="42"/>
      <c r="G50" s="42"/>
      <c r="H50" s="42"/>
      <c r="J50" s="26"/>
      <c r="K50" s="26"/>
      <c r="L50" s="26"/>
      <c r="M50" s="26"/>
      <c r="N50" s="26"/>
      <c r="O50" s="26"/>
      <c r="P50" s="26"/>
      <c r="Q50" s="26"/>
    </row>
    <row r="51" spans="1:17" s="122" customFormat="1" x14ac:dyDescent="0.25">
      <c r="A51" s="544" t="s">
        <v>1369</v>
      </c>
      <c r="B51" s="622">
        <f>Data!I6</f>
        <v>3</v>
      </c>
      <c r="C51" s="42"/>
      <c r="D51" s="42"/>
      <c r="E51" s="42"/>
      <c r="F51" s="42"/>
      <c r="G51" s="42"/>
      <c r="H51" s="42"/>
      <c r="J51" s="26"/>
      <c r="K51" s="26"/>
      <c r="L51" s="26"/>
      <c r="M51" s="26"/>
      <c r="N51" s="26"/>
      <c r="O51" s="26"/>
      <c r="P51" s="26"/>
      <c r="Q51" s="26"/>
    </row>
    <row r="52" spans="1:17" s="122" customFormat="1" x14ac:dyDescent="0.25">
      <c r="A52" s="551" t="s">
        <v>40</v>
      </c>
      <c r="B52" s="551" t="str">
        <f>Data!I4</f>
        <v>pg/mL</v>
      </c>
      <c r="C52" s="551" t="s">
        <v>673</v>
      </c>
      <c r="D52" s="551" t="s">
        <v>661</v>
      </c>
      <c r="E52" s="551" t="s">
        <v>607</v>
      </c>
      <c r="F52" s="551" t="s">
        <v>674</v>
      </c>
      <c r="G52" s="42"/>
      <c r="H52" s="42"/>
      <c r="J52" s="26"/>
      <c r="K52" s="26"/>
      <c r="L52" s="26"/>
      <c r="M52" s="26"/>
      <c r="N52" s="26"/>
      <c r="O52" s="26"/>
      <c r="P52" s="26"/>
      <c r="Q52" s="26"/>
    </row>
    <row r="53" spans="1:17" s="122" customFormat="1" x14ac:dyDescent="0.25">
      <c r="A53" s="541" t="s">
        <v>29</v>
      </c>
      <c r="B53" s="542">
        <f>Data!B78</f>
        <v>1000</v>
      </c>
      <c r="C53" s="543">
        <f>Data!C78</f>
        <v>967.85773922502312</v>
      </c>
      <c r="D53" s="252">
        <f>Data!D78</f>
        <v>69.152791600711751</v>
      </c>
      <c r="E53" s="252">
        <f>Data!E78</f>
        <v>7.1449334750459643</v>
      </c>
      <c r="F53" s="252">
        <f>(C53/B53)*100</f>
        <v>96.785773922502315</v>
      </c>
      <c r="G53" s="42"/>
      <c r="H53" s="42"/>
      <c r="J53" s="26"/>
      <c r="K53" s="26"/>
      <c r="L53" s="26"/>
      <c r="M53" s="26"/>
      <c r="N53" s="26"/>
      <c r="O53" s="26"/>
      <c r="P53" s="26"/>
      <c r="Q53" s="26"/>
    </row>
    <row r="54" spans="1:17" s="122" customFormat="1" x14ac:dyDescent="0.25">
      <c r="A54" s="541" t="s">
        <v>30</v>
      </c>
      <c r="B54" s="542">
        <f>Data!B79</f>
        <v>333.33333333333331</v>
      </c>
      <c r="C54" s="543">
        <f>Data!C79</f>
        <v>337.56150250653508</v>
      </c>
      <c r="D54" s="252">
        <f>Data!D79</f>
        <v>10.746839395443343</v>
      </c>
      <c r="E54" s="252">
        <f>Data!E79</f>
        <v>3.1836685509584397</v>
      </c>
      <c r="F54" s="252">
        <f t="shared" ref="F54:F59" si="0">(C54/B54)*100</f>
        <v>101.26845075196054</v>
      </c>
      <c r="G54" s="42"/>
      <c r="H54" s="42"/>
      <c r="J54" s="26"/>
      <c r="K54" s="26"/>
      <c r="L54" s="26"/>
      <c r="M54" s="26"/>
      <c r="N54" s="26"/>
      <c r="O54" s="26"/>
      <c r="P54" s="26"/>
      <c r="Q54" s="26"/>
    </row>
    <row r="55" spans="1:17" s="122" customFormat="1" x14ac:dyDescent="0.25">
      <c r="A55" s="541" t="s">
        <v>31</v>
      </c>
      <c r="B55" s="542">
        <f>Data!B80</f>
        <v>111.1111111111111</v>
      </c>
      <c r="C55" s="543">
        <f>Data!C80</f>
        <v>108.30678154744275</v>
      </c>
      <c r="D55" s="252">
        <f>Data!D80</f>
        <v>2.5325732281303299</v>
      </c>
      <c r="E55" s="252">
        <f>Data!E80</f>
        <v>2.3383330128972211</v>
      </c>
      <c r="F55" s="252">
        <f t="shared" si="0"/>
        <v>97.476103392698491</v>
      </c>
      <c r="G55" s="42"/>
      <c r="H55" s="42"/>
      <c r="J55" s="26"/>
      <c r="K55" s="26"/>
      <c r="L55" s="26"/>
      <c r="M55" s="26"/>
      <c r="N55" s="26"/>
      <c r="O55" s="26"/>
      <c r="P55" s="26"/>
      <c r="Q55" s="26"/>
    </row>
    <row r="56" spans="1:17" s="122" customFormat="1" x14ac:dyDescent="0.25">
      <c r="A56" s="541" t="s">
        <v>32</v>
      </c>
      <c r="B56" s="542">
        <f>Data!B81</f>
        <v>37.037037037037031</v>
      </c>
      <c r="C56" s="543">
        <f>Data!C81</f>
        <v>38.062892957603324</v>
      </c>
      <c r="D56" s="252">
        <f>Data!D81</f>
        <v>1.2180270347279931</v>
      </c>
      <c r="E56" s="252">
        <f>Data!E81</f>
        <v>3.2000379899780684</v>
      </c>
      <c r="F56" s="252">
        <f t="shared" si="0"/>
        <v>102.76981098552899</v>
      </c>
      <c r="G56" s="42"/>
      <c r="H56" s="42"/>
      <c r="J56" s="26"/>
      <c r="K56" s="26"/>
      <c r="L56" s="26"/>
      <c r="M56" s="26"/>
      <c r="N56" s="26"/>
      <c r="O56" s="26"/>
      <c r="P56" s="26"/>
      <c r="Q56" s="26"/>
    </row>
    <row r="57" spans="1:17" s="122" customFormat="1" x14ac:dyDescent="0.25">
      <c r="A57" s="541" t="s">
        <v>33</v>
      </c>
      <c r="B57" s="542">
        <f>Data!B82</f>
        <v>12.345679012345677</v>
      </c>
      <c r="C57" s="543">
        <f>Data!C82</f>
        <v>13.120844668522356</v>
      </c>
      <c r="D57" s="252">
        <f>Data!D82</f>
        <v>1.7661278562890093</v>
      </c>
      <c r="E57" s="252">
        <f>Data!E82</f>
        <v>13.46047377975634</v>
      </c>
      <c r="F57" s="252">
        <f t="shared" si="0"/>
        <v>106.27884181503109</v>
      </c>
      <c r="G57" s="42"/>
      <c r="H57" s="42"/>
      <c r="J57" s="26"/>
      <c r="K57" s="26"/>
      <c r="L57" s="26"/>
      <c r="M57" s="26"/>
      <c r="N57" s="26"/>
      <c r="O57" s="26"/>
      <c r="P57" s="26"/>
      <c r="Q57" s="26"/>
    </row>
    <row r="58" spans="1:17" s="122" customFormat="1" x14ac:dyDescent="0.25">
      <c r="A58" s="541" t="s">
        <v>34</v>
      </c>
      <c r="B58" s="542">
        <f>Data!B83</f>
        <v>4.1152263374485587</v>
      </c>
      <c r="C58" s="543">
        <f>Data!C83</f>
        <v>3.8542238048596777</v>
      </c>
      <c r="D58" s="252">
        <f>Data!D83</f>
        <v>0.35263415286241889</v>
      </c>
      <c r="E58" s="252">
        <f>Data!E83</f>
        <v>9.1492910302145098</v>
      </c>
      <c r="F58" s="252">
        <f t="shared" si="0"/>
        <v>93.65763845809019</v>
      </c>
      <c r="G58" s="42"/>
      <c r="H58" s="42"/>
      <c r="J58" s="26"/>
      <c r="K58" s="26"/>
      <c r="L58" s="26"/>
      <c r="M58" s="26"/>
      <c r="N58" s="26"/>
      <c r="O58" s="26"/>
      <c r="P58" s="26"/>
      <c r="Q58" s="26"/>
    </row>
    <row r="59" spans="1:17" s="122" customFormat="1" x14ac:dyDescent="0.25">
      <c r="A59" s="541" t="s">
        <v>35</v>
      </c>
      <c r="B59" s="542">
        <f>Data!B84</f>
        <v>1.3717421124828528</v>
      </c>
      <c r="C59" s="543">
        <f>Data!C84</f>
        <v>1.2194621511463222</v>
      </c>
      <c r="D59" s="252">
        <f>Data!D84</f>
        <v>0.41999134755444756</v>
      </c>
      <c r="E59" s="252">
        <f>Data!E84</f>
        <v>34.44070381025324</v>
      </c>
      <c r="F59" s="252">
        <f t="shared" si="0"/>
        <v>88.898790818566908</v>
      </c>
      <c r="G59" s="42"/>
      <c r="H59" s="42"/>
      <c r="J59" s="26"/>
      <c r="K59" s="26"/>
      <c r="L59" s="26"/>
      <c r="M59" s="26"/>
      <c r="N59" s="26"/>
      <c r="O59" s="26"/>
      <c r="P59" s="26"/>
      <c r="Q59" s="26"/>
    </row>
    <row r="60" spans="1:17" s="122" customFormat="1" x14ac:dyDescent="0.25">
      <c r="A60" s="42"/>
      <c r="B60" s="42"/>
      <c r="C60" s="42"/>
      <c r="D60" s="42"/>
      <c r="E60" s="42"/>
      <c r="F60" s="42"/>
      <c r="G60" s="42"/>
      <c r="H60" s="42"/>
      <c r="J60" s="26"/>
      <c r="K60" s="26"/>
      <c r="L60" s="26"/>
      <c r="M60" s="26"/>
      <c r="N60" s="26"/>
      <c r="O60" s="26"/>
      <c r="P60" s="26"/>
      <c r="Q60" s="26"/>
    </row>
    <row r="61" spans="1:17" s="122" customFormat="1" x14ac:dyDescent="0.25">
      <c r="A61" s="42"/>
      <c r="B61" s="42"/>
      <c r="C61" s="42"/>
      <c r="D61" s="42"/>
      <c r="E61" s="556"/>
      <c r="F61" s="556"/>
      <c r="G61" s="42"/>
      <c r="H61" s="42"/>
      <c r="J61" s="26"/>
      <c r="K61" s="26"/>
      <c r="L61" s="26"/>
      <c r="M61" s="26"/>
      <c r="N61" s="26"/>
      <c r="O61" s="26"/>
      <c r="P61" s="26"/>
      <c r="Q61" s="26"/>
    </row>
    <row r="62" spans="1:17" ht="18.75" x14ac:dyDescent="0.3">
      <c r="A62" s="557" t="s">
        <v>1347</v>
      </c>
      <c r="B62" s="42"/>
      <c r="C62" s="42"/>
      <c r="D62" s="42"/>
      <c r="E62" s="532"/>
      <c r="F62" s="532"/>
      <c r="G62" s="532"/>
      <c r="H62" s="532"/>
    </row>
    <row r="63" spans="1:17" s="122" customFormat="1" ht="8.25" customHeight="1" x14ac:dyDescent="0.35">
      <c r="A63" s="558"/>
      <c r="B63" s="42"/>
      <c r="C63" s="42"/>
      <c r="D63" s="42"/>
      <c r="E63" s="532"/>
      <c r="F63" s="532"/>
      <c r="G63" s="532"/>
      <c r="H63" s="532"/>
    </row>
    <row r="64" spans="1:17" ht="11.25" customHeight="1" x14ac:dyDescent="0.25">
      <c r="A64" s="839" t="s">
        <v>1364</v>
      </c>
      <c r="B64" s="839"/>
      <c r="C64" s="839"/>
      <c r="D64" s="839"/>
      <c r="E64" s="559"/>
      <c r="F64" s="559"/>
      <c r="G64" s="532"/>
      <c r="H64" s="532"/>
    </row>
    <row r="65" spans="1:8" x14ac:dyDescent="0.25">
      <c r="A65" s="840" t="s">
        <v>1357</v>
      </c>
      <c r="B65" s="840"/>
      <c r="C65" s="840"/>
      <c r="D65" s="592" t="s">
        <v>665</v>
      </c>
      <c r="E65" s="560"/>
      <c r="F65" s="560"/>
      <c r="G65" s="532"/>
      <c r="H65" s="532"/>
    </row>
    <row r="66" spans="1:8" x14ac:dyDescent="0.25">
      <c r="A66" s="817" t="s">
        <v>202</v>
      </c>
      <c r="B66" s="817"/>
      <c r="C66" s="817"/>
      <c r="D66" s="593">
        <f>Calculations!AL77</f>
        <v>9.9021771447292978E-3</v>
      </c>
      <c r="E66" s="561"/>
      <c r="F66" s="561"/>
      <c r="G66" s="532"/>
      <c r="H66" s="532"/>
    </row>
    <row r="67" spans="1:8" x14ac:dyDescent="0.25">
      <c r="A67" s="817" t="s">
        <v>203</v>
      </c>
      <c r="B67" s="817"/>
      <c r="C67" s="817"/>
      <c r="D67" s="593">
        <f>Calculations!AL78</f>
        <v>2.877825527388977</v>
      </c>
      <c r="E67" s="561"/>
      <c r="F67" s="561"/>
      <c r="G67" s="532"/>
      <c r="H67" s="532"/>
    </row>
    <row r="68" spans="1:8" x14ac:dyDescent="0.25">
      <c r="A68" s="817" t="s">
        <v>199</v>
      </c>
      <c r="B68" s="817"/>
      <c r="C68" s="817"/>
      <c r="D68" s="593">
        <f>Calculations!AL79</f>
        <v>398.1737397023889</v>
      </c>
      <c r="E68" s="561"/>
      <c r="F68" s="561"/>
      <c r="G68" s="532"/>
      <c r="H68" s="532"/>
    </row>
    <row r="69" spans="1:8" x14ac:dyDescent="0.25">
      <c r="A69" s="817" t="s">
        <v>198</v>
      </c>
      <c r="B69" s="817"/>
      <c r="C69" s="817"/>
      <c r="D69" s="593">
        <f>Calculations!AL80</f>
        <v>-1.997093107690614</v>
      </c>
      <c r="E69" s="561"/>
      <c r="F69" s="561"/>
      <c r="G69" s="532"/>
      <c r="H69" s="532"/>
    </row>
    <row r="70" spans="1:8" x14ac:dyDescent="0.25">
      <c r="A70" s="825" t="s">
        <v>201</v>
      </c>
      <c r="B70" s="825"/>
      <c r="C70" s="825"/>
      <c r="D70" s="593">
        <f>Calculations!AL81</f>
        <v>0.5105471375006132</v>
      </c>
      <c r="E70" s="561"/>
      <c r="F70" s="561"/>
      <c r="G70" s="532"/>
      <c r="H70" s="532"/>
    </row>
    <row r="71" spans="1:8" x14ac:dyDescent="0.25">
      <c r="A71" s="849" t="s">
        <v>409</v>
      </c>
      <c r="B71" s="849"/>
      <c r="C71" s="849"/>
      <c r="D71" s="593">
        <f>Calculations!AL82</f>
        <v>1.8742513597752104E-2</v>
      </c>
      <c r="E71" s="561"/>
      <c r="F71" s="561"/>
      <c r="G71" s="532"/>
      <c r="H71" s="532"/>
    </row>
    <row r="72" spans="1:8" x14ac:dyDescent="0.25">
      <c r="A72" s="849" t="s">
        <v>410</v>
      </c>
      <c r="B72" s="849"/>
      <c r="C72" s="849"/>
      <c r="D72" s="593">
        <f>Calculations!AL83</f>
        <v>2.6697462797913998</v>
      </c>
      <c r="E72" s="561"/>
      <c r="F72" s="561"/>
      <c r="G72" s="532"/>
      <c r="H72" s="532"/>
    </row>
    <row r="73" spans="1:8" x14ac:dyDescent="0.25">
      <c r="A73" s="42"/>
      <c r="B73" s="42"/>
      <c r="C73" s="563"/>
      <c r="D73" s="42"/>
      <c r="E73" s="42"/>
      <c r="F73" s="42"/>
      <c r="G73" s="42"/>
      <c r="H73" s="42"/>
    </row>
    <row r="74" spans="1:8" x14ac:dyDescent="0.25">
      <c r="A74" s="42"/>
      <c r="B74" s="42"/>
      <c r="C74" s="563"/>
      <c r="D74" s="42"/>
      <c r="E74" s="42"/>
      <c r="F74" s="42"/>
      <c r="G74" s="42"/>
      <c r="H74" s="42"/>
    </row>
    <row r="75" spans="1:8" x14ac:dyDescent="0.25">
      <c r="A75" s="42"/>
      <c r="B75" s="42"/>
      <c r="C75" s="563"/>
      <c r="D75" s="42"/>
      <c r="E75" s="42"/>
      <c r="F75" s="42"/>
      <c r="G75" s="42"/>
      <c r="H75" s="42"/>
    </row>
    <row r="76" spans="1:8" x14ac:dyDescent="0.25">
      <c r="A76" s="42"/>
      <c r="B76" s="42"/>
      <c r="C76" s="563"/>
      <c r="D76" s="42"/>
      <c r="E76" s="42"/>
      <c r="F76" s="42"/>
      <c r="G76" s="42"/>
      <c r="H76" s="42"/>
    </row>
    <row r="77" spans="1:8" x14ac:dyDescent="0.25">
      <c r="A77" s="42"/>
      <c r="B77" s="42"/>
      <c r="C77" s="563"/>
      <c r="D77" s="42"/>
      <c r="E77" s="42"/>
      <c r="F77" s="42"/>
      <c r="G77" s="42"/>
      <c r="H77" s="42"/>
    </row>
    <row r="78" spans="1:8" x14ac:dyDescent="0.25">
      <c r="A78" s="42"/>
      <c r="B78" s="42"/>
      <c r="C78" s="563"/>
      <c r="D78" s="42"/>
      <c r="E78" s="42"/>
      <c r="F78" s="42"/>
      <c r="G78" s="42"/>
      <c r="H78" s="42"/>
    </row>
    <row r="79" spans="1:8" x14ac:dyDescent="0.25">
      <c r="A79" s="42"/>
      <c r="B79" s="42"/>
      <c r="C79" s="563"/>
      <c r="D79" s="42"/>
      <c r="E79" s="42"/>
      <c r="F79" s="42"/>
      <c r="G79" s="42"/>
      <c r="H79" s="42"/>
    </row>
    <row r="80" spans="1:8" x14ac:dyDescent="0.25">
      <c r="A80" s="42"/>
      <c r="B80" s="42"/>
      <c r="C80" s="563"/>
      <c r="D80" s="42"/>
      <c r="E80" s="42"/>
      <c r="F80" s="42"/>
      <c r="G80" s="42"/>
      <c r="H80" s="42"/>
    </row>
    <row r="81" spans="1:11" s="122" customFormat="1" x14ac:dyDescent="0.25">
      <c r="A81" s="42"/>
      <c r="B81" s="42"/>
      <c r="C81" s="563"/>
      <c r="D81" s="42"/>
      <c r="E81" s="42"/>
      <c r="F81" s="42"/>
      <c r="G81" s="42"/>
      <c r="H81" s="42"/>
    </row>
    <row r="82" spans="1:11" s="122" customFormat="1" x14ac:dyDescent="0.25">
      <c r="A82" s="42"/>
      <c r="B82" s="42"/>
      <c r="C82" s="563"/>
      <c r="D82" s="42"/>
      <c r="E82" s="42"/>
      <c r="F82" s="42"/>
      <c r="G82" s="42"/>
      <c r="H82" s="42"/>
    </row>
    <row r="83" spans="1:11" x14ac:dyDescent="0.25">
      <c r="A83" s="42"/>
      <c r="B83" s="42"/>
      <c r="C83" s="563"/>
      <c r="D83" s="42"/>
      <c r="E83" s="42"/>
      <c r="F83" s="42"/>
      <c r="G83" s="42"/>
      <c r="H83" s="42"/>
    </row>
    <row r="84" spans="1:11" x14ac:dyDescent="0.25">
      <c r="A84" s="42"/>
      <c r="B84" s="42"/>
      <c r="C84" s="563"/>
      <c r="D84" s="42"/>
      <c r="E84" s="42"/>
      <c r="F84" s="42"/>
      <c r="G84" s="42"/>
      <c r="H84" s="42"/>
    </row>
    <row r="85" spans="1:11" x14ac:dyDescent="0.25">
      <c r="A85" s="42"/>
      <c r="B85" s="42"/>
      <c r="C85" s="563"/>
      <c r="D85" s="42"/>
      <c r="E85" s="42"/>
      <c r="F85" s="42"/>
      <c r="G85" s="42"/>
      <c r="H85" s="42"/>
    </row>
    <row r="86" spans="1:11" s="122" customFormat="1" x14ac:dyDescent="0.25">
      <c r="A86" s="42"/>
      <c r="B86" s="42"/>
      <c r="C86" s="563"/>
      <c r="D86" s="42"/>
      <c r="E86" s="42"/>
      <c r="F86" s="42"/>
      <c r="G86" s="42"/>
      <c r="H86" s="42"/>
    </row>
    <row r="87" spans="1:11" s="122" customFormat="1" x14ac:dyDescent="0.25">
      <c r="A87" s="42"/>
      <c r="B87" s="42"/>
      <c r="C87" s="563"/>
      <c r="D87" s="42"/>
      <c r="E87" s="42"/>
      <c r="F87" s="42"/>
      <c r="G87" s="42"/>
      <c r="H87" s="42"/>
    </row>
    <row r="88" spans="1:11" s="122" customFormat="1" x14ac:dyDescent="0.25">
      <c r="A88" s="42"/>
      <c r="B88" s="42"/>
      <c r="C88" s="563"/>
      <c r="D88" s="42"/>
      <c r="E88" s="42"/>
      <c r="F88" s="42"/>
      <c r="G88" s="42"/>
      <c r="H88" s="42"/>
    </row>
    <row r="89" spans="1:11" s="122" customFormat="1" x14ac:dyDescent="0.25">
      <c r="A89" s="42"/>
      <c r="B89" s="42"/>
      <c r="C89" s="563"/>
      <c r="D89" s="42"/>
      <c r="E89" s="42"/>
      <c r="F89" s="42"/>
      <c r="G89" s="42"/>
      <c r="H89" s="42"/>
    </row>
    <row r="90" spans="1:11" x14ac:dyDescent="0.25">
      <c r="A90" s="42"/>
      <c r="B90" s="42"/>
      <c r="C90" s="42"/>
      <c r="D90" s="42"/>
      <c r="E90" s="42"/>
      <c r="F90" s="42"/>
      <c r="G90" s="42"/>
      <c r="H90" s="42"/>
      <c r="I90" s="122"/>
      <c r="J90" s="122"/>
      <c r="K90" s="122"/>
    </row>
    <row r="91" spans="1:11" x14ac:dyDescent="0.25">
      <c r="A91" s="42"/>
      <c r="B91" s="42"/>
      <c r="C91" s="42"/>
      <c r="D91" s="42"/>
      <c r="E91" s="42"/>
      <c r="F91" s="42"/>
      <c r="G91" s="42"/>
      <c r="H91" s="42"/>
      <c r="I91" s="122"/>
      <c r="J91" s="122"/>
      <c r="K91" s="122"/>
    </row>
    <row r="92" spans="1:11" s="122" customFormat="1" x14ac:dyDescent="0.25">
      <c r="A92" s="42"/>
      <c r="B92" s="42"/>
      <c r="C92" s="42"/>
      <c r="D92" s="42"/>
      <c r="E92" s="42"/>
      <c r="F92" s="42"/>
      <c r="G92" s="42"/>
      <c r="H92" s="42"/>
    </row>
    <row r="93" spans="1:11" x14ac:dyDescent="0.25">
      <c r="A93" s="42"/>
      <c r="B93" s="42"/>
      <c r="C93" s="42"/>
      <c r="D93" s="42"/>
      <c r="E93" s="42"/>
      <c r="F93" s="42"/>
      <c r="G93" s="42"/>
      <c r="H93" s="42"/>
      <c r="I93" s="122"/>
      <c r="J93" s="122"/>
      <c r="K93" s="122"/>
    </row>
    <row r="94" spans="1:11" s="122" customFormat="1" x14ac:dyDescent="0.25">
      <c r="A94" s="42"/>
      <c r="B94" s="42"/>
      <c r="C94" s="42"/>
      <c r="D94" s="42"/>
      <c r="E94" s="42"/>
      <c r="F94" s="42"/>
      <c r="G94" s="42"/>
      <c r="H94" s="42"/>
    </row>
    <row r="95" spans="1:11" ht="18.75" x14ac:dyDescent="0.3">
      <c r="A95" s="564" t="s">
        <v>710</v>
      </c>
      <c r="B95" s="42"/>
      <c r="C95" s="42"/>
      <c r="D95" s="42"/>
      <c r="E95" s="42"/>
      <c r="F95" s="42"/>
      <c r="G95" s="42"/>
      <c r="H95" s="42"/>
      <c r="I95" s="122"/>
      <c r="J95" s="122"/>
      <c r="K95" s="122"/>
    </row>
    <row r="96" spans="1:11" ht="9" customHeight="1" x14ac:dyDescent="0.25">
      <c r="A96" s="532"/>
      <c r="B96" s="532"/>
      <c r="C96" s="532"/>
      <c r="D96" s="532"/>
      <c r="E96" s="532"/>
      <c r="F96" s="532"/>
      <c r="G96" s="532"/>
      <c r="H96" s="532"/>
      <c r="I96" s="122"/>
      <c r="J96" s="122"/>
      <c r="K96" s="122"/>
    </row>
    <row r="97" spans="1:11" x14ac:dyDescent="0.25">
      <c r="A97" s="544" t="s">
        <v>686</v>
      </c>
      <c r="B97" s="249">
        <f>'Analysis Plate'!V3</f>
        <v>164</v>
      </c>
      <c r="C97" s="388"/>
      <c r="D97" s="388"/>
      <c r="E97" s="388"/>
      <c r="F97" s="42"/>
      <c r="G97" s="42"/>
      <c r="H97" s="42"/>
      <c r="I97" s="122"/>
      <c r="J97" s="122"/>
      <c r="K97" s="122"/>
    </row>
    <row r="98" spans="1:11" s="122" customFormat="1" x14ac:dyDescent="0.25">
      <c r="A98" s="565"/>
      <c r="B98" s="565"/>
      <c r="C98" s="562"/>
      <c r="D98" s="562"/>
      <c r="E98" s="562"/>
      <c r="F98" s="42"/>
      <c r="G98" s="42"/>
      <c r="H98" s="42"/>
    </row>
    <row r="99" spans="1:11" x14ac:dyDescent="0.25">
      <c r="A99" s="550" t="s">
        <v>687</v>
      </c>
      <c r="B99" s="550" t="s">
        <v>667</v>
      </c>
      <c r="C99" s="550" t="s">
        <v>688</v>
      </c>
      <c r="D99" s="550" t="s">
        <v>598</v>
      </c>
      <c r="E99" s="550" t="s">
        <v>599</v>
      </c>
      <c r="F99" s="42"/>
      <c r="G99" s="42"/>
      <c r="H99" s="42"/>
      <c r="I99" s="122"/>
      <c r="J99" s="122"/>
      <c r="K99" s="122"/>
    </row>
    <row r="100" spans="1:11" x14ac:dyDescent="0.25">
      <c r="A100" s="539" t="str">
        <f>'Analysis Plate'!U5</f>
        <v>pg/mL</v>
      </c>
      <c r="B100" s="252">
        <f>'Analysis Plate'!V5</f>
        <v>548.32703223913347</v>
      </c>
      <c r="C100" s="252">
        <f>'Analysis Plate'!W5</f>
        <v>617.51424385351061</v>
      </c>
      <c r="D100" s="252">
        <f>'Analysis Plate'!X5</f>
        <v>0.16552427638263878</v>
      </c>
      <c r="E100" s="252">
        <f>'Analysis Plate'!Y5</f>
        <v>969.04705681010796</v>
      </c>
      <c r="F100" s="42"/>
      <c r="G100" s="42"/>
      <c r="H100" s="42"/>
      <c r="I100" s="122"/>
      <c r="J100" s="122"/>
      <c r="K100" s="122"/>
    </row>
    <row r="101" spans="1:11" x14ac:dyDescent="0.25">
      <c r="A101" s="539" t="s">
        <v>670</v>
      </c>
      <c r="B101" s="252">
        <f>'Analysis Plate'!V6</f>
        <v>17.715234811725132</v>
      </c>
      <c r="C101" s="252">
        <f>'Analysis Plate'!W6</f>
        <v>11.785139282020372</v>
      </c>
      <c r="D101" s="252">
        <f>'Analysis Plate'!X6</f>
        <v>0</v>
      </c>
      <c r="E101" s="252">
        <f>'Analysis Plate'!Y6</f>
        <v>109.65082924583581</v>
      </c>
      <c r="F101" s="42"/>
      <c r="G101" s="42"/>
      <c r="H101" s="42"/>
      <c r="I101" s="122"/>
      <c r="J101" s="122"/>
      <c r="K101" s="122"/>
    </row>
    <row r="102" spans="1:11" x14ac:dyDescent="0.25">
      <c r="A102" s="539" t="s">
        <v>607</v>
      </c>
      <c r="B102" s="252">
        <f>'Analysis Plate'!V7</f>
        <v>6.7929692771822499</v>
      </c>
      <c r="C102" s="252">
        <f>'Analysis Plate'!W7</f>
        <v>2.5788534893983988</v>
      </c>
      <c r="D102" s="252">
        <f>'Analysis Plate'!X7</f>
        <v>0</v>
      </c>
      <c r="E102" s="252">
        <f>'Analysis Plate'!Y7</f>
        <v>137.25080347640161</v>
      </c>
      <c r="F102" s="42"/>
      <c r="G102" s="42"/>
      <c r="H102" s="42"/>
      <c r="I102" s="122"/>
      <c r="J102" s="122"/>
      <c r="K102" s="122"/>
    </row>
    <row r="103" spans="1:11" s="122" customFormat="1" x14ac:dyDescent="0.25">
      <c r="A103" s="562"/>
      <c r="B103" s="566"/>
      <c r="C103" s="566"/>
      <c r="D103" s="566"/>
      <c r="E103" s="566"/>
      <c r="F103" s="42"/>
      <c r="G103" s="42"/>
      <c r="H103" s="42"/>
    </row>
    <row r="104" spans="1:11" x14ac:dyDescent="0.25">
      <c r="A104" s="550"/>
      <c r="B104" s="549" t="s">
        <v>689</v>
      </c>
      <c r="C104" s="549" t="s">
        <v>690</v>
      </c>
      <c r="D104" s="562"/>
      <c r="E104" s="562"/>
      <c r="F104" s="42"/>
      <c r="G104" s="42"/>
      <c r="H104" s="42"/>
      <c r="I104" s="122"/>
      <c r="J104" s="122"/>
      <c r="K104" s="122"/>
    </row>
    <row r="105" spans="1:11" x14ac:dyDescent="0.25">
      <c r="A105" s="545" t="s">
        <v>691</v>
      </c>
      <c r="B105" s="546">
        <f>'Analysis Plate'!V9</f>
        <v>112</v>
      </c>
      <c r="C105" s="547">
        <f>(B105/B97)*100</f>
        <v>68.292682926829272</v>
      </c>
      <c r="D105" s="562"/>
      <c r="E105" s="562"/>
      <c r="F105" s="42"/>
      <c r="G105" s="42"/>
      <c r="H105" s="42"/>
      <c r="I105" s="122"/>
      <c r="J105" s="122"/>
      <c r="K105" s="122"/>
    </row>
    <row r="106" spans="1:11" x14ac:dyDescent="0.25">
      <c r="A106" s="545" t="s">
        <v>692</v>
      </c>
      <c r="B106" s="546">
        <f>'Analysis Plate'!V10</f>
        <v>47</v>
      </c>
      <c r="C106" s="547">
        <f>(B106/B97)*100</f>
        <v>28.658536585365852</v>
      </c>
      <c r="D106" s="562"/>
      <c r="E106" s="562"/>
      <c r="F106" s="42"/>
      <c r="G106" s="42"/>
      <c r="H106" s="42"/>
      <c r="I106" s="122"/>
      <c r="J106" s="122"/>
      <c r="K106" s="122"/>
    </row>
    <row r="107" spans="1:11" x14ac:dyDescent="0.25">
      <c r="A107" s="545" t="s">
        <v>693</v>
      </c>
      <c r="B107" s="546">
        <f>'Analysis Plate'!V11</f>
        <v>5</v>
      </c>
      <c r="C107" s="547">
        <f>(B107/B97)*100</f>
        <v>3.0487804878048781</v>
      </c>
      <c r="D107" s="562"/>
      <c r="E107" s="562"/>
      <c r="F107" s="42"/>
      <c r="G107" s="42"/>
      <c r="H107" s="42"/>
      <c r="I107" s="122"/>
      <c r="J107" s="122"/>
      <c r="K107" s="122"/>
    </row>
    <row r="108" spans="1:11" x14ac:dyDescent="0.25">
      <c r="A108" s="545" t="s">
        <v>694</v>
      </c>
      <c r="B108" s="546">
        <f>'Analysis Plate'!V12</f>
        <v>0</v>
      </c>
      <c r="C108" s="547">
        <f>(B108/B97)*100</f>
        <v>0</v>
      </c>
      <c r="D108" s="388"/>
      <c r="E108" s="388"/>
      <c r="F108" s="42"/>
      <c r="G108" s="42"/>
      <c r="H108" s="42"/>
      <c r="I108" s="122"/>
      <c r="J108" s="122"/>
      <c r="K108" s="122"/>
    </row>
    <row r="109" spans="1:11" x14ac:dyDescent="0.25">
      <c r="A109" s="42"/>
      <c r="B109" s="42"/>
      <c r="C109" s="42"/>
      <c r="D109" s="42"/>
      <c r="E109" s="42"/>
      <c r="F109" s="42"/>
      <c r="G109" s="42"/>
      <c r="H109" s="42"/>
      <c r="I109" s="122"/>
      <c r="J109" s="122"/>
      <c r="K109" s="122"/>
    </row>
    <row r="110" spans="1:11" x14ac:dyDescent="0.25">
      <c r="A110" s="567"/>
      <c r="B110" s="562"/>
      <c r="C110" s="562"/>
      <c r="D110" s="562"/>
      <c r="E110" s="562"/>
      <c r="F110" s="562"/>
      <c r="G110" s="562"/>
      <c r="H110" s="562"/>
      <c r="I110" s="122"/>
      <c r="J110" s="122"/>
      <c r="K110" s="122"/>
    </row>
    <row r="111" spans="1:11" s="122" customFormat="1" ht="18.75" x14ac:dyDescent="0.25">
      <c r="A111" s="850" t="s">
        <v>662</v>
      </c>
      <c r="B111" s="850"/>
      <c r="C111" s="42"/>
      <c r="D111" s="42"/>
      <c r="E111" s="42"/>
      <c r="F111" s="42"/>
      <c r="G111" s="42"/>
      <c r="H111" s="42"/>
    </row>
    <row r="112" spans="1:11" s="122" customFormat="1" ht="7.5" customHeight="1" x14ac:dyDescent="0.25">
      <c r="A112" s="42"/>
      <c r="B112" s="42"/>
      <c r="C112" s="42"/>
      <c r="D112" s="42"/>
      <c r="E112" s="42"/>
      <c r="F112" s="42"/>
      <c r="G112" s="42"/>
      <c r="H112" s="42"/>
    </row>
    <row r="113" spans="1:8" s="122" customFormat="1" x14ac:dyDescent="0.25">
      <c r="A113" s="548" t="s">
        <v>675</v>
      </c>
      <c r="B113" s="548" t="s">
        <v>676</v>
      </c>
      <c r="C113" s="548" t="s">
        <v>701</v>
      </c>
      <c r="D113" s="548" t="s">
        <v>669</v>
      </c>
      <c r="E113" s="548" t="s">
        <v>20</v>
      </c>
      <c r="F113" s="548" t="s">
        <v>607</v>
      </c>
      <c r="G113" s="548" t="s">
        <v>608</v>
      </c>
      <c r="H113" s="42"/>
    </row>
    <row r="114" spans="1:8" s="122" customFormat="1" x14ac:dyDescent="0.25">
      <c r="A114" s="818" t="s">
        <v>621</v>
      </c>
      <c r="B114" s="819">
        <f>Data!C61</f>
        <v>60</v>
      </c>
      <c r="C114" s="594">
        <f>Data!B63</f>
        <v>55.395353586132316</v>
      </c>
      <c r="D114" s="822">
        <f>AVERAGE(C114:C121)</f>
        <v>53.776716416420612</v>
      </c>
      <c r="E114" s="822">
        <f>STDEV(C114:C121)</f>
        <v>2.4005163743261337</v>
      </c>
      <c r="F114" s="814">
        <f>E114/D114</f>
        <v>4.4638582165145747E-2</v>
      </c>
      <c r="G114" s="594">
        <f>(C114/B114)*100</f>
        <v>92.325589310220522</v>
      </c>
      <c r="H114" s="42"/>
    </row>
    <row r="115" spans="1:8" s="122" customFormat="1" x14ac:dyDescent="0.25">
      <c r="A115" s="818"/>
      <c r="B115" s="826"/>
      <c r="C115" s="594">
        <f>Data!B64</f>
        <v>49.432197131166589</v>
      </c>
      <c r="D115" s="823"/>
      <c r="E115" s="823"/>
      <c r="F115" s="815"/>
      <c r="G115" s="594">
        <f>(C115/B114)*100</f>
        <v>82.386995218610977</v>
      </c>
      <c r="H115" s="42"/>
    </row>
    <row r="116" spans="1:8" s="122" customFormat="1" x14ac:dyDescent="0.25">
      <c r="A116" s="818"/>
      <c r="B116" s="826"/>
      <c r="C116" s="594">
        <f>Data!B65</f>
        <v>52.338339765858095</v>
      </c>
      <c r="D116" s="823"/>
      <c r="E116" s="823"/>
      <c r="F116" s="815"/>
      <c r="G116" s="594">
        <f>(C116/B114)*100</f>
        <v>87.230566276430153</v>
      </c>
      <c r="H116" s="42"/>
    </row>
    <row r="117" spans="1:8" s="122" customFormat="1" x14ac:dyDescent="0.25">
      <c r="A117" s="818"/>
      <c r="B117" s="826"/>
      <c r="C117" s="594">
        <f>Data!B66</f>
        <v>55.249641638658503</v>
      </c>
      <c r="D117" s="823"/>
      <c r="E117" s="823"/>
      <c r="F117" s="815"/>
      <c r="G117" s="594">
        <f>(C117/B114)*100</f>
        <v>92.082736064430833</v>
      </c>
      <c r="H117" s="42"/>
    </row>
    <row r="118" spans="1:8" s="122" customFormat="1" x14ac:dyDescent="0.25">
      <c r="A118" s="818"/>
      <c r="B118" s="826"/>
      <c r="C118" s="594">
        <f>Data!B67</f>
        <v>56.999163415427368</v>
      </c>
      <c r="D118" s="823"/>
      <c r="E118" s="823"/>
      <c r="F118" s="815"/>
      <c r="G118" s="594">
        <f>(C118/B114)*100</f>
        <v>94.998605692378945</v>
      </c>
      <c r="H118" s="42"/>
    </row>
    <row r="119" spans="1:8" s="122" customFormat="1" x14ac:dyDescent="0.25">
      <c r="A119" s="818"/>
      <c r="B119" s="826"/>
      <c r="C119" s="594">
        <f>Data!B68</f>
        <v>52.920166929635492</v>
      </c>
      <c r="D119" s="823"/>
      <c r="E119" s="823"/>
      <c r="F119" s="815"/>
      <c r="G119" s="594">
        <f>(C119/B114)*100</f>
        <v>88.200278216059161</v>
      </c>
      <c r="H119" s="42"/>
    </row>
    <row r="120" spans="1:8" s="122" customFormat="1" x14ac:dyDescent="0.25">
      <c r="A120" s="818"/>
      <c r="B120" s="826"/>
      <c r="C120" s="594">
        <f>Data!B69</f>
        <v>52.629227225828068</v>
      </c>
      <c r="D120" s="823"/>
      <c r="E120" s="823"/>
      <c r="F120" s="815"/>
      <c r="G120" s="594">
        <f>(C120/B114)*100</f>
        <v>87.715378709713448</v>
      </c>
      <c r="H120" s="42"/>
    </row>
    <row r="121" spans="1:8" s="122" customFormat="1" x14ac:dyDescent="0.25">
      <c r="A121" s="818"/>
      <c r="B121" s="827"/>
      <c r="C121" s="594">
        <f>Data!B70</f>
        <v>55.249641638658503</v>
      </c>
      <c r="D121" s="824"/>
      <c r="E121" s="824"/>
      <c r="F121" s="816"/>
      <c r="G121" s="594">
        <f>(C121/B114)*100</f>
        <v>92.082736064430833</v>
      </c>
      <c r="H121" s="42"/>
    </row>
    <row r="122" spans="1:8" s="122" customFormat="1" x14ac:dyDescent="0.25">
      <c r="A122" s="818" t="s">
        <v>699</v>
      </c>
      <c r="B122" s="819">
        <f>Data!B92</f>
        <v>300</v>
      </c>
      <c r="C122" s="594">
        <f>Data!C92</f>
        <v>323.15727564060643</v>
      </c>
      <c r="D122" s="822">
        <f>AVERAGE(C122:C129)</f>
        <v>318.01720578415024</v>
      </c>
      <c r="E122" s="822">
        <f>STDEV(C122:C129)</f>
        <v>10.258990800975386</v>
      </c>
      <c r="F122" s="814">
        <f>E122/D122</f>
        <v>3.2259231935829705E-2</v>
      </c>
      <c r="G122" s="594">
        <f>(C122/B122)*100</f>
        <v>107.71909188020214</v>
      </c>
      <c r="H122" s="42"/>
    </row>
    <row r="123" spans="1:8" s="122" customFormat="1" x14ac:dyDescent="0.25">
      <c r="A123" s="818"/>
      <c r="B123" s="820"/>
      <c r="C123" s="594">
        <f>Data!C93</f>
        <v>296.3067396937023</v>
      </c>
      <c r="D123" s="823"/>
      <c r="E123" s="823"/>
      <c r="F123" s="815"/>
      <c r="G123" s="594">
        <f>(C123/B122)*100</f>
        <v>98.768913231234094</v>
      </c>
      <c r="H123" s="42"/>
    </row>
    <row r="124" spans="1:8" s="122" customFormat="1" x14ac:dyDescent="0.25">
      <c r="A124" s="818"/>
      <c r="B124" s="820"/>
      <c r="C124" s="594">
        <f>Data!C94</f>
        <v>326.11060827999569</v>
      </c>
      <c r="D124" s="823"/>
      <c r="E124" s="823"/>
      <c r="F124" s="815"/>
      <c r="G124" s="594">
        <f>(C124/B122)*100</f>
        <v>108.70353609333191</v>
      </c>
      <c r="H124" s="42"/>
    </row>
    <row r="125" spans="1:8" s="122" customFormat="1" x14ac:dyDescent="0.25">
      <c r="A125" s="818"/>
      <c r="B125" s="820"/>
      <c r="C125" s="594">
        <f>Data!C95</f>
        <v>327.0028577975649</v>
      </c>
      <c r="D125" s="823"/>
      <c r="E125" s="823"/>
      <c r="F125" s="815"/>
      <c r="G125" s="594">
        <f>(C125/B122)*100</f>
        <v>109.0009525991883</v>
      </c>
      <c r="H125" s="42"/>
    </row>
    <row r="126" spans="1:8" s="122" customFormat="1" x14ac:dyDescent="0.25">
      <c r="A126" s="818"/>
      <c r="B126" s="820"/>
      <c r="C126" s="594">
        <f>Data!C96</f>
        <v>325.51738785604988</v>
      </c>
      <c r="D126" s="823"/>
      <c r="E126" s="823"/>
      <c r="F126" s="815"/>
      <c r="G126" s="594">
        <f>(C126/B122)*100</f>
        <v>108.50579595201664</v>
      </c>
      <c r="H126" s="42"/>
    </row>
    <row r="127" spans="1:8" s="122" customFormat="1" x14ac:dyDescent="0.25">
      <c r="A127" s="818"/>
      <c r="B127" s="820"/>
      <c r="C127" s="594">
        <f>Data!C97</f>
        <v>312.21558503847518</v>
      </c>
      <c r="D127" s="823"/>
      <c r="E127" s="823"/>
      <c r="F127" s="815"/>
      <c r="G127" s="594">
        <f>(C127/B122)*100</f>
        <v>104.07186167949172</v>
      </c>
      <c r="H127" s="42"/>
    </row>
    <row r="128" spans="1:8" s="122" customFormat="1" x14ac:dyDescent="0.25">
      <c r="A128" s="818"/>
      <c r="B128" s="820"/>
      <c r="C128" s="594">
        <f>Data!C98</f>
        <v>317.34431639672528</v>
      </c>
      <c r="D128" s="823"/>
      <c r="E128" s="823"/>
      <c r="F128" s="815"/>
      <c r="G128" s="594">
        <f>(C128/B122)*100</f>
        <v>105.78143879890843</v>
      </c>
      <c r="H128" s="42"/>
    </row>
    <row r="129" spans="1:8" s="122" customFormat="1" x14ac:dyDescent="0.25">
      <c r="A129" s="818"/>
      <c r="B129" s="821"/>
      <c r="C129" s="594">
        <f>Data!C99</f>
        <v>316.48287557008217</v>
      </c>
      <c r="D129" s="824"/>
      <c r="E129" s="824"/>
      <c r="F129" s="816"/>
      <c r="G129" s="594">
        <f>(C129/B122)*100</f>
        <v>105.49429185669406</v>
      </c>
      <c r="H129" s="42"/>
    </row>
    <row r="130" spans="1:8" s="122" customFormat="1" x14ac:dyDescent="0.25">
      <c r="A130" s="818" t="s">
        <v>697</v>
      </c>
      <c r="B130" s="819">
        <f>Data!B100</f>
        <v>12</v>
      </c>
      <c r="C130" s="594">
        <f>Data!C100</f>
        <v>12.210241766319003</v>
      </c>
      <c r="D130" s="822">
        <f>AVERAGE(C130:C137)</f>
        <v>12.264912161636687</v>
      </c>
      <c r="E130" s="822">
        <f>STDEV(C130:C137)</f>
        <v>0.36551994575498642</v>
      </c>
      <c r="F130" s="814">
        <f>E130/D130</f>
        <v>2.9802084265902296E-2</v>
      </c>
      <c r="G130" s="594">
        <f>(C130/B130)*100</f>
        <v>101.75201471932502</v>
      </c>
      <c r="H130" s="42"/>
    </row>
    <row r="131" spans="1:8" s="122" customFormat="1" x14ac:dyDescent="0.25">
      <c r="A131" s="818"/>
      <c r="B131" s="820"/>
      <c r="C131" s="594">
        <f>Data!C101</f>
        <v>12.356233268708054</v>
      </c>
      <c r="D131" s="823"/>
      <c r="E131" s="823"/>
      <c r="F131" s="815"/>
      <c r="G131" s="594">
        <f>(C131/B130)*100</f>
        <v>102.96861057256712</v>
      </c>
      <c r="H131" s="42"/>
    </row>
    <row r="132" spans="1:8" s="122" customFormat="1" x14ac:dyDescent="0.25">
      <c r="A132" s="818"/>
      <c r="B132" s="820"/>
      <c r="C132" s="594">
        <f>Data!C102</f>
        <v>12.794037042698385</v>
      </c>
      <c r="D132" s="823"/>
      <c r="E132" s="823"/>
      <c r="F132" s="815"/>
      <c r="G132" s="594">
        <f>(C132/B130)*100</f>
        <v>106.61697535581986</v>
      </c>
      <c r="H132" s="42"/>
    </row>
    <row r="133" spans="1:8" s="122" customFormat="1" x14ac:dyDescent="0.25">
      <c r="A133" s="818"/>
      <c r="B133" s="820"/>
      <c r="C133" s="594">
        <f>Data!C103</f>
        <v>12.356233268708062</v>
      </c>
      <c r="D133" s="823"/>
      <c r="E133" s="823"/>
      <c r="F133" s="815"/>
      <c r="G133" s="594">
        <f>(C132/B130)*100</f>
        <v>106.61697535581986</v>
      </c>
      <c r="H133" s="42"/>
    </row>
    <row r="134" spans="1:8" s="122" customFormat="1" x14ac:dyDescent="0.25">
      <c r="A134" s="818"/>
      <c r="B134" s="820"/>
      <c r="C134" s="594">
        <f>Data!C104</f>
        <v>12.210241766319005</v>
      </c>
      <c r="D134" s="823"/>
      <c r="E134" s="823"/>
      <c r="F134" s="815"/>
      <c r="G134" s="594">
        <f>(C134/B130)*100</f>
        <v>101.75201471932505</v>
      </c>
      <c r="H134" s="42"/>
    </row>
    <row r="135" spans="1:8" s="122" customFormat="1" x14ac:dyDescent="0.25">
      <c r="A135" s="818"/>
      <c r="B135" s="820"/>
      <c r="C135" s="594">
        <f>Data!C105</f>
        <v>12.648130446397499</v>
      </c>
      <c r="D135" s="823"/>
      <c r="E135" s="823"/>
      <c r="F135" s="815"/>
      <c r="G135" s="594">
        <f>(C135/B130)*100</f>
        <v>105.40108705331248</v>
      </c>
      <c r="H135" s="42"/>
    </row>
    <row r="136" spans="1:8" s="122" customFormat="1" x14ac:dyDescent="0.25">
      <c r="A136" s="818"/>
      <c r="B136" s="820"/>
      <c r="C136" s="594">
        <f>Data!C106</f>
        <v>11.772089866971736</v>
      </c>
      <c r="D136" s="823"/>
      <c r="E136" s="823"/>
      <c r="F136" s="815"/>
      <c r="G136" s="594">
        <f>(C136/B130)*100</f>
        <v>98.100748891431138</v>
      </c>
      <c r="H136" s="42"/>
    </row>
    <row r="137" spans="1:8" s="122" customFormat="1" x14ac:dyDescent="0.25">
      <c r="A137" s="818"/>
      <c r="B137" s="821"/>
      <c r="C137" s="594">
        <f>Data!C107</f>
        <v>11.772089866971733</v>
      </c>
      <c r="D137" s="824"/>
      <c r="E137" s="824"/>
      <c r="F137" s="816"/>
      <c r="G137" s="594">
        <f>(C137/B130)*100</f>
        <v>98.10074889143111</v>
      </c>
      <c r="H137" s="42"/>
    </row>
    <row r="138" spans="1:8" s="122" customFormat="1" x14ac:dyDescent="0.25">
      <c r="A138" s="568"/>
      <c r="B138" s="569"/>
      <c r="C138" s="569"/>
      <c r="D138" s="569"/>
      <c r="E138" s="569"/>
      <c r="F138" s="569"/>
      <c r="G138" s="569"/>
      <c r="H138" s="42"/>
    </row>
    <row r="139" spans="1:8" s="122" customFormat="1" x14ac:dyDescent="0.25">
      <c r="A139" s="568"/>
      <c r="B139" s="569"/>
      <c r="C139" s="569"/>
      <c r="D139" s="569"/>
      <c r="E139" s="569"/>
      <c r="F139" s="569"/>
      <c r="G139" s="569"/>
      <c r="H139" s="42"/>
    </row>
    <row r="140" spans="1:8" s="122" customFormat="1" x14ac:dyDescent="0.25">
      <c r="A140" s="568"/>
      <c r="B140" s="569"/>
      <c r="C140" s="569"/>
      <c r="D140" s="569"/>
      <c r="E140" s="569"/>
      <c r="F140" s="569"/>
      <c r="G140" s="569"/>
      <c r="H140" s="42"/>
    </row>
    <row r="141" spans="1:8" s="122" customFormat="1" x14ac:dyDescent="0.25">
      <c r="A141" s="568"/>
      <c r="B141" s="569"/>
      <c r="C141" s="569"/>
      <c r="D141" s="569"/>
      <c r="E141" s="569"/>
      <c r="F141" s="569"/>
      <c r="G141" s="569"/>
      <c r="H141" s="42"/>
    </row>
    <row r="142" spans="1:8" ht="18.75" x14ac:dyDescent="0.3">
      <c r="A142" s="555" t="s">
        <v>712</v>
      </c>
      <c r="B142" s="42"/>
      <c r="C142" s="42"/>
      <c r="D142" s="42"/>
      <c r="E142" s="42"/>
      <c r="F142" s="42"/>
      <c r="G142" s="42"/>
      <c r="H142" s="42"/>
    </row>
    <row r="143" spans="1:8" x14ac:dyDescent="0.25">
      <c r="A143" s="42"/>
      <c r="B143" s="42"/>
      <c r="C143" s="42"/>
      <c r="D143" s="42"/>
      <c r="E143" s="42"/>
      <c r="F143" s="42"/>
      <c r="G143" s="42"/>
      <c r="H143" s="42"/>
    </row>
    <row r="144" spans="1:8" x14ac:dyDescent="0.25">
      <c r="A144" s="42"/>
      <c r="B144" s="42"/>
      <c r="C144" s="42"/>
      <c r="D144" s="42"/>
      <c r="E144" s="42"/>
      <c r="F144" s="42"/>
      <c r="G144" s="42"/>
      <c r="H144" s="42"/>
    </row>
    <row r="145" spans="1:8" x14ac:dyDescent="0.25">
      <c r="A145" s="42"/>
      <c r="B145" s="42"/>
      <c r="C145" s="42"/>
      <c r="D145" s="42"/>
      <c r="E145" s="42"/>
      <c r="F145" s="42"/>
      <c r="G145" s="42"/>
      <c r="H145" s="42"/>
    </row>
    <row r="146" spans="1:8" x14ac:dyDescent="0.25">
      <c r="A146" s="42"/>
      <c r="B146" s="42"/>
      <c r="C146" s="42"/>
      <c r="D146" s="42"/>
      <c r="E146" s="42"/>
      <c r="F146" s="42"/>
      <c r="G146" s="42"/>
      <c r="H146" s="42"/>
    </row>
    <row r="147" spans="1:8" x14ac:dyDescent="0.25">
      <c r="A147" s="42"/>
      <c r="B147" s="42"/>
      <c r="C147" s="42"/>
      <c r="D147" s="42"/>
      <c r="E147" s="42"/>
      <c r="F147" s="42"/>
      <c r="G147" s="42"/>
      <c r="H147" s="42"/>
    </row>
    <row r="148" spans="1:8" x14ac:dyDescent="0.25">
      <c r="A148" s="42"/>
      <c r="B148" s="42"/>
      <c r="C148" s="42"/>
      <c r="D148" s="42"/>
      <c r="E148" s="42"/>
      <c r="F148" s="42"/>
      <c r="G148" s="42"/>
      <c r="H148" s="42"/>
    </row>
    <row r="149" spans="1:8" x14ac:dyDescent="0.25">
      <c r="A149" s="42"/>
      <c r="B149" s="42"/>
      <c r="C149" s="42"/>
      <c r="D149" s="42"/>
      <c r="E149" s="42"/>
      <c r="F149" s="42"/>
      <c r="G149" s="42"/>
      <c r="H149" s="42"/>
    </row>
    <row r="150" spans="1:8" x14ac:dyDescent="0.25">
      <c r="A150" s="42"/>
      <c r="B150" s="42"/>
      <c r="C150" s="42"/>
      <c r="D150" s="42"/>
      <c r="E150" s="42"/>
      <c r="F150" s="42"/>
      <c r="G150" s="42"/>
      <c r="H150" s="42"/>
    </row>
    <row r="151" spans="1:8" x14ac:dyDescent="0.25">
      <c r="A151" s="42"/>
      <c r="B151" s="42"/>
      <c r="C151" s="42"/>
      <c r="D151" s="42"/>
      <c r="E151" s="42"/>
      <c r="F151" s="42"/>
      <c r="G151" s="42"/>
      <c r="H151" s="42"/>
    </row>
    <row r="152" spans="1:8" x14ac:dyDescent="0.25">
      <c r="A152" s="42"/>
      <c r="B152" s="42"/>
      <c r="C152" s="42"/>
      <c r="D152" s="42"/>
      <c r="E152" s="42"/>
      <c r="F152" s="42"/>
      <c r="G152" s="42"/>
      <c r="H152" s="42"/>
    </row>
    <row r="153" spans="1:8" x14ac:dyDescent="0.25">
      <c r="A153" s="42"/>
      <c r="B153" s="42"/>
      <c r="C153" s="42"/>
      <c r="D153" s="42"/>
      <c r="E153" s="42"/>
      <c r="F153" s="42"/>
      <c r="G153" s="42"/>
      <c r="H153" s="42"/>
    </row>
    <row r="154" spans="1:8" x14ac:dyDescent="0.25">
      <c r="A154" s="42"/>
      <c r="B154" s="42"/>
      <c r="C154" s="42"/>
      <c r="D154" s="42"/>
      <c r="E154" s="42"/>
      <c r="F154" s="42"/>
      <c r="G154" s="42"/>
      <c r="H154" s="42"/>
    </row>
    <row r="155" spans="1:8" x14ac:dyDescent="0.25">
      <c r="A155" s="42"/>
      <c r="B155" s="42"/>
      <c r="C155" s="42"/>
      <c r="D155" s="42"/>
      <c r="E155" s="42"/>
      <c r="F155" s="42"/>
      <c r="G155" s="42"/>
      <c r="H155" s="42"/>
    </row>
    <row r="156" spans="1:8" x14ac:dyDescent="0.25">
      <c r="A156" s="42"/>
      <c r="B156" s="42"/>
      <c r="C156" s="42"/>
      <c r="D156" s="42"/>
      <c r="E156" s="42"/>
      <c r="F156" s="42"/>
      <c r="G156" s="42"/>
      <c r="H156" s="42"/>
    </row>
    <row r="157" spans="1:8" x14ac:dyDescent="0.25">
      <c r="A157" s="42"/>
      <c r="B157" s="42"/>
      <c r="C157" s="42"/>
      <c r="D157" s="42"/>
      <c r="E157" s="42"/>
      <c r="F157" s="42"/>
      <c r="G157" s="42"/>
      <c r="H157" s="42"/>
    </row>
    <row r="158" spans="1:8" x14ac:dyDescent="0.25">
      <c r="A158" s="42"/>
      <c r="B158" s="42"/>
      <c r="C158" s="42"/>
      <c r="D158" s="42"/>
      <c r="E158" s="42"/>
      <c r="F158" s="42"/>
      <c r="G158" s="42"/>
      <c r="H158" s="42"/>
    </row>
    <row r="159" spans="1:8" x14ac:dyDescent="0.25">
      <c r="A159" s="42"/>
      <c r="B159" s="42"/>
      <c r="C159" s="42"/>
      <c r="D159" s="42"/>
      <c r="E159" s="42"/>
      <c r="F159" s="42"/>
      <c r="G159" s="42"/>
      <c r="H159" s="42"/>
    </row>
    <row r="160" spans="1:8" x14ac:dyDescent="0.25">
      <c r="A160" s="42"/>
      <c r="B160" s="42"/>
      <c r="C160" s="42"/>
      <c r="D160" s="42"/>
      <c r="E160" s="42"/>
      <c r="F160" s="42"/>
      <c r="G160" s="42"/>
      <c r="H160" s="42"/>
    </row>
    <row r="161" spans="1:8" x14ac:dyDescent="0.25">
      <c r="A161" s="42"/>
      <c r="B161" s="42"/>
      <c r="C161" s="42"/>
      <c r="D161" s="42"/>
      <c r="E161" s="42"/>
      <c r="F161" s="42"/>
      <c r="G161" s="42"/>
      <c r="H161" s="42"/>
    </row>
    <row r="162" spans="1:8" x14ac:dyDescent="0.25">
      <c r="A162" s="42"/>
      <c r="B162" s="42"/>
      <c r="C162" s="42"/>
      <c r="D162" s="42"/>
      <c r="E162" s="42"/>
      <c r="F162" s="42"/>
      <c r="G162" s="42"/>
      <c r="H162" s="42"/>
    </row>
    <row r="163" spans="1:8" x14ac:dyDescent="0.25">
      <c r="A163" s="42"/>
      <c r="B163" s="42"/>
      <c r="C163" s="42"/>
      <c r="D163" s="42"/>
      <c r="E163" s="42"/>
      <c r="F163" s="42"/>
      <c r="G163" s="42"/>
      <c r="H163" s="42"/>
    </row>
    <row r="164" spans="1:8" x14ac:dyDescent="0.25">
      <c r="A164" s="42"/>
      <c r="B164" s="42"/>
      <c r="C164" s="42"/>
      <c r="D164" s="42"/>
      <c r="E164" s="42"/>
      <c r="F164" s="42"/>
      <c r="G164" s="42"/>
      <c r="H164" s="42"/>
    </row>
    <row r="165" spans="1:8" x14ac:dyDescent="0.25">
      <c r="A165" s="42"/>
      <c r="B165" s="42"/>
      <c r="C165" s="42"/>
      <c r="D165" s="42"/>
      <c r="E165" s="42"/>
      <c r="F165" s="42"/>
      <c r="G165" s="42"/>
      <c r="H165" s="42"/>
    </row>
    <row r="166" spans="1:8" x14ac:dyDescent="0.25">
      <c r="A166" s="42"/>
      <c r="B166" s="42"/>
      <c r="C166" s="42"/>
      <c r="D166" s="42"/>
      <c r="E166" s="42"/>
      <c r="F166" s="42"/>
      <c r="G166" s="42"/>
      <c r="H166" s="42"/>
    </row>
    <row r="167" spans="1:8" x14ac:dyDescent="0.25">
      <c r="A167" s="42"/>
      <c r="B167" s="42"/>
      <c r="C167" s="42"/>
      <c r="D167" s="42"/>
      <c r="E167" s="42"/>
      <c r="F167" s="42"/>
      <c r="G167" s="42"/>
      <c r="H167" s="42"/>
    </row>
    <row r="168" spans="1:8" x14ac:dyDescent="0.25">
      <c r="A168" s="42"/>
      <c r="B168" s="42"/>
      <c r="C168" s="42"/>
      <c r="D168" s="42"/>
      <c r="E168" s="42"/>
      <c r="F168" s="42"/>
      <c r="G168" s="42"/>
      <c r="H168" s="42"/>
    </row>
    <row r="169" spans="1:8" x14ac:dyDescent="0.25">
      <c r="A169" s="42"/>
      <c r="B169" s="42"/>
      <c r="C169" s="42"/>
      <c r="D169" s="42"/>
      <c r="E169" s="42"/>
      <c r="F169" s="42"/>
      <c r="G169" s="42"/>
      <c r="H169" s="42"/>
    </row>
    <row r="170" spans="1:8" x14ac:dyDescent="0.25">
      <c r="A170" s="42"/>
      <c r="B170" s="42"/>
      <c r="C170" s="42"/>
      <c r="D170" s="42"/>
      <c r="E170" s="42"/>
      <c r="F170" s="42"/>
      <c r="G170" s="42"/>
      <c r="H170" s="42"/>
    </row>
    <row r="171" spans="1:8" x14ac:dyDescent="0.25">
      <c r="A171" s="42"/>
      <c r="B171" s="42"/>
      <c r="C171" s="42"/>
      <c r="D171" s="42"/>
      <c r="E171" s="42"/>
      <c r="F171" s="42"/>
      <c r="G171" s="42"/>
      <c r="H171" s="42"/>
    </row>
    <row r="172" spans="1:8" x14ac:dyDescent="0.25">
      <c r="A172" s="42"/>
      <c r="B172" s="42"/>
      <c r="C172" s="42"/>
      <c r="D172" s="42"/>
      <c r="E172" s="42"/>
      <c r="F172" s="42"/>
      <c r="G172" s="42"/>
      <c r="H172" s="42"/>
    </row>
    <row r="173" spans="1:8" x14ac:dyDescent="0.25">
      <c r="A173" s="42"/>
      <c r="B173" s="42"/>
      <c r="C173" s="42"/>
      <c r="D173" s="42"/>
      <c r="E173" s="42"/>
      <c r="F173" s="42"/>
      <c r="G173" s="42"/>
      <c r="H173" s="42"/>
    </row>
    <row r="174" spans="1:8" x14ac:dyDescent="0.25">
      <c r="A174" s="42"/>
      <c r="B174" s="42"/>
      <c r="C174" s="42"/>
      <c r="D174" s="42"/>
      <c r="E174" s="42"/>
      <c r="F174" s="42"/>
      <c r="G174" s="42"/>
      <c r="H174" s="42"/>
    </row>
    <row r="175" spans="1:8" x14ac:dyDescent="0.25">
      <c r="A175" s="42"/>
      <c r="B175" s="42"/>
      <c r="C175" s="42"/>
      <c r="D175" s="42"/>
      <c r="E175" s="42"/>
      <c r="F175" s="42"/>
      <c r="G175" s="42"/>
      <c r="H175" s="42"/>
    </row>
    <row r="176" spans="1:8" x14ac:dyDescent="0.25">
      <c r="A176" s="42"/>
      <c r="B176" s="42"/>
      <c r="C176" s="42"/>
      <c r="D176" s="42"/>
      <c r="E176" s="42"/>
      <c r="F176" s="42"/>
      <c r="G176" s="42"/>
      <c r="H176" s="42"/>
    </row>
    <row r="177" spans="1:8" x14ac:dyDescent="0.25">
      <c r="A177" s="42"/>
      <c r="B177" s="42"/>
      <c r="C177" s="42"/>
      <c r="D177" s="42"/>
      <c r="E177" s="42"/>
      <c r="F177" s="42"/>
      <c r="G177" s="42"/>
      <c r="H177" s="42"/>
    </row>
    <row r="178" spans="1:8" x14ac:dyDescent="0.25">
      <c r="A178" s="42"/>
      <c r="B178" s="42"/>
      <c r="C178" s="42"/>
      <c r="D178" s="42"/>
      <c r="E178" s="42"/>
      <c r="F178" s="42"/>
      <c r="G178" s="42"/>
      <c r="H178" s="42"/>
    </row>
    <row r="179" spans="1:8" x14ac:dyDescent="0.25">
      <c r="A179" s="42"/>
      <c r="B179" s="42"/>
      <c r="C179" s="42"/>
      <c r="D179" s="42"/>
      <c r="E179" s="42"/>
      <c r="F179" s="42"/>
      <c r="G179" s="42"/>
      <c r="H179" s="42"/>
    </row>
    <row r="180" spans="1:8" x14ac:dyDescent="0.25">
      <c r="A180" s="42"/>
      <c r="B180" s="42"/>
      <c r="C180" s="42"/>
      <c r="D180" s="42"/>
      <c r="E180" s="42"/>
      <c r="F180" s="42"/>
      <c r="G180" s="42"/>
      <c r="H180" s="42"/>
    </row>
    <row r="181" spans="1:8" x14ac:dyDescent="0.25">
      <c r="A181" s="42"/>
      <c r="B181" s="42"/>
      <c r="C181" s="42"/>
      <c r="D181" s="42"/>
      <c r="E181" s="42"/>
      <c r="F181" s="42"/>
      <c r="G181" s="42"/>
      <c r="H181" s="42"/>
    </row>
    <row r="182" spans="1:8" x14ac:dyDescent="0.25">
      <c r="A182" s="42"/>
      <c r="B182" s="42"/>
      <c r="C182" s="42"/>
      <c r="D182" s="42"/>
      <c r="E182" s="42"/>
      <c r="F182" s="42"/>
      <c r="G182" s="42"/>
      <c r="H182" s="42"/>
    </row>
    <row r="183" spans="1:8" x14ac:dyDescent="0.25">
      <c r="A183" s="42"/>
      <c r="B183" s="42"/>
      <c r="C183" s="42"/>
      <c r="D183" s="42"/>
      <c r="E183" s="42"/>
      <c r="F183" s="42"/>
      <c r="G183" s="42"/>
      <c r="H183" s="42"/>
    </row>
    <row r="184" spans="1:8" s="122" customFormat="1" x14ac:dyDescent="0.25">
      <c r="A184" s="42"/>
      <c r="B184" s="42"/>
      <c r="C184" s="42"/>
      <c r="D184" s="42"/>
      <c r="E184" s="42"/>
      <c r="F184" s="42"/>
      <c r="G184" s="42"/>
      <c r="H184" s="42"/>
    </row>
    <row r="185" spans="1:8" x14ac:dyDescent="0.25">
      <c r="A185" s="42"/>
      <c r="B185" s="42"/>
      <c r="C185" s="42"/>
      <c r="D185" s="42"/>
      <c r="E185" s="42"/>
      <c r="F185" s="42"/>
      <c r="G185" s="42"/>
      <c r="H185" s="42"/>
    </row>
    <row r="186" spans="1:8" s="122" customFormat="1" x14ac:dyDescent="0.25">
      <c r="A186" s="42"/>
      <c r="B186" s="42"/>
      <c r="C186" s="42"/>
      <c r="D186" s="42"/>
      <c r="E186" s="42"/>
      <c r="F186" s="42"/>
      <c r="G186" s="42"/>
      <c r="H186" s="42"/>
    </row>
    <row r="187" spans="1:8" x14ac:dyDescent="0.25">
      <c r="A187" s="42"/>
      <c r="B187" s="42"/>
      <c r="C187" s="42"/>
      <c r="D187" s="42"/>
      <c r="E187" s="42"/>
      <c r="F187" s="42"/>
      <c r="G187" s="42"/>
      <c r="H187" s="42"/>
    </row>
    <row r="188" spans="1:8" ht="21" x14ac:dyDescent="0.35">
      <c r="A188" s="564" t="s">
        <v>702</v>
      </c>
      <c r="B188" s="553"/>
      <c r="C188" s="553"/>
      <c r="D188" s="553"/>
      <c r="E188" s="553"/>
      <c r="F188" s="553"/>
      <c r="G188" s="553"/>
      <c r="H188" s="42"/>
    </row>
    <row r="189" spans="1:8" ht="6" customHeight="1" x14ac:dyDescent="0.25">
      <c r="A189" s="42"/>
      <c r="B189" s="42"/>
      <c r="C189" s="42"/>
      <c r="D189" s="42"/>
      <c r="E189" s="42"/>
      <c r="F189" s="42"/>
      <c r="G189" s="42"/>
      <c r="H189" s="42"/>
    </row>
    <row r="190" spans="1:8" ht="25.5" x14ac:dyDescent="0.25">
      <c r="A190" s="42"/>
      <c r="B190" s="42"/>
      <c r="C190" s="42"/>
      <c r="D190" s="42"/>
      <c r="E190" s="528" t="s">
        <v>1337</v>
      </c>
      <c r="F190" s="42"/>
      <c r="G190" s="42"/>
      <c r="H190" s="42"/>
    </row>
    <row r="191" spans="1:8" ht="22.5" x14ac:dyDescent="0.25">
      <c r="A191" s="595" t="s">
        <v>679</v>
      </c>
      <c r="B191" s="595" t="s">
        <v>680</v>
      </c>
      <c r="C191" s="595" t="s">
        <v>700</v>
      </c>
      <c r="D191" s="591" t="str">
        <f>'Analysis Plate'!L3</f>
        <v>pg/mL</v>
      </c>
      <c r="E191" s="591" t="str">
        <f>'Analysis Plate'!M3</f>
        <v>pg/mL</v>
      </c>
      <c r="F191" s="591" t="s">
        <v>661</v>
      </c>
      <c r="G191" s="591" t="s">
        <v>607</v>
      </c>
      <c r="H191" s="42"/>
    </row>
    <row r="192" spans="1:8" x14ac:dyDescent="0.25">
      <c r="A192" s="248" t="str">
        <f>'Analysis Plate'!I4</f>
        <v>07-026</v>
      </c>
      <c r="B192" s="249" t="str">
        <f>'Analysis Plate'!J4</f>
        <v>B</v>
      </c>
      <c r="C192" s="249" t="str">
        <f>'Analysis Plate'!K4</f>
        <v>1A</v>
      </c>
      <c r="D192" s="250">
        <f>'Analysis Plate'!L4</f>
        <v>781.31128755933514</v>
      </c>
      <c r="E192" s="251">
        <f>'Analysis Plate'!M4</f>
        <v>781.31128755933514</v>
      </c>
      <c r="F192" s="250">
        <f>'Analysis Plate'!N4</f>
        <v>20.002398013564807</v>
      </c>
      <c r="G192" s="252">
        <f>'Analysis Plate'!O4</f>
        <v>2.5601061103377143</v>
      </c>
      <c r="H192" s="42"/>
    </row>
    <row r="193" spans="1:8" x14ac:dyDescent="0.25">
      <c r="A193" s="248" t="str">
        <f>'Analysis Plate'!I5</f>
        <v>07-027</v>
      </c>
      <c r="B193" s="249" t="str">
        <f>'Analysis Plate'!J5</f>
        <v>B</v>
      </c>
      <c r="C193" s="249" t="str">
        <f>'Analysis Plate'!K5</f>
        <v>1B</v>
      </c>
      <c r="D193" s="250">
        <f>'Analysis Plate'!L5</f>
        <v>727.13111211219848</v>
      </c>
      <c r="E193" s="251">
        <f>'Analysis Plate'!M5</f>
        <v>727.13111211219848</v>
      </c>
      <c r="F193" s="250">
        <f>'Analysis Plate'!N5</f>
        <v>12.555823107689811</v>
      </c>
      <c r="G193" s="252">
        <f>'Analysis Plate'!O5</f>
        <v>1.7267619138475827</v>
      </c>
      <c r="H193" s="42"/>
    </row>
    <row r="194" spans="1:8" x14ac:dyDescent="0.25">
      <c r="A194" s="248" t="str">
        <f>'Analysis Plate'!I6</f>
        <v>08-002</v>
      </c>
      <c r="B194" s="249" t="str">
        <f>'Analysis Plate'!J6</f>
        <v>B</v>
      </c>
      <c r="C194" s="249" t="str">
        <f>'Analysis Plate'!K6</f>
        <v>2A</v>
      </c>
      <c r="D194" s="250">
        <f>'Analysis Plate'!L6</f>
        <v>327.8812392749083</v>
      </c>
      <c r="E194" s="251">
        <f>'Analysis Plate'!M6</f>
        <v>327.8812392749083</v>
      </c>
      <c r="F194" s="250">
        <f>'Analysis Plate'!N6</f>
        <v>12.259398959129122</v>
      </c>
      <c r="G194" s="252">
        <f>'Analysis Plate'!O6</f>
        <v>3.7389754248337361</v>
      </c>
      <c r="H194" s="42"/>
    </row>
    <row r="195" spans="1:8" x14ac:dyDescent="0.25">
      <c r="A195" s="248" t="str">
        <f>'Analysis Plate'!I7</f>
        <v>08-003</v>
      </c>
      <c r="B195" s="249" t="str">
        <f>'Analysis Plate'!J7</f>
        <v>B</v>
      </c>
      <c r="C195" s="249" t="str">
        <f>'Analysis Plate'!K7</f>
        <v>2B</v>
      </c>
      <c r="D195" s="250">
        <f>'Analysis Plate'!L7</f>
        <v>773.87291819562915</v>
      </c>
      <c r="E195" s="251">
        <f>'Analysis Plate'!M7</f>
        <v>773.87291819562915</v>
      </c>
      <c r="F195" s="250">
        <f>'Analysis Plate'!N7</f>
        <v>22.088556098603632</v>
      </c>
      <c r="G195" s="252">
        <f>'Analysis Plate'!O7</f>
        <v>2.8542872581851757</v>
      </c>
      <c r="H195" s="42"/>
    </row>
    <row r="196" spans="1:8" x14ac:dyDescent="0.25">
      <c r="A196" s="248" t="str">
        <f>'Analysis Plate'!I8</f>
        <v>08-005</v>
      </c>
      <c r="B196" s="249" t="str">
        <f>'Analysis Plate'!J8</f>
        <v>B</v>
      </c>
      <c r="C196" s="249" t="str">
        <f>'Analysis Plate'!K8</f>
        <v>2C</v>
      </c>
      <c r="D196" s="250">
        <f>'Analysis Plate'!L8</f>
        <v>718.25465239015602</v>
      </c>
      <c r="E196" s="251">
        <f>'Analysis Plate'!M8</f>
        <v>718.25465239015602</v>
      </c>
      <c r="F196" s="250">
        <f>'Analysis Plate'!N8</f>
        <v>8.3626176167859185</v>
      </c>
      <c r="G196" s="252">
        <f>'Analysis Plate'!O8</f>
        <v>1.1642970343397572</v>
      </c>
      <c r="H196" s="42"/>
    </row>
    <row r="197" spans="1:8" x14ac:dyDescent="0.25">
      <c r="A197" s="248" t="str">
        <f>'Analysis Plate'!I9</f>
        <v>08-006</v>
      </c>
      <c r="B197" s="249" t="str">
        <f>'Analysis Plate'!J9</f>
        <v>B</v>
      </c>
      <c r="C197" s="249" t="str">
        <f>'Analysis Plate'!K9</f>
        <v>2D</v>
      </c>
      <c r="D197" s="250">
        <f>'Analysis Plate'!L9</f>
        <v>710.86410667312975</v>
      </c>
      <c r="E197" s="251">
        <f>'Analysis Plate'!M9</f>
        <v>710.86410667312975</v>
      </c>
      <c r="F197" s="250">
        <f>'Analysis Plate'!N9</f>
        <v>0</v>
      </c>
      <c r="G197" s="252">
        <f>'Analysis Plate'!O9</f>
        <v>0</v>
      </c>
      <c r="H197" s="42"/>
    </row>
    <row r="198" spans="1:8" x14ac:dyDescent="0.25">
      <c r="A198" s="248" t="str">
        <f>'Analysis Plate'!I10</f>
        <v>08-007</v>
      </c>
      <c r="B198" s="249" t="str">
        <f>'Analysis Plate'!J10</f>
        <v>B</v>
      </c>
      <c r="C198" s="249" t="str">
        <f>'Analysis Plate'!K10</f>
        <v>2E</v>
      </c>
      <c r="D198" s="250">
        <f>'Analysis Plate'!L10</f>
        <v>732.31401584212381</v>
      </c>
      <c r="E198" s="251">
        <f>'Analysis Plate'!M10</f>
        <v>732.31401584212381</v>
      </c>
      <c r="F198" s="250">
        <f>'Analysis Plate'!N10</f>
        <v>15.70359796441535</v>
      </c>
      <c r="G198" s="252">
        <f>'Analysis Plate'!O10</f>
        <v>2.1443803648025241</v>
      </c>
      <c r="H198" s="42"/>
    </row>
    <row r="199" spans="1:8" x14ac:dyDescent="0.25">
      <c r="A199" s="248" t="str">
        <f>'Analysis Plate'!I11</f>
        <v>08-011</v>
      </c>
      <c r="B199" s="249" t="str">
        <f>'Analysis Plate'!J11</f>
        <v>B</v>
      </c>
      <c r="C199" s="249" t="str">
        <f>'Analysis Plate'!K11</f>
        <v>2F</v>
      </c>
      <c r="D199" s="250">
        <f>'Analysis Plate'!L11</f>
        <v>750.8390145393646</v>
      </c>
      <c r="E199" s="251">
        <f>'Analysis Plate'!M11</f>
        <v>750.8390145393646</v>
      </c>
      <c r="F199" s="250">
        <f>'Analysis Plate'!N11</f>
        <v>14.686736424608988</v>
      </c>
      <c r="G199" s="252">
        <f>'Analysis Plate'!O11</f>
        <v>1.9560433248955793</v>
      </c>
      <c r="H199" s="42"/>
    </row>
    <row r="200" spans="1:8" x14ac:dyDescent="0.25">
      <c r="A200" s="248" t="str">
        <f>'Analysis Plate'!I12</f>
        <v>08-014</v>
      </c>
      <c r="B200" s="249" t="str">
        <f>'Analysis Plate'!J12</f>
        <v>B</v>
      </c>
      <c r="C200" s="249" t="str">
        <f>'Analysis Plate'!K12</f>
        <v>2G</v>
      </c>
      <c r="D200" s="250">
        <f>'Analysis Plate'!L12</f>
        <v>750.09146844177076</v>
      </c>
      <c r="E200" s="251">
        <f>'Analysis Plate'!M12</f>
        <v>750.09146844177076</v>
      </c>
      <c r="F200" s="250">
        <f>'Analysis Plate'!N12</f>
        <v>3.1468829026837564</v>
      </c>
      <c r="G200" s="252">
        <f>'Analysis Plate'!O12</f>
        <v>0.41953322162443013</v>
      </c>
      <c r="H200" s="42"/>
    </row>
    <row r="201" spans="1:8" x14ac:dyDescent="0.25">
      <c r="A201" s="248" t="str">
        <f>'Analysis Plate'!I13</f>
        <v>08-017</v>
      </c>
      <c r="B201" s="249" t="str">
        <f>'Analysis Plate'!J13</f>
        <v>B</v>
      </c>
      <c r="C201" s="249" t="str">
        <f>'Analysis Plate'!K13</f>
        <v>2H</v>
      </c>
      <c r="D201" s="250">
        <f>'Analysis Plate'!L13</f>
        <v>772.38834340795347</v>
      </c>
      <c r="E201" s="251">
        <f>'Analysis Plate'!M13</f>
        <v>772.38834340795347</v>
      </c>
      <c r="F201" s="250">
        <f>'Analysis Plate'!N13</f>
        <v>24.188061897691981</v>
      </c>
      <c r="G201" s="252">
        <f>'Analysis Plate'!O13</f>
        <v>3.1315933369694235</v>
      </c>
      <c r="H201" s="42"/>
    </row>
    <row r="202" spans="1:8" x14ac:dyDescent="0.25">
      <c r="A202" s="248" t="str">
        <f>'Analysis Plate'!I14</f>
        <v>08-020</v>
      </c>
      <c r="B202" s="249" t="str">
        <f>'Analysis Plate'!J14</f>
        <v>B</v>
      </c>
      <c r="C202" s="249" t="str">
        <f>'Analysis Plate'!K14</f>
        <v>3A</v>
      </c>
      <c r="D202" s="250">
        <f>'Analysis Plate'!L14</f>
        <v>811.14465562616056</v>
      </c>
      <c r="E202" s="251">
        <f>'Analysis Plate'!M14</f>
        <v>811.14465562616056</v>
      </c>
      <c r="F202" s="250">
        <f>'Analysis Plate'!N14</f>
        <v>22.188355717807859</v>
      </c>
      <c r="G202" s="252">
        <f>'Analysis Plate'!O14</f>
        <v>2.7354375774909876</v>
      </c>
      <c r="H202" s="42"/>
    </row>
    <row r="203" spans="1:8" x14ac:dyDescent="0.25">
      <c r="A203" s="248" t="str">
        <f>'Analysis Plate'!I15</f>
        <v>08-021</v>
      </c>
      <c r="B203" s="249" t="str">
        <f>'Analysis Plate'!J15</f>
        <v>B</v>
      </c>
      <c r="C203" s="249" t="str">
        <f>'Analysis Plate'!K15</f>
        <v>3B</v>
      </c>
      <c r="D203" s="250">
        <f>'Analysis Plate'!L15</f>
        <v>765.68442607202189</v>
      </c>
      <c r="E203" s="251">
        <f>'Analysis Plate'!M15</f>
        <v>765.68442607202189</v>
      </c>
      <c r="F203" s="250">
        <f>'Analysis Plate'!N15</f>
        <v>10.508279482013057</v>
      </c>
      <c r="G203" s="252">
        <f>'Analysis Plate'!O15</f>
        <v>1.3724034503249287</v>
      </c>
      <c r="H203" s="42"/>
    </row>
    <row r="204" spans="1:8" x14ac:dyDescent="0.25">
      <c r="A204" s="248" t="str">
        <f>'Analysis Plate'!I16</f>
        <v>08-023</v>
      </c>
      <c r="B204" s="249" t="str">
        <f>'Analysis Plate'!J16</f>
        <v>B</v>
      </c>
      <c r="C204" s="249" t="str">
        <f>'Analysis Plate'!K16</f>
        <v>3C</v>
      </c>
      <c r="D204" s="250">
        <f>'Analysis Plate'!L16</f>
        <v>809.63553470979309</v>
      </c>
      <c r="E204" s="251">
        <f>'Analysis Plate'!M16</f>
        <v>809.63553470979309</v>
      </c>
      <c r="F204" s="250">
        <f>'Analysis Plate'!N16</f>
        <v>3.1691462254878973</v>
      </c>
      <c r="G204" s="252">
        <f>'Analysis Plate'!O16</f>
        <v>0.39142874659322491</v>
      </c>
      <c r="H204" s="42"/>
    </row>
    <row r="205" spans="1:8" x14ac:dyDescent="0.25">
      <c r="A205" s="248" t="str">
        <f>'Analysis Plate'!I17</f>
        <v>08-025</v>
      </c>
      <c r="B205" s="249" t="str">
        <f>'Analysis Plate'!J17</f>
        <v>B</v>
      </c>
      <c r="C205" s="249" t="str">
        <f>'Analysis Plate'!K17</f>
        <v>3D</v>
      </c>
      <c r="D205" s="250">
        <f>'Analysis Plate'!L17</f>
        <v>779.0676692894383</v>
      </c>
      <c r="E205" s="251">
        <f>'Analysis Plate'!M17</f>
        <v>779.0676692894383</v>
      </c>
      <c r="F205" s="250">
        <f>'Analysis Plate'!N17</f>
        <v>6.314832239479931</v>
      </c>
      <c r="G205" s="252">
        <f>'Analysis Plate'!O17</f>
        <v>0.81056273908009546</v>
      </c>
      <c r="H205" s="42"/>
    </row>
    <row r="206" spans="1:8" x14ac:dyDescent="0.25">
      <c r="A206" s="248" t="str">
        <f>'Analysis Plate'!I18</f>
        <v>08-027</v>
      </c>
      <c r="B206" s="249" t="str">
        <f>'Analysis Plate'!J18</f>
        <v>B</v>
      </c>
      <c r="C206" s="249" t="str">
        <f>'Analysis Plate'!K18</f>
        <v>3E</v>
      </c>
      <c r="D206" s="250">
        <f>'Analysis Plate'!L18</f>
        <v>776.83679707260842</v>
      </c>
      <c r="E206" s="251">
        <f>'Analysis Plate'!M18</f>
        <v>776.83679707260842</v>
      </c>
      <c r="F206" s="250">
        <f>'Analysis Plate'!N18</f>
        <v>9.4697619844420799</v>
      </c>
      <c r="G206" s="252">
        <f>'Analysis Plate'!O18</f>
        <v>1.2190156310987637</v>
      </c>
      <c r="H206" s="42"/>
    </row>
    <row r="207" spans="1:8" x14ac:dyDescent="0.25">
      <c r="A207" s="248" t="str">
        <f>'Analysis Plate'!I19</f>
        <v>08-028</v>
      </c>
      <c r="B207" s="249" t="str">
        <f>'Analysis Plate'!J19</f>
        <v>B</v>
      </c>
      <c r="C207" s="249" t="str">
        <f>'Analysis Plate'!K19</f>
        <v>3F</v>
      </c>
      <c r="D207" s="250">
        <f>'Analysis Plate'!L19</f>
        <v>753.05887466554282</v>
      </c>
      <c r="E207" s="251">
        <f>'Analysis Plate'!M19</f>
        <v>753.05887466554282</v>
      </c>
      <c r="F207" s="250">
        <f>'Analysis Plate'!N19</f>
        <v>3.1479349512920587</v>
      </c>
      <c r="G207" s="252">
        <f>'Analysis Plate'!O19</f>
        <v>0.41801976674003816</v>
      </c>
      <c r="H207" s="42"/>
    </row>
    <row r="208" spans="1:8" x14ac:dyDescent="0.25">
      <c r="A208" s="248" t="str">
        <f>'Analysis Plate'!I20</f>
        <v>08-030</v>
      </c>
      <c r="B208" s="249" t="str">
        <f>'Analysis Plate'!J20</f>
        <v>B</v>
      </c>
      <c r="C208" s="249" t="str">
        <f>'Analysis Plate'!K20</f>
        <v>3G</v>
      </c>
      <c r="D208" s="250">
        <f>'Analysis Plate'!L20</f>
        <v>778.32260785874507</v>
      </c>
      <c r="E208" s="251">
        <f>'Analysis Plate'!M20</f>
        <v>778.32260785874507</v>
      </c>
      <c r="F208" s="250">
        <f>'Analysis Plate'!N20</f>
        <v>3.1571366358076149</v>
      </c>
      <c r="G208" s="252">
        <f>'Analysis Plate'!O20</f>
        <v>0.40563342294440868</v>
      </c>
      <c r="H208" s="42"/>
    </row>
    <row r="209" spans="1:8" x14ac:dyDescent="0.25">
      <c r="A209" s="248" t="str">
        <f>'Analysis Plate'!I21</f>
        <v>08-031</v>
      </c>
      <c r="B209" s="249" t="str">
        <f>'Analysis Plate'!J21</f>
        <v>B</v>
      </c>
      <c r="C209" s="249" t="str">
        <f>'Analysis Plate'!K21</f>
        <v>3H</v>
      </c>
      <c r="D209" s="250">
        <f>'Analysis Plate'!L21</f>
        <v>759.73902792519607</v>
      </c>
      <c r="E209" s="251">
        <f>'Analysis Plate'!M21</f>
        <v>759.73902792519607</v>
      </c>
      <c r="F209" s="250">
        <f>'Analysis Plate'!N21</f>
        <v>2.1002167890640315</v>
      </c>
      <c r="G209" s="252">
        <f>'Analysis Plate'!O21</f>
        <v>0.27643923924766689</v>
      </c>
      <c r="H209" s="42"/>
    </row>
    <row r="210" spans="1:8" x14ac:dyDescent="0.25">
      <c r="A210" s="248" t="str">
        <f>'Analysis Plate'!I22</f>
        <v>08-033</v>
      </c>
      <c r="B210" s="249" t="str">
        <f>'Analysis Plate'!J22</f>
        <v>B</v>
      </c>
      <c r="C210" s="249" t="str">
        <f>'Analysis Plate'!K22</f>
        <v>4A</v>
      </c>
      <c r="D210" s="250">
        <f>'Analysis Plate'!L22</f>
        <v>641.69966512788415</v>
      </c>
      <c r="E210" s="251">
        <f>'Analysis Plate'!M22</f>
        <v>641.69966512788415</v>
      </c>
      <c r="F210" s="250">
        <f>'Analysis Plate'!N22</f>
        <v>33.202428990818525</v>
      </c>
      <c r="G210" s="252">
        <f>'Analysis Plate'!O22</f>
        <v>5.174138431909828</v>
      </c>
      <c r="H210" s="42"/>
    </row>
    <row r="211" spans="1:8" x14ac:dyDescent="0.25">
      <c r="A211" s="248" t="str">
        <f>'Analysis Plate'!I23</f>
        <v>08-035</v>
      </c>
      <c r="B211" s="249" t="str">
        <f>'Analysis Plate'!J23</f>
        <v>B</v>
      </c>
      <c r="C211" s="249" t="str">
        <f>'Analysis Plate'!K23</f>
        <v>4B</v>
      </c>
      <c r="D211" s="250">
        <f>'Analysis Plate'!L23</f>
        <v>606.58087504676882</v>
      </c>
      <c r="E211" s="251">
        <f>'Analysis Plate'!M23</f>
        <v>606.58087504676882</v>
      </c>
      <c r="F211" s="250">
        <f>'Analysis Plate'!N23</f>
        <v>57.933364273299738</v>
      </c>
      <c r="G211" s="252">
        <f>'Analysis Plate'!O23</f>
        <v>9.5508062744037119</v>
      </c>
      <c r="H211" s="42"/>
    </row>
    <row r="212" spans="1:8" x14ac:dyDescent="0.25">
      <c r="A212" s="248" t="str">
        <f>'Analysis Plate'!I24</f>
        <v>08-036</v>
      </c>
      <c r="B212" s="249" t="str">
        <f>'Analysis Plate'!J24</f>
        <v>B</v>
      </c>
      <c r="C212" s="249" t="str">
        <f>'Analysis Plate'!K24</f>
        <v>4C</v>
      </c>
      <c r="D212" s="250">
        <f>'Analysis Plate'!L24</f>
        <v>560.52060903425672</v>
      </c>
      <c r="E212" s="251">
        <f>'Analysis Plate'!M24</f>
        <v>560.52060903425672</v>
      </c>
      <c r="F212" s="250">
        <f>'Analysis Plate'!N24</f>
        <v>21.648262113985126</v>
      </c>
      <c r="G212" s="252">
        <f>'Analysis Plate'!O24</f>
        <v>3.8621705901739771</v>
      </c>
      <c r="H212" s="42"/>
    </row>
    <row r="213" spans="1:8" x14ac:dyDescent="0.25">
      <c r="A213" s="248" t="str">
        <f>'Analysis Plate'!I25</f>
        <v>09-005</v>
      </c>
      <c r="B213" s="249" t="str">
        <f>'Analysis Plate'!J25</f>
        <v>B</v>
      </c>
      <c r="C213" s="249" t="str">
        <f>'Analysis Plate'!K25</f>
        <v>4D</v>
      </c>
      <c r="D213" s="250">
        <f>'Analysis Plate'!L25</f>
        <v>655.64733513664328</v>
      </c>
      <c r="E213" s="251">
        <f>'Analysis Plate'!M25</f>
        <v>655.64733513664328</v>
      </c>
      <c r="F213" s="250">
        <f>'Analysis Plate'!N25</f>
        <v>32.205488046489045</v>
      </c>
      <c r="G213" s="252">
        <f>'Analysis Plate'!O25</f>
        <v>4.9120138709596226</v>
      </c>
      <c r="H213" s="42"/>
    </row>
    <row r="214" spans="1:8" x14ac:dyDescent="0.25">
      <c r="A214" s="248" t="str">
        <f>'Analysis Plate'!I26</f>
        <v>09-006</v>
      </c>
      <c r="B214" s="249" t="str">
        <f>'Analysis Plate'!J26</f>
        <v>B</v>
      </c>
      <c r="C214" s="249" t="str">
        <f>'Analysis Plate'!K26</f>
        <v>4E</v>
      </c>
      <c r="D214" s="250">
        <f>'Analysis Plate'!L26</f>
        <v>662.98300195355375</v>
      </c>
      <c r="E214" s="251">
        <f>'Analysis Plate'!M26</f>
        <v>662.98300195355375</v>
      </c>
      <c r="F214" s="250">
        <f>'Analysis Plate'!N26</f>
        <v>21.831288544964057</v>
      </c>
      <c r="G214" s="252">
        <f>'Analysis Plate'!O26</f>
        <v>3.2928881254324347</v>
      </c>
      <c r="H214" s="42"/>
    </row>
    <row r="215" spans="1:8" x14ac:dyDescent="0.25">
      <c r="A215" s="248" t="str">
        <f>'Analysis Plate'!I27</f>
        <v>09-008</v>
      </c>
      <c r="B215" s="249" t="str">
        <f>'Analysis Plate'!J27</f>
        <v>B</v>
      </c>
      <c r="C215" s="249" t="str">
        <f>'Analysis Plate'!K27</f>
        <v>4F</v>
      </c>
      <c r="D215" s="250">
        <f>'Analysis Plate'!L27</f>
        <v>580.20806542169157</v>
      </c>
      <c r="E215" s="251">
        <f>'Analysis Plate'!M27</f>
        <v>580.20806542169157</v>
      </c>
      <c r="F215" s="250">
        <f>'Analysis Plate'!N27</f>
        <v>6.1940057177541377</v>
      </c>
      <c r="G215" s="252">
        <f>'Analysis Plate'!O27</f>
        <v>1.0675490547089126</v>
      </c>
      <c r="H215" s="42"/>
    </row>
    <row r="216" spans="1:8" x14ac:dyDescent="0.25">
      <c r="A216" s="248" t="str">
        <f>'Analysis Plate'!I28</f>
        <v>09-011</v>
      </c>
      <c r="B216" s="249" t="str">
        <f>'Analysis Plate'!J28</f>
        <v>B</v>
      </c>
      <c r="C216" s="249" t="str">
        <f>'Analysis Plate'!K28</f>
        <v>4G</v>
      </c>
      <c r="D216" s="250">
        <f>'Analysis Plate'!L28</f>
        <v>620.42146460910772</v>
      </c>
      <c r="E216" s="251">
        <f>'Analysis Plate'!M28</f>
        <v>620.42146460910772</v>
      </c>
      <c r="F216" s="250">
        <f>'Analysis Plate'!N28</f>
        <v>11.392107398127409</v>
      </c>
      <c r="G216" s="252">
        <f>'Analysis Plate'!O28</f>
        <v>1.836188469930667</v>
      </c>
      <c r="H216" s="42"/>
    </row>
    <row r="217" spans="1:8" x14ac:dyDescent="0.25">
      <c r="A217" s="248" t="str">
        <f>'Analysis Plate'!I29</f>
        <v>09-012</v>
      </c>
      <c r="B217" s="249" t="str">
        <f>'Analysis Plate'!J29</f>
        <v>B</v>
      </c>
      <c r="C217" s="249" t="str">
        <f>'Analysis Plate'!K29</f>
        <v>4H</v>
      </c>
      <c r="D217" s="250">
        <f>'Analysis Plate'!L29</f>
        <v>603.5943118956493</v>
      </c>
      <c r="E217" s="251">
        <f>'Analysis Plate'!M29</f>
        <v>603.5943118956493</v>
      </c>
      <c r="F217" s="250">
        <f>'Analysis Plate'!N29</f>
        <v>18.615900527947467</v>
      </c>
      <c r="G217" s="252">
        <f>'Analysis Plate'!O29</f>
        <v>3.0841742808149299</v>
      </c>
      <c r="H217" s="42"/>
    </row>
    <row r="218" spans="1:8" x14ac:dyDescent="0.25">
      <c r="A218" s="248" t="str">
        <f>'Analysis Plate'!I30</f>
        <v>09-013</v>
      </c>
      <c r="B218" s="249" t="str">
        <f>'Analysis Plate'!J30</f>
        <v>B</v>
      </c>
      <c r="C218" s="249" t="str">
        <f>'Analysis Plate'!K30</f>
        <v>5A</v>
      </c>
      <c r="D218" s="250">
        <f>'Analysis Plate'!L30</f>
        <v>687.30101684874978</v>
      </c>
      <c r="E218" s="251">
        <f>'Analysis Plate'!M30</f>
        <v>687.30101684874978</v>
      </c>
      <c r="F218" s="250">
        <f>'Analysis Plate'!N30</f>
        <v>41.6819494012965</v>
      </c>
      <c r="G218" s="252">
        <f>'Analysis Plate'!O30</f>
        <v>6.0645842766837053</v>
      </c>
      <c r="H218" s="42"/>
    </row>
    <row r="219" spans="1:8" x14ac:dyDescent="0.25">
      <c r="A219" s="248" t="str">
        <f>'Analysis Plate'!I31</f>
        <v>09-014</v>
      </c>
      <c r="B219" s="249" t="str">
        <f>'Analysis Plate'!J31</f>
        <v>B</v>
      </c>
      <c r="C219" s="249" t="str">
        <f>'Analysis Plate'!K31</f>
        <v>5B</v>
      </c>
      <c r="D219" s="250">
        <f>'Analysis Plate'!L31</f>
        <v>650.51432886104817</v>
      </c>
      <c r="E219" s="251">
        <f>'Analysis Plate'!M31</f>
        <v>650.51432886104817</v>
      </c>
      <c r="F219" s="250">
        <f>'Analysis Plate'!N31</f>
        <v>37.382584086688894</v>
      </c>
      <c r="G219" s="252">
        <f>'Analysis Plate'!O31</f>
        <v>5.7466196251418662</v>
      </c>
      <c r="H219" s="42"/>
    </row>
    <row r="220" spans="1:8" x14ac:dyDescent="0.25">
      <c r="A220" s="248" t="str">
        <f>'Analysis Plate'!I32</f>
        <v>09-019</v>
      </c>
      <c r="B220" s="249" t="str">
        <f>'Analysis Plate'!J32</f>
        <v>B</v>
      </c>
      <c r="C220" s="249" t="str">
        <f>'Analysis Plate'!K32</f>
        <v>5C</v>
      </c>
      <c r="D220" s="250">
        <f>'Analysis Plate'!L32</f>
        <v>588.24193182395015</v>
      </c>
      <c r="E220" s="251">
        <f>'Analysis Plate'!M32</f>
        <v>588.24193182395015</v>
      </c>
      <c r="F220" s="250">
        <f>'Analysis Plate'!N32</f>
        <v>11.362618797330514</v>
      </c>
      <c r="G220" s="252">
        <f>'Analysis Plate'!O32</f>
        <v>1.9316233989132101</v>
      </c>
      <c r="H220" s="42"/>
    </row>
    <row r="221" spans="1:8" x14ac:dyDescent="0.25">
      <c r="A221" s="248" t="str">
        <f>'Analysis Plate'!I33</f>
        <v>09-021</v>
      </c>
      <c r="B221" s="249" t="str">
        <f>'Analysis Plate'!J33</f>
        <v>B</v>
      </c>
      <c r="C221" s="249" t="str">
        <f>'Analysis Plate'!K33</f>
        <v>5D</v>
      </c>
      <c r="D221" s="250">
        <f>'Analysis Plate'!L33</f>
        <v>660.77172118068165</v>
      </c>
      <c r="E221" s="251">
        <f>'Analysis Plate'!M33</f>
        <v>660.77172118068165</v>
      </c>
      <c r="F221" s="250">
        <f>'Analysis Plate'!N33</f>
        <v>14.551114197111005</v>
      </c>
      <c r="G221" s="252">
        <f>'Analysis Plate'!O33</f>
        <v>2.2021393668468061</v>
      </c>
      <c r="H221" s="42"/>
    </row>
    <row r="222" spans="1:8" x14ac:dyDescent="0.25">
      <c r="A222" s="248" t="str">
        <f>'Analysis Plate'!I34</f>
        <v>09-023</v>
      </c>
      <c r="B222" s="249" t="str">
        <f>'Analysis Plate'!J34</f>
        <v>B</v>
      </c>
      <c r="C222" s="249" t="str">
        <f>'Analysis Plate'!K34</f>
        <v>5E</v>
      </c>
      <c r="D222" s="250">
        <f>'Analysis Plate'!L34</f>
        <v>666.6529292934357</v>
      </c>
      <c r="E222" s="251">
        <f>'Analysis Plate'!M34</f>
        <v>666.6529292934357</v>
      </c>
      <c r="F222" s="250">
        <f>'Analysis Plate'!N34</f>
        <v>14.55915647748615</v>
      </c>
      <c r="G222" s="252">
        <f>'Analysis Plate'!O34</f>
        <v>2.1839184735776889</v>
      </c>
      <c r="H222" s="42"/>
    </row>
    <row r="223" spans="1:8" x14ac:dyDescent="0.25">
      <c r="A223" s="248" t="str">
        <f>'Analysis Plate'!I35</f>
        <v>09-041</v>
      </c>
      <c r="B223" s="249" t="str">
        <f>'Analysis Plate'!J35</f>
        <v>B</v>
      </c>
      <c r="C223" s="249" t="str">
        <f>'Analysis Plate'!K35</f>
        <v>5F</v>
      </c>
      <c r="D223" s="250">
        <f>'Analysis Plate'!L35</f>
        <v>638.74095581866902</v>
      </c>
      <c r="E223" s="251">
        <f>'Analysis Plate'!M35</f>
        <v>638.74095581866902</v>
      </c>
      <c r="F223" s="250">
        <f>'Analysis Plate'!N35</f>
        <v>2.0745660402939161</v>
      </c>
      <c r="G223" s="252">
        <f>'Analysis Plate'!O35</f>
        <v>0.32478988882667809</v>
      </c>
      <c r="H223" s="42"/>
    </row>
    <row r="224" spans="1:8" x14ac:dyDescent="0.25">
      <c r="A224" s="248" t="str">
        <f>'Analysis Plate'!I36</f>
        <v>09-042</v>
      </c>
      <c r="B224" s="249" t="str">
        <f>'Analysis Plate'!J36</f>
        <v>B</v>
      </c>
      <c r="C224" s="249" t="str">
        <f>'Analysis Plate'!K36</f>
        <v>5G</v>
      </c>
      <c r="D224" s="250">
        <f>'Analysis Plate'!L36</f>
        <v>647.57088142917632</v>
      </c>
      <c r="E224" s="251">
        <f>'Analysis Plate'!M36</f>
        <v>647.57088142917632</v>
      </c>
      <c r="F224" s="250">
        <f>'Analysis Plate'!N36</f>
        <v>33.21992080840355</v>
      </c>
      <c r="G224" s="252">
        <f>'Analysis Plate'!O36</f>
        <v>5.1299281300431288</v>
      </c>
      <c r="H224" s="42"/>
    </row>
    <row r="225" spans="1:8" x14ac:dyDescent="0.25">
      <c r="A225" s="248" t="str">
        <f>'Analysis Plate'!I37</f>
        <v>09-043</v>
      </c>
      <c r="B225" s="249" t="str">
        <f>'Analysis Plate'!J37</f>
        <v>B</v>
      </c>
      <c r="C225" s="249" t="str">
        <f>'Analysis Plate'!K37</f>
        <v>5H</v>
      </c>
      <c r="D225" s="250">
        <f>'Analysis Plate'!L37</f>
        <v>638.00857754548497</v>
      </c>
      <c r="E225" s="251">
        <f>'Analysis Plate'!M37</f>
        <v>638.00857754548497</v>
      </c>
      <c r="F225" s="250">
        <f>'Analysis Plate'!N37</f>
        <v>7.260517837661415</v>
      </c>
      <c r="G225" s="252">
        <f>'Analysis Plate'!O37</f>
        <v>1.1379969005422654</v>
      </c>
      <c r="H225" s="42"/>
    </row>
    <row r="226" spans="1:8" x14ac:dyDescent="0.25">
      <c r="A226" s="248" t="str">
        <f>'Analysis Plate'!I38</f>
        <v>09-044</v>
      </c>
      <c r="B226" s="249" t="str">
        <f>'Analysis Plate'!J38</f>
        <v>B</v>
      </c>
      <c r="C226" s="249" t="str">
        <f>'Analysis Plate'!K38</f>
        <v>6A</v>
      </c>
      <c r="D226" s="250">
        <f>'Analysis Plate'!L38</f>
        <v>679.21452393509071</v>
      </c>
      <c r="E226" s="251">
        <f>'Analysis Plate'!M38</f>
        <v>679.21452393509071</v>
      </c>
      <c r="F226" s="250">
        <f>'Analysis Plate'!N38</f>
        <v>48.937976300613904</v>
      </c>
      <c r="G226" s="252">
        <f>'Analysis Plate'!O38</f>
        <v>7.205083898543176</v>
      </c>
      <c r="H226" s="42"/>
    </row>
    <row r="227" spans="1:8" x14ac:dyDescent="0.25">
      <c r="A227" s="248" t="str">
        <f>'Analysis Plate'!I39</f>
        <v>09-045</v>
      </c>
      <c r="B227" s="249" t="str">
        <f>'Analysis Plate'!J39</f>
        <v>B</v>
      </c>
      <c r="C227" s="249" t="str">
        <f>'Analysis Plate'!K39</f>
        <v>6B</v>
      </c>
      <c r="D227" s="250">
        <f>'Analysis Plate'!L39</f>
        <v>676.21933172828426</v>
      </c>
      <c r="E227" s="251">
        <f>'Analysis Plate'!M39</f>
        <v>676.21933172828426</v>
      </c>
      <c r="F227" s="250">
        <f>'Analysis Plate'!N39</f>
        <v>17.695189664793354</v>
      </c>
      <c r="G227" s="252">
        <f>'Analysis Plate'!O39</f>
        <v>2.6167825784524545</v>
      </c>
      <c r="H227" s="42"/>
    </row>
    <row r="228" spans="1:8" x14ac:dyDescent="0.25">
      <c r="A228" s="248" t="str">
        <f>'Analysis Plate'!I40</f>
        <v>09-046</v>
      </c>
      <c r="B228" s="249" t="str">
        <f>'Analysis Plate'!J40</f>
        <v>B</v>
      </c>
      <c r="C228" s="249" t="str">
        <f>'Analysis Plate'!K40</f>
        <v>6A</v>
      </c>
      <c r="D228" s="250">
        <f>'Analysis Plate'!L40</f>
        <v>314.87814251589975</v>
      </c>
      <c r="E228" s="251">
        <f>'Analysis Plate'!M40</f>
        <v>314.87814251589975</v>
      </c>
      <c r="F228" s="250">
        <f>'Analysis Plate'!N40</f>
        <v>12.259374025022979</v>
      </c>
      <c r="G228" s="252">
        <f>'Analysis Plate'!O40</f>
        <v>3.8933709171013491</v>
      </c>
      <c r="H228" s="42"/>
    </row>
    <row r="229" spans="1:8" x14ac:dyDescent="0.25">
      <c r="A229" s="248" t="str">
        <f>'Analysis Plate'!I41</f>
        <v>09-047</v>
      </c>
      <c r="B229" s="249" t="str">
        <f>'Analysis Plate'!J41</f>
        <v>B</v>
      </c>
      <c r="C229" s="249" t="str">
        <f>'Analysis Plate'!K41</f>
        <v>6B</v>
      </c>
      <c r="D229" s="250">
        <f>'Analysis Plate'!L41</f>
        <v>317.04538216210551</v>
      </c>
      <c r="E229" s="251">
        <f>'Analysis Plate'!M41</f>
        <v>317.04538216210551</v>
      </c>
      <c r="F229" s="250">
        <f>'Analysis Plate'!N41</f>
        <v>3.0648171297335449</v>
      </c>
      <c r="G229" s="252">
        <f>'Analysis Plate'!O41</f>
        <v>0.96668089244286848</v>
      </c>
      <c r="H229" s="42"/>
    </row>
    <row r="230" spans="1:8" x14ac:dyDescent="0.25">
      <c r="A230" s="248" t="str">
        <f>'Analysis Plate'!I42</f>
        <v>09-048</v>
      </c>
      <c r="B230" s="249" t="str">
        <f>'Analysis Plate'!J42</f>
        <v>B</v>
      </c>
      <c r="C230" s="249" t="str">
        <f>'Analysis Plate'!K42</f>
        <v>6A</v>
      </c>
      <c r="D230" s="250">
        <f>'Analysis Plate'!L42</f>
        <v>306.93179745285465</v>
      </c>
      <c r="E230" s="251">
        <f>'Analysis Plate'!M42</f>
        <v>306.93179745285465</v>
      </c>
      <c r="F230" s="250">
        <f>'Analysis Plate'!N42</f>
        <v>7.1514974783105316</v>
      </c>
      <c r="G230" s="252">
        <f>'Analysis Plate'!O42</f>
        <v>2.3299956334465528</v>
      </c>
      <c r="H230" s="42"/>
    </row>
    <row r="231" spans="1:8" x14ac:dyDescent="0.25">
      <c r="A231" s="248" t="str">
        <f>'Analysis Plate'!I43</f>
        <v>09-049</v>
      </c>
      <c r="B231" s="249" t="str">
        <f>'Analysis Plate'!J43</f>
        <v>B</v>
      </c>
      <c r="C231" s="249" t="str">
        <f>'Analysis Plate'!K43</f>
        <v>6B</v>
      </c>
      <c r="D231" s="250">
        <f>'Analysis Plate'!L43</f>
        <v>291.76011753045066</v>
      </c>
      <c r="E231" s="251">
        <f>'Analysis Plate'!M43</f>
        <v>291.76011753045066</v>
      </c>
      <c r="F231" s="250">
        <f>'Analysis Plate'!N43</f>
        <v>10.217756365871523</v>
      </c>
      <c r="G231" s="252">
        <f>'Analysis Plate'!O43</f>
        <v>3.5021086680242055</v>
      </c>
      <c r="H231" s="42"/>
    </row>
    <row r="232" spans="1:8" x14ac:dyDescent="0.25">
      <c r="A232" s="248" t="str">
        <f>'Analysis Plate'!I44</f>
        <v>09-050</v>
      </c>
      <c r="B232" s="249" t="str">
        <f>'Analysis Plate'!J44</f>
        <v>B</v>
      </c>
      <c r="C232" s="249" t="str">
        <f>'Analysis Plate'!K44</f>
        <v>6A</v>
      </c>
      <c r="D232" s="250">
        <f>'Analysis Plate'!L44</f>
        <v>304.04191652999612</v>
      </c>
      <c r="E232" s="251">
        <f>'Analysis Plate'!M44</f>
        <v>304.04191652999612</v>
      </c>
      <c r="F232" s="250">
        <f>'Analysis Plate'!N44</f>
        <v>13.281637515976081</v>
      </c>
      <c r="G232" s="252">
        <f>'Analysis Plate'!O44</f>
        <v>4.3683573855730993</v>
      </c>
      <c r="H232" s="42"/>
    </row>
    <row r="233" spans="1:8" x14ac:dyDescent="0.25">
      <c r="A233" s="248" t="str">
        <f>'Analysis Plate'!I45</f>
        <v>09-051</v>
      </c>
      <c r="B233" s="249" t="str">
        <f>'Analysis Plate'!J45</f>
        <v>B</v>
      </c>
      <c r="C233" s="249" t="str">
        <f>'Analysis Plate'!K45</f>
        <v>6B</v>
      </c>
      <c r="D233" s="250">
        <f>'Analysis Plate'!L45</f>
        <v>304.04216318560276</v>
      </c>
      <c r="E233" s="251">
        <f>'Analysis Plate'!M45</f>
        <v>304.04216318560276</v>
      </c>
      <c r="F233" s="250">
        <f>'Analysis Plate'!N45</f>
        <v>5.1082965213106428</v>
      </c>
      <c r="G233" s="252">
        <f>'Analysis Plate'!O45</f>
        <v>1.6801276730136534</v>
      </c>
      <c r="H233" s="42"/>
    </row>
    <row r="234" spans="1:8" x14ac:dyDescent="0.25">
      <c r="A234" s="248" t="str">
        <f>'Analysis Plate'!I46</f>
        <v>09-052</v>
      </c>
      <c r="B234" s="249" t="str">
        <f>'Analysis Plate'!J46</f>
        <v>B</v>
      </c>
      <c r="C234" s="249" t="str">
        <f>'Analysis Plate'!K46</f>
        <v>6A</v>
      </c>
      <c r="D234" s="250">
        <f>'Analysis Plate'!L46</f>
        <v>337.27271334481509</v>
      </c>
      <c r="E234" s="251">
        <f>'Analysis Plate'!M46</f>
        <v>337.27271334481509</v>
      </c>
      <c r="F234" s="250">
        <f>'Analysis Plate'!N46</f>
        <v>15.324908303214551</v>
      </c>
      <c r="G234" s="252">
        <f>'Analysis Plate'!O46</f>
        <v>4.5437735389957075</v>
      </c>
      <c r="H234" s="42"/>
    </row>
    <row r="235" spans="1:8" x14ac:dyDescent="0.25">
      <c r="A235" s="248" t="str">
        <f>'Analysis Plate'!I47</f>
        <v>09-053</v>
      </c>
      <c r="B235" s="249" t="str">
        <f>'Analysis Plate'!J47</f>
        <v>B</v>
      </c>
      <c r="C235" s="249" t="str">
        <f>'Analysis Plate'!K47</f>
        <v>6B</v>
      </c>
      <c r="D235" s="250">
        <f>'Analysis Plate'!L47</f>
        <v>311.9886662482744</v>
      </c>
      <c r="E235" s="251">
        <f>'Analysis Plate'!M47</f>
        <v>311.9886662482744</v>
      </c>
      <c r="F235" s="250">
        <f>'Analysis Plate'!N47</f>
        <v>2.0432362876023209</v>
      </c>
      <c r="G235" s="252">
        <f>'Analysis Plate'!O47</f>
        <v>0.65490721575647048</v>
      </c>
      <c r="H235" s="42"/>
    </row>
    <row r="236" spans="1:8" x14ac:dyDescent="0.25">
      <c r="A236" s="248" t="str">
        <f>'Analysis Plate'!I48</f>
        <v>09-054</v>
      </c>
      <c r="B236" s="249" t="str">
        <f>'Analysis Plate'!J48</f>
        <v>B</v>
      </c>
      <c r="C236" s="249" t="str">
        <f>'Analysis Plate'!K48</f>
        <v>6A</v>
      </c>
      <c r="D236" s="250">
        <f>'Analysis Plate'!L48</f>
        <v>317.7676889052305</v>
      </c>
      <c r="E236" s="251">
        <f>'Analysis Plate'!M48</f>
        <v>317.7676889052305</v>
      </c>
      <c r="F236" s="250">
        <f>'Analysis Plate'!N48</f>
        <v>16.34580971792089</v>
      </c>
      <c r="G236" s="252">
        <f>'Analysis Plate'!O48</f>
        <v>5.1439495860121216</v>
      </c>
      <c r="H236" s="42"/>
    </row>
    <row r="237" spans="1:8" x14ac:dyDescent="0.25">
      <c r="A237" s="248" t="str">
        <f>'Analysis Plate'!I49</f>
        <v>09-055</v>
      </c>
      <c r="B237" s="249" t="str">
        <f>'Analysis Plate'!J49</f>
        <v>B</v>
      </c>
      <c r="C237" s="249" t="str">
        <f>'Analysis Plate'!K49</f>
        <v>6B</v>
      </c>
      <c r="D237" s="250">
        <f>'Analysis Plate'!L49</f>
        <v>301.8748553423942</v>
      </c>
      <c r="E237" s="251">
        <f>'Analysis Plate'!M49</f>
        <v>301.8748553423942</v>
      </c>
      <c r="F237" s="250">
        <f>'Analysis Plate'!N49</f>
        <v>6.1300510511807262</v>
      </c>
      <c r="G237" s="252">
        <f>'Analysis Plate'!O49</f>
        <v>2.0306597063965017</v>
      </c>
      <c r="H237" s="42"/>
    </row>
    <row r="238" spans="1:8" x14ac:dyDescent="0.25">
      <c r="A238" s="248" t="str">
        <f>'Analysis Plate'!I50</f>
        <v>09-056</v>
      </c>
      <c r="B238" s="249" t="str">
        <f>'Analysis Plate'!J50</f>
        <v>B</v>
      </c>
      <c r="C238" s="249" t="str">
        <f>'Analysis Plate'!K50</f>
        <v>6A</v>
      </c>
      <c r="D238" s="250">
        <f>'Analysis Plate'!L50</f>
        <v>314.87822918657417</v>
      </c>
      <c r="E238" s="251">
        <f>'Analysis Plate'!M50</f>
        <v>314.87822918657417</v>
      </c>
      <c r="F238" s="250">
        <f>'Analysis Plate'!N50</f>
        <v>8.0388733884609289E-14</v>
      </c>
      <c r="G238" s="252">
        <f>'Analysis Plate'!O50</f>
        <v>2.5530102253267154E-14</v>
      </c>
      <c r="H238" s="42"/>
    </row>
    <row r="239" spans="1:8" x14ac:dyDescent="0.25">
      <c r="A239" s="248" t="str">
        <f>'Analysis Plate'!I51</f>
        <v>09-057</v>
      </c>
      <c r="B239" s="249" t="str">
        <f>'Analysis Plate'!J51</f>
        <v>B</v>
      </c>
      <c r="C239" s="249" t="str">
        <f>'Analysis Plate'!K51</f>
        <v>6B</v>
      </c>
      <c r="D239" s="250">
        <f>'Analysis Plate'!L51</f>
        <v>278.03138732710386</v>
      </c>
      <c r="E239" s="251">
        <f>'Analysis Plate'!M51</f>
        <v>278.03138732710386</v>
      </c>
      <c r="F239" s="250">
        <f>'Analysis Plate'!N51</f>
        <v>7.1538408689627806</v>
      </c>
      <c r="G239" s="252">
        <f>'Analysis Plate'!O51</f>
        <v>2.5730335476642745</v>
      </c>
      <c r="H239" s="42"/>
    </row>
    <row r="240" spans="1:8" x14ac:dyDescent="0.25">
      <c r="A240" s="248" t="str">
        <f>'Analysis Plate'!I52</f>
        <v>09-058</v>
      </c>
      <c r="B240" s="249" t="str">
        <f>'Analysis Plate'!J52</f>
        <v>B</v>
      </c>
      <c r="C240" s="249" t="str">
        <f>'Analysis Plate'!K52</f>
        <v>6A</v>
      </c>
      <c r="D240" s="250">
        <f>'Analysis Plate'!L52</f>
        <v>308.37667809877109</v>
      </c>
      <c r="E240" s="251">
        <f>'Analysis Plate'!M52</f>
        <v>308.37667809877109</v>
      </c>
      <c r="F240" s="250">
        <f>'Analysis Plate'!N52</f>
        <v>1.0216332552004941</v>
      </c>
      <c r="G240" s="252">
        <f>'Analysis Plate'!O52</f>
        <v>0.33129394268696011</v>
      </c>
      <c r="H240" s="42"/>
    </row>
    <row r="241" spans="1:8" x14ac:dyDescent="0.25">
      <c r="A241" s="248" t="str">
        <f>'Analysis Plate'!I53</f>
        <v>09-059</v>
      </c>
      <c r="B241" s="249" t="str">
        <f>'Analysis Plate'!J53</f>
        <v>B</v>
      </c>
      <c r="C241" s="249" t="str">
        <f>'Analysis Plate'!K53</f>
        <v>6B</v>
      </c>
      <c r="D241" s="250">
        <f>'Analysis Plate'!L53</f>
        <v>304.76452117950743</v>
      </c>
      <c r="E241" s="251">
        <f>'Analysis Plate'!M53</f>
        <v>304.76452117950743</v>
      </c>
      <c r="F241" s="250">
        <f>'Analysis Plate'!N53</f>
        <v>8.1732476451986873</v>
      </c>
      <c r="G241" s="252">
        <f>'Analysis Plate'!O53</f>
        <v>2.6818238598004704</v>
      </c>
      <c r="H241" s="42"/>
    </row>
    <row r="242" spans="1:8" x14ac:dyDescent="0.25">
      <c r="A242" s="248" t="str">
        <f>'Analysis Plate'!I54</f>
        <v>09-060</v>
      </c>
      <c r="B242" s="249" t="str">
        <f>'Analysis Plate'!J54</f>
        <v>B</v>
      </c>
      <c r="C242" s="249" t="str">
        <f>'Analysis Plate'!K54</f>
        <v>6A</v>
      </c>
      <c r="D242" s="250">
        <f>'Analysis Plate'!L54</f>
        <v>335.10512484594847</v>
      </c>
      <c r="E242" s="251">
        <f>'Analysis Plate'!M54</f>
        <v>335.10512484594847</v>
      </c>
      <c r="F242" s="250">
        <f>'Analysis Plate'!N54</f>
        <v>2.0432820115325203</v>
      </c>
      <c r="G242" s="252">
        <f>'Analysis Plate'!O54</f>
        <v>0.60974358791792271</v>
      </c>
      <c r="H242" s="42"/>
    </row>
    <row r="243" spans="1:8" x14ac:dyDescent="0.25">
      <c r="A243" s="248" t="str">
        <f>'Analysis Plate'!I55</f>
        <v>09-061</v>
      </c>
      <c r="B243" s="249" t="str">
        <f>'Analysis Plate'!J55</f>
        <v>B</v>
      </c>
      <c r="C243" s="249" t="str">
        <f>'Analysis Plate'!K55</f>
        <v>6B</v>
      </c>
      <c r="D243" s="250">
        <f>'Analysis Plate'!L55</f>
        <v>316.32299927199324</v>
      </c>
      <c r="E243" s="251">
        <f>'Analysis Plate'!M55</f>
        <v>316.32299927199324</v>
      </c>
      <c r="F243" s="250">
        <f>'Analysis Plate'!N55</f>
        <v>2.0432134493105374</v>
      </c>
      <c r="G243" s="252">
        <f>'Analysis Plate'!O55</f>
        <v>0.64592630128473882</v>
      </c>
      <c r="H243" s="42"/>
    </row>
    <row r="244" spans="1:8" x14ac:dyDescent="0.25">
      <c r="A244" s="248" t="str">
        <f>'Analysis Plate'!I56</f>
        <v>09-062</v>
      </c>
      <c r="B244" s="249" t="str">
        <f>'Analysis Plate'!J56</f>
        <v>B</v>
      </c>
      <c r="C244" s="249" t="str">
        <f>'Analysis Plate'!K56</f>
        <v>6A</v>
      </c>
      <c r="D244" s="250">
        <f>'Analysis Plate'!L56</f>
        <v>315.6006151391187</v>
      </c>
      <c r="E244" s="251">
        <f>'Analysis Plate'!M56</f>
        <v>315.6006151391187</v>
      </c>
      <c r="F244" s="250">
        <f>'Analysis Plate'!N56</f>
        <v>1.0216080113563586</v>
      </c>
      <c r="G244" s="252">
        <f>'Analysis Plate'!O56</f>
        <v>0.3237027947192142</v>
      </c>
      <c r="H244" s="42"/>
    </row>
    <row r="245" spans="1:8" x14ac:dyDescent="0.25">
      <c r="A245" s="248" t="str">
        <f>'Analysis Plate'!I57</f>
        <v>09-063</v>
      </c>
      <c r="B245" s="249" t="str">
        <f>'Analysis Plate'!J57</f>
        <v>B</v>
      </c>
      <c r="C245" s="249" t="str">
        <f>'Analysis Plate'!K57</f>
        <v>6B</v>
      </c>
      <c r="D245" s="250">
        <f>'Analysis Plate'!L57</f>
        <v>324.99159789232294</v>
      </c>
      <c r="E245" s="251">
        <f>'Analysis Plate'!M57</f>
        <v>324.99159789232294</v>
      </c>
      <c r="F245" s="250">
        <f>'Analysis Plate'!N57</f>
        <v>2.0432117307695901</v>
      </c>
      <c r="G245" s="252">
        <f>'Analysis Plate'!O57</f>
        <v>0.62869678601554257</v>
      </c>
      <c r="H245" s="42"/>
    </row>
    <row r="246" spans="1:8" x14ac:dyDescent="0.25">
      <c r="A246" s="248" t="str">
        <f>'Analysis Plate'!I58</f>
        <v>09-064</v>
      </c>
      <c r="B246" s="249" t="str">
        <f>'Analysis Plate'!J58</f>
        <v>B</v>
      </c>
      <c r="C246" s="249" t="str">
        <f>'Analysis Plate'!K58</f>
        <v>6A</v>
      </c>
      <c r="D246" s="250">
        <f>'Analysis Plate'!L58</f>
        <v>369.06368641087511</v>
      </c>
      <c r="E246" s="251">
        <f>'Analysis Plate'!M58</f>
        <v>369.06368641087511</v>
      </c>
      <c r="F246" s="250">
        <f>'Analysis Plate'!N58</f>
        <v>1.0220295053598663</v>
      </c>
      <c r="G246" s="252">
        <f>'Analysis Plate'!O58</f>
        <v>0.27692497067350336</v>
      </c>
      <c r="H246" s="42"/>
    </row>
    <row r="247" spans="1:8" x14ac:dyDescent="0.25">
      <c r="A247" s="248" t="str">
        <f>'Analysis Plate'!I59</f>
        <v>09-065</v>
      </c>
      <c r="B247" s="249" t="str">
        <f>'Analysis Plate'!J59</f>
        <v>B</v>
      </c>
      <c r="C247" s="249" t="str">
        <f>'Analysis Plate'!K59</f>
        <v>6B</v>
      </c>
      <c r="D247" s="250">
        <f>'Analysis Plate'!L59</f>
        <v>377.73656874298047</v>
      </c>
      <c r="E247" s="251">
        <f>'Analysis Plate'!M59</f>
        <v>377.73656874298047</v>
      </c>
      <c r="F247" s="250">
        <f>'Analysis Plate'!N59</f>
        <v>1.0221925426762515</v>
      </c>
      <c r="G247" s="252">
        <f>'Analysis Plate'!O59</f>
        <v>0.27060989781261335</v>
      </c>
      <c r="H247" s="42"/>
    </row>
    <row r="248" spans="1:8" x14ac:dyDescent="0.25">
      <c r="A248" s="248" t="str">
        <f>'Analysis Plate'!I60</f>
        <v>09-066</v>
      </c>
      <c r="B248" s="249" t="str">
        <f>'Analysis Plate'!J60</f>
        <v>B</v>
      </c>
      <c r="C248" s="249" t="str">
        <f>'Analysis Plate'!K60</f>
        <v>6A</v>
      </c>
      <c r="D248" s="250">
        <f>'Analysis Plate'!L60</f>
        <v>293.20512510503681</v>
      </c>
      <c r="E248" s="251">
        <f>'Analysis Plate'!M60</f>
        <v>293.20512510503681</v>
      </c>
      <c r="F248" s="250">
        <f>'Analysis Plate'!N60</f>
        <v>10.217589708179453</v>
      </c>
      <c r="G248" s="252">
        <f>'Analysis Plate'!O60</f>
        <v>3.4847923290969551</v>
      </c>
      <c r="H248" s="42"/>
    </row>
    <row r="249" spans="1:8" x14ac:dyDescent="0.25">
      <c r="A249" s="248" t="str">
        <f>'Analysis Plate'!I61</f>
        <v>09-067</v>
      </c>
      <c r="B249" s="249" t="str">
        <f>'Analysis Plate'!J61</f>
        <v>B</v>
      </c>
      <c r="C249" s="249" t="str">
        <f>'Analysis Plate'!K61</f>
        <v>6B</v>
      </c>
      <c r="D249" s="250">
        <f>'Analysis Plate'!L61</f>
        <v>365.45043618637942</v>
      </c>
      <c r="E249" s="251">
        <f>'Analysis Plate'!M61</f>
        <v>365.45043618637942</v>
      </c>
      <c r="F249" s="250">
        <f>'Analysis Plate'!N61</f>
        <v>4.0878779663696045</v>
      </c>
      <c r="G249" s="252">
        <f>'Analysis Plate'!O61</f>
        <v>1.1185861505675669</v>
      </c>
      <c r="H249" s="42"/>
    </row>
    <row r="250" spans="1:8" x14ac:dyDescent="0.25">
      <c r="A250" s="248" t="str">
        <f>'Analysis Plate'!I62</f>
        <v>09-068</v>
      </c>
      <c r="B250" s="249" t="str">
        <f>'Analysis Plate'!J62</f>
        <v>B</v>
      </c>
      <c r="C250" s="249" t="str">
        <f>'Analysis Plate'!K62</f>
        <v>6A</v>
      </c>
      <c r="D250" s="250">
        <f>'Analysis Plate'!L62</f>
        <v>406.66208873220546</v>
      </c>
      <c r="E250" s="251">
        <f>'Analysis Plate'!M62</f>
        <v>406.66208873220546</v>
      </c>
      <c r="F250" s="250">
        <f>'Analysis Plate'!N62</f>
        <v>23.527342154962156</v>
      </c>
      <c r="G250" s="252">
        <f>'Analysis Plate'!O62</f>
        <v>5.7854771336836732</v>
      </c>
      <c r="H250" s="42"/>
    </row>
    <row r="251" spans="1:8" x14ac:dyDescent="0.25">
      <c r="A251" s="248" t="str">
        <f>'Analysis Plate'!I63</f>
        <v>09-069</v>
      </c>
      <c r="B251" s="249" t="str">
        <f>'Analysis Plate'!J63</f>
        <v>B</v>
      </c>
      <c r="C251" s="249" t="str">
        <f>'Analysis Plate'!K63</f>
        <v>6B</v>
      </c>
      <c r="D251" s="250">
        <f>'Analysis Plate'!L63</f>
        <v>362.56011731344046</v>
      </c>
      <c r="E251" s="251">
        <f>'Analysis Plate'!M63</f>
        <v>362.56011731344046</v>
      </c>
      <c r="F251" s="250">
        <f>'Analysis Plate'!N63</f>
        <v>8.1754061160628044</v>
      </c>
      <c r="G251" s="252">
        <f>'Analysis Plate'!O63</f>
        <v>2.2549104895051109</v>
      </c>
      <c r="H251" s="42"/>
    </row>
    <row r="252" spans="1:8" x14ac:dyDescent="0.25">
      <c r="A252" s="248" t="str">
        <f>'Analysis Plate'!I64</f>
        <v>09-070</v>
      </c>
      <c r="B252" s="249" t="str">
        <f>'Analysis Plate'!J64</f>
        <v>B</v>
      </c>
      <c r="C252" s="249" t="str">
        <f>'Analysis Plate'!K64</f>
        <v>6A</v>
      </c>
      <c r="D252" s="250">
        <f>'Analysis Plate'!L64</f>
        <v>390.02636547460025</v>
      </c>
      <c r="E252" s="251">
        <f>'Analysis Plate'!M64</f>
        <v>390.02636547460025</v>
      </c>
      <c r="F252" s="250">
        <f>'Analysis Plate'!N64</f>
        <v>10.224688589149258</v>
      </c>
      <c r="G252" s="252">
        <f>'Analysis Plate'!O64</f>
        <v>2.6215377969916043</v>
      </c>
      <c r="H252" s="42"/>
    </row>
    <row r="253" spans="1:8" x14ac:dyDescent="0.25">
      <c r="A253" s="248" t="str">
        <f>'Analysis Plate'!I65</f>
        <v>09-071</v>
      </c>
      <c r="B253" s="249" t="str">
        <f>'Analysis Plate'!J65</f>
        <v>B</v>
      </c>
      <c r="C253" s="249" t="str">
        <f>'Analysis Plate'!K65</f>
        <v>6B</v>
      </c>
      <c r="D253" s="250">
        <f>'Analysis Plate'!L65</f>
        <v>359.66985432581885</v>
      </c>
      <c r="E253" s="251">
        <f>'Analysis Plate'!M65</f>
        <v>359.66985432581885</v>
      </c>
      <c r="F253" s="250">
        <f>'Analysis Plate'!N65</f>
        <v>10.218845651631272</v>
      </c>
      <c r="G253" s="252">
        <f>'Analysis Plate'!O65</f>
        <v>2.8411737955592442</v>
      </c>
      <c r="H253" s="42"/>
    </row>
    <row r="254" spans="1:8" x14ac:dyDescent="0.25">
      <c r="A254" s="248" t="str">
        <f>'Analysis Plate'!I66</f>
        <v>09-072</v>
      </c>
      <c r="B254" s="249" t="str">
        <f>'Analysis Plate'!J66</f>
        <v>B</v>
      </c>
      <c r="C254" s="249" t="str">
        <f>'Analysis Plate'!K66</f>
        <v>6A</v>
      </c>
      <c r="D254" s="250">
        <f>'Analysis Plate'!L66</f>
        <v>373.40018521932382</v>
      </c>
      <c r="E254" s="251">
        <f>'Analysis Plate'!M66</f>
        <v>373.40018521932382</v>
      </c>
      <c r="F254" s="250">
        <f>'Analysis Plate'!N66</f>
        <v>7.154764933482717</v>
      </c>
      <c r="G254" s="252">
        <f>'Analysis Plate'!O66</f>
        <v>1.9161117794519109</v>
      </c>
      <c r="H254" s="42"/>
    </row>
    <row r="255" spans="1:8" x14ac:dyDescent="0.25">
      <c r="A255" s="248" t="str">
        <f>'Analysis Plate'!I67</f>
        <v>09-073</v>
      </c>
      <c r="B255" s="249" t="str">
        <f>'Analysis Plate'!J67</f>
        <v>B</v>
      </c>
      <c r="C255" s="249" t="str">
        <f>'Analysis Plate'!K67</f>
        <v>6B</v>
      </c>
      <c r="D255" s="250">
        <f>'Analysis Plate'!L67</f>
        <v>356.77971511230885</v>
      </c>
      <c r="E255" s="251">
        <f>'Analysis Plate'!M67</f>
        <v>356.77971511230885</v>
      </c>
      <c r="F255" s="250">
        <f>'Analysis Plate'!N67</f>
        <v>12.262158157611104</v>
      </c>
      <c r="G255" s="252">
        <f>'Analysis Plate'!O67</f>
        <v>3.4368989149932929</v>
      </c>
      <c r="H255" s="42"/>
    </row>
    <row r="256" spans="1:8" x14ac:dyDescent="0.25">
      <c r="A256" s="248" t="str">
        <f>'Analysis Plate'!I68</f>
        <v>09-074</v>
      </c>
      <c r="B256" s="249" t="str">
        <f>'Analysis Plate'!J68</f>
        <v>B</v>
      </c>
      <c r="C256" s="249" t="str">
        <f>'Analysis Plate'!K68</f>
        <v>6A</v>
      </c>
      <c r="D256" s="250">
        <f>'Analysis Plate'!L68</f>
        <v>332.21578275851323</v>
      </c>
      <c r="E256" s="251">
        <f>'Analysis Plate'!M68</f>
        <v>332.21578275851323</v>
      </c>
      <c r="F256" s="250">
        <f>'Analysis Plate'!N68</f>
        <v>16.346163670515857</v>
      </c>
      <c r="G256" s="252">
        <f>'Analysis Plate'!O68</f>
        <v>4.9203453053276034</v>
      </c>
      <c r="H256" s="42"/>
    </row>
    <row r="257" spans="1:8" x14ac:dyDescent="0.25">
      <c r="A257" s="248" t="str">
        <f>'Analysis Plate'!I69</f>
        <v>09-075</v>
      </c>
      <c r="B257" s="249" t="str">
        <f>'Analysis Plate'!J69</f>
        <v>B</v>
      </c>
      <c r="C257" s="249" t="str">
        <f>'Analysis Plate'!K69</f>
        <v>6B</v>
      </c>
      <c r="D257" s="250">
        <f>'Analysis Plate'!L69</f>
        <v>356.05695050041101</v>
      </c>
      <c r="E257" s="251">
        <f>'Analysis Plate'!M69</f>
        <v>356.05695050041101</v>
      </c>
      <c r="F257" s="250">
        <f>'Analysis Plate'!N69</f>
        <v>9.1965168886844637</v>
      </c>
      <c r="G257" s="252">
        <f>'Analysis Plate'!O69</f>
        <v>2.5828780692974695</v>
      </c>
      <c r="H257" s="42"/>
    </row>
    <row r="258" spans="1:8" x14ac:dyDescent="0.25">
      <c r="A258" s="248" t="str">
        <f>'Analysis Plate'!I70</f>
        <v>09-076</v>
      </c>
      <c r="B258" s="249" t="str">
        <f>'Analysis Plate'!J70</f>
        <v>B</v>
      </c>
      <c r="C258" s="249" t="str">
        <f>'Analysis Plate'!K70</f>
        <v>6A</v>
      </c>
      <c r="D258" s="250">
        <f>'Analysis Plate'!L70</f>
        <v>417.50952992609234</v>
      </c>
      <c r="E258" s="251">
        <f>'Analysis Plate'!M70</f>
        <v>417.50952992609234</v>
      </c>
      <c r="F258" s="250">
        <f>'Analysis Plate'!N70</f>
        <v>2.0465043686087983</v>
      </c>
      <c r="G258" s="252">
        <f>'Analysis Plate'!O70</f>
        <v>0.4901694983994907</v>
      </c>
      <c r="H258" s="42"/>
    </row>
    <row r="259" spans="1:8" x14ac:dyDescent="0.25">
      <c r="A259" s="248" t="str">
        <f>'Analysis Plate'!I71</f>
        <v>09-077</v>
      </c>
      <c r="B259" s="249" t="str">
        <f>'Analysis Plate'!J71</f>
        <v>B</v>
      </c>
      <c r="C259" s="249" t="str">
        <f>'Analysis Plate'!K71</f>
        <v>6B</v>
      </c>
      <c r="D259" s="250">
        <f>'Analysis Plate'!L71</f>
        <v>394.36416510364683</v>
      </c>
      <c r="E259" s="251">
        <f>'Analysis Plate'!M71</f>
        <v>394.36416510364683</v>
      </c>
      <c r="F259" s="250">
        <f>'Analysis Plate'!N71</f>
        <v>6.1354517704259504</v>
      </c>
      <c r="G259" s="252">
        <f>'Analysis Plate'!O71</f>
        <v>1.5557832869559611</v>
      </c>
      <c r="H259" s="42"/>
    </row>
    <row r="260" spans="1:8" x14ac:dyDescent="0.25">
      <c r="A260" s="248" t="str">
        <f>'Analysis Plate'!I72</f>
        <v>09-078</v>
      </c>
      <c r="B260" s="249" t="str">
        <f>'Analysis Plate'!J72</f>
        <v>B</v>
      </c>
      <c r="C260" s="249" t="str">
        <f>'Analysis Plate'!K72</f>
        <v>6A</v>
      </c>
      <c r="D260" s="250">
        <f>'Analysis Plate'!L72</f>
        <v>376.29111184054204</v>
      </c>
      <c r="E260" s="251">
        <f>'Analysis Plate'!M72</f>
        <v>376.29111184054204</v>
      </c>
      <c r="F260" s="250">
        <f>'Analysis Plate'!N72</f>
        <v>5.1108216018600379</v>
      </c>
      <c r="G260" s="252">
        <f>'Analysis Plate'!O72</f>
        <v>1.3582094928741795</v>
      </c>
      <c r="H260" s="42"/>
    </row>
    <row r="261" spans="1:8" x14ac:dyDescent="0.25">
      <c r="A261" s="248" t="str">
        <f>'Analysis Plate'!I73</f>
        <v>09-079</v>
      </c>
      <c r="B261" s="249" t="str">
        <f>'Analysis Plate'!J73</f>
        <v>B</v>
      </c>
      <c r="C261" s="249" t="str">
        <f>'Analysis Plate'!K73</f>
        <v>6B</v>
      </c>
      <c r="D261" s="250">
        <f>'Analysis Plate'!L73</f>
        <v>379.90637913923871</v>
      </c>
      <c r="E261" s="251">
        <f>'Analysis Plate'!M73</f>
        <v>379.90637913923871</v>
      </c>
      <c r="F261" s="250">
        <f>'Analysis Plate'!N73</f>
        <v>16.355912614455768</v>
      </c>
      <c r="G261" s="252">
        <f>'Analysis Plate'!O73</f>
        <v>4.3052482170775015</v>
      </c>
      <c r="H261" s="42"/>
    </row>
    <row r="262" spans="1:8" x14ac:dyDescent="0.25">
      <c r="A262" s="248" t="str">
        <f>'Analysis Plate'!I74</f>
        <v>09-080</v>
      </c>
      <c r="B262" s="249" t="str">
        <f>'Analysis Plate'!J74</f>
        <v>B</v>
      </c>
      <c r="C262" s="249" t="str">
        <f>'Analysis Plate'!K74</f>
        <v>6A</v>
      </c>
      <c r="D262" s="250">
        <f>'Analysis Plate'!L74</f>
        <v>450.21206015089081</v>
      </c>
      <c r="E262" s="251">
        <f>'Analysis Plate'!M74</f>
        <v>450.21206015089081</v>
      </c>
      <c r="F262" s="250">
        <f>'Analysis Plate'!N74</f>
        <v>109.65082924583581</v>
      </c>
      <c r="G262" s="252">
        <f>'Analysis Plate'!O74</f>
        <v>24.355373600850626</v>
      </c>
      <c r="H262" s="42"/>
    </row>
    <row r="263" spans="1:8" x14ac:dyDescent="0.25">
      <c r="A263" s="248" t="str">
        <f>'Analysis Plate'!I75</f>
        <v>09-081</v>
      </c>
      <c r="B263" s="249" t="str">
        <f>'Analysis Plate'!J75</f>
        <v>B</v>
      </c>
      <c r="C263" s="249" t="str">
        <f>'Analysis Plate'!K75</f>
        <v>6B</v>
      </c>
      <c r="D263" s="250">
        <f>'Analysis Plate'!L75</f>
        <v>374.12318055782862</v>
      </c>
      <c r="E263" s="251">
        <f>'Analysis Plate'!M75</f>
        <v>374.12318055782862</v>
      </c>
      <c r="F263" s="250">
        <f>'Analysis Plate'!N75</f>
        <v>10.221244327079813</v>
      </c>
      <c r="G263" s="252">
        <f>'Analysis Plate'!O75</f>
        <v>2.7320532001892097</v>
      </c>
      <c r="H263" s="42"/>
    </row>
    <row r="264" spans="1:8" x14ac:dyDescent="0.25">
      <c r="A264" s="248" t="str">
        <f>'Analysis Plate'!I76</f>
        <v>09-082</v>
      </c>
      <c r="B264" s="249" t="str">
        <f>'Analysis Plate'!J76</f>
        <v>B</v>
      </c>
      <c r="C264" s="249" t="str">
        <f>'Analysis Plate'!K76</f>
        <v>6A</v>
      </c>
      <c r="D264" s="250">
        <f>'Analysis Plate'!L76</f>
        <v>770.14079287240463</v>
      </c>
      <c r="E264" s="251">
        <f>'Analysis Plate'!M76</f>
        <v>770.14079287240463</v>
      </c>
      <c r="F264" s="250">
        <f>'Analysis Plate'!N76</f>
        <v>2.1027389747887111</v>
      </c>
      <c r="G264" s="252">
        <f>'Analysis Plate'!O76</f>
        <v>0.27303306022085866</v>
      </c>
      <c r="H264" s="42"/>
    </row>
    <row r="265" spans="1:8" x14ac:dyDescent="0.25">
      <c r="A265" s="248" t="str">
        <f>'Analysis Plate'!I77</f>
        <v>09-083</v>
      </c>
      <c r="B265" s="249" t="str">
        <f>'Analysis Plate'!J77</f>
        <v>B</v>
      </c>
      <c r="C265" s="249" t="str">
        <f>'Analysis Plate'!K77</f>
        <v>6B</v>
      </c>
      <c r="D265" s="250">
        <f>'Analysis Plate'!L77</f>
        <v>815.62114307151887</v>
      </c>
      <c r="E265" s="251">
        <f>'Analysis Plate'!M77</f>
        <v>815.62114307151887</v>
      </c>
      <c r="F265" s="250">
        <f>'Analysis Plate'!N77</f>
        <v>15.857646460789319</v>
      </c>
      <c r="G265" s="252">
        <f>'Analysis Plate'!O77</f>
        <v>1.944241710197895</v>
      </c>
      <c r="H265" s="42"/>
    </row>
    <row r="266" spans="1:8" x14ac:dyDescent="0.25">
      <c r="A266" s="248" t="str">
        <f>'Analysis Plate'!I78</f>
        <v>09-084</v>
      </c>
      <c r="B266" s="249" t="str">
        <f>'Analysis Plate'!J78</f>
        <v>B</v>
      </c>
      <c r="C266" s="249" t="str">
        <f>'Analysis Plate'!K78</f>
        <v>6A</v>
      </c>
      <c r="D266" s="250">
        <f>'Analysis Plate'!L78</f>
        <v>969.04705681010796</v>
      </c>
      <c r="E266" s="251">
        <f>'Analysis Plate'!M78</f>
        <v>969.04705681010796</v>
      </c>
      <c r="F266" s="250">
        <f>'Analysis Plate'!N78</f>
        <v>51.849897543323692</v>
      </c>
      <c r="G266" s="252">
        <f>'Analysis Plate'!O78</f>
        <v>5.3506067820898471</v>
      </c>
      <c r="H266" s="42"/>
    </row>
    <row r="267" spans="1:8" x14ac:dyDescent="0.25">
      <c r="A267" s="248" t="str">
        <f>'Analysis Plate'!I79</f>
        <v>09-085</v>
      </c>
      <c r="B267" s="249" t="str">
        <f>'Analysis Plate'!J79</f>
        <v>B</v>
      </c>
      <c r="C267" s="249" t="str">
        <f>'Analysis Plate'!K79</f>
        <v>6B</v>
      </c>
      <c r="D267" s="250">
        <f>'Analysis Plate'!L79</f>
        <v>900.62715775517336</v>
      </c>
      <c r="E267" s="251">
        <f>'Analysis Plate'!M79</f>
        <v>900.62715775517336</v>
      </c>
      <c r="F267" s="250">
        <f>'Analysis Plate'!N79</f>
        <v>44.910451636362929</v>
      </c>
      <c r="G267" s="252">
        <f>'Analysis Plate'!O79</f>
        <v>4.9865753269424937</v>
      </c>
      <c r="H267" s="42"/>
    </row>
    <row r="268" spans="1:8" x14ac:dyDescent="0.25">
      <c r="A268" s="248" t="str">
        <f>'Analysis Plate'!I80</f>
        <v>09-086</v>
      </c>
      <c r="B268" s="249" t="str">
        <f>'Analysis Plate'!J80</f>
        <v>B</v>
      </c>
      <c r="C268" s="249" t="str">
        <f>'Analysis Plate'!K80</f>
        <v>6A</v>
      </c>
      <c r="D268" s="250">
        <f>'Analysis Plate'!L80</f>
        <v>859.09134027947209</v>
      </c>
      <c r="E268" s="251">
        <f>'Analysis Plate'!M80</f>
        <v>859.09134027947209</v>
      </c>
      <c r="F268" s="250">
        <f>'Analysis Plate'!N80</f>
        <v>1.0631550922773316</v>
      </c>
      <c r="G268" s="252">
        <f>'Analysis Plate'!O80</f>
        <v>0.12375344069135596</v>
      </c>
      <c r="H268" s="42"/>
    </row>
    <row r="269" spans="1:8" x14ac:dyDescent="0.25">
      <c r="A269" s="248" t="str">
        <f>'Analysis Plate'!I81</f>
        <v>09-087</v>
      </c>
      <c r="B269" s="249" t="str">
        <f>'Analysis Plate'!J81</f>
        <v>B</v>
      </c>
      <c r="C269" s="249" t="str">
        <f>'Analysis Plate'!K81</f>
        <v>6B</v>
      </c>
      <c r="D269" s="250">
        <f>'Analysis Plate'!L81</f>
        <v>801.42281391150664</v>
      </c>
      <c r="E269" s="251">
        <f>'Analysis Plate'!M81</f>
        <v>801.42281391150664</v>
      </c>
      <c r="F269" s="250">
        <f>'Analysis Plate'!N81</f>
        <v>2.1106210811792963</v>
      </c>
      <c r="G269" s="252">
        <f>'Analysis Plate'!O81</f>
        <v>0.26335924614848211</v>
      </c>
      <c r="H269" s="42"/>
    </row>
    <row r="270" spans="1:8" x14ac:dyDescent="0.25">
      <c r="A270" s="248" t="str">
        <f>'Analysis Plate'!I82</f>
        <v>09-088</v>
      </c>
      <c r="B270" s="249" t="str">
        <f>'Analysis Plate'!J82</f>
        <v>B</v>
      </c>
      <c r="C270" s="249" t="str">
        <f>'Analysis Plate'!K82</f>
        <v>6A</v>
      </c>
      <c r="D270" s="250">
        <f>'Analysis Plate'!L82</f>
        <v>884.15758780326632</v>
      </c>
      <c r="E270" s="251">
        <f>'Analysis Plate'!M82</f>
        <v>884.15758780326632</v>
      </c>
      <c r="F270" s="250">
        <f>'Analysis Plate'!N82</f>
        <v>78.949970509952323</v>
      </c>
      <c r="G270" s="252">
        <f>'Analysis Plate'!O82</f>
        <v>8.9294003239973847</v>
      </c>
      <c r="H270" s="42"/>
    </row>
    <row r="271" spans="1:8" x14ac:dyDescent="0.25">
      <c r="A271" s="248" t="str">
        <f>'Analysis Plate'!I83</f>
        <v>09-089</v>
      </c>
      <c r="B271" s="249" t="str">
        <f>'Analysis Plate'!J83</f>
        <v>B</v>
      </c>
      <c r="C271" s="249" t="str">
        <f>'Analysis Plate'!K83</f>
        <v>6B</v>
      </c>
      <c r="D271" s="250">
        <f>'Analysis Plate'!L83</f>
        <v>775.48362598375741</v>
      </c>
      <c r="E271" s="251">
        <f>'Analysis Plate'!M83</f>
        <v>775.48362598375741</v>
      </c>
      <c r="F271" s="250">
        <f>'Analysis Plate'!N83</f>
        <v>68.386776143832932</v>
      </c>
      <c r="G271" s="252">
        <f>'Analysis Plate'!O83</f>
        <v>8.8185970473689022</v>
      </c>
      <c r="H271" s="42"/>
    </row>
    <row r="272" spans="1:8" x14ac:dyDescent="0.25">
      <c r="A272" s="248" t="str">
        <f>'Analysis Plate'!I84</f>
        <v>09-090</v>
      </c>
      <c r="B272" s="249" t="str">
        <f>'Analysis Plate'!J84</f>
        <v>B</v>
      </c>
      <c r="C272" s="249" t="str">
        <f>'Analysis Plate'!K84</f>
        <v>6A</v>
      </c>
      <c r="D272" s="250">
        <f>'Analysis Plate'!L84</f>
        <v>852.34345677383089</v>
      </c>
      <c r="E272" s="251">
        <f>'Analysis Plate'!M84</f>
        <v>852.34345677383089</v>
      </c>
      <c r="F272" s="250">
        <f>'Analysis Plate'!N84</f>
        <v>21.244112150022314</v>
      </c>
      <c r="G272" s="252">
        <f>'Analysis Plate'!O84</f>
        <v>2.4924356468262809</v>
      </c>
      <c r="H272" s="42"/>
    </row>
    <row r="273" spans="1:8" x14ac:dyDescent="0.25">
      <c r="A273" s="248" t="str">
        <f>'Analysis Plate'!I85</f>
        <v>09-091</v>
      </c>
      <c r="B273" s="249" t="str">
        <f>'Analysis Plate'!J85</f>
        <v>B</v>
      </c>
      <c r="C273" s="249" t="str">
        <f>'Analysis Plate'!K85</f>
        <v>6B</v>
      </c>
      <c r="D273" s="250">
        <f>'Analysis Plate'!L85</f>
        <v>817.15661572757779</v>
      </c>
      <c r="E273" s="251">
        <f>'Analysis Plate'!M85</f>
        <v>817.15661572757779</v>
      </c>
      <c r="F273" s="250">
        <f>'Analysis Plate'!N85</f>
        <v>39.12383598073307</v>
      </c>
      <c r="G273" s="252">
        <f>'Analysis Plate'!O85</f>
        <v>4.7878014113485561</v>
      </c>
      <c r="H273" s="42"/>
    </row>
    <row r="274" spans="1:8" x14ac:dyDescent="0.25">
      <c r="A274" s="248" t="str">
        <f>'Analysis Plate'!I86</f>
        <v>10-001</v>
      </c>
      <c r="B274" s="249" t="str">
        <f>'Analysis Plate'!J86</f>
        <v>B</v>
      </c>
      <c r="C274" s="249" t="str">
        <f>'Analysis Plate'!K86</f>
        <v>1A</v>
      </c>
      <c r="D274" s="250">
        <f>'Analysis Plate'!L86</f>
        <v>914.20626244927348</v>
      </c>
      <c r="E274" s="251">
        <f>'Analysis Plate'!M86</f>
        <v>914.20626244927348</v>
      </c>
      <c r="F274" s="250">
        <f>'Analysis Plate'!N86</f>
        <v>27.855334064668764</v>
      </c>
      <c r="G274" s="252">
        <f>'Analysis Plate'!O86</f>
        <v>3.0469419439373366</v>
      </c>
      <c r="H274" s="42"/>
    </row>
    <row r="275" spans="1:8" x14ac:dyDescent="0.25">
      <c r="A275" s="248" t="str">
        <f>'Analysis Plate'!I87</f>
        <v>10-002</v>
      </c>
      <c r="B275" s="249" t="str">
        <f>'Analysis Plate'!J87</f>
        <v>B</v>
      </c>
      <c r="C275" s="249" t="str">
        <f>'Analysis Plate'!K87</f>
        <v>1B</v>
      </c>
      <c r="D275" s="250">
        <f>'Analysis Plate'!L87</f>
        <v>597.00844111623462</v>
      </c>
      <c r="E275" s="251">
        <f>'Analysis Plate'!M87</f>
        <v>597.00844111623462</v>
      </c>
      <c r="F275" s="250">
        <f>'Analysis Plate'!N87</f>
        <v>7.2356817807290437</v>
      </c>
      <c r="G275" s="252">
        <f>'Analysis Plate'!O87</f>
        <v>1.2119898618519351</v>
      </c>
      <c r="H275" s="42"/>
    </row>
    <row r="276" spans="1:8" x14ac:dyDescent="0.25">
      <c r="A276" s="248" t="str">
        <f>'Analysis Plate'!I88</f>
        <v>10-003</v>
      </c>
      <c r="B276" s="249" t="str">
        <f>'Analysis Plate'!J88</f>
        <v>B</v>
      </c>
      <c r="C276" s="249" t="str">
        <f>'Analysis Plate'!K88</f>
        <v>2A</v>
      </c>
      <c r="D276" s="250">
        <f>'Analysis Plate'!L88</f>
        <v>855.36729655074907</v>
      </c>
      <c r="E276" s="251">
        <f>'Analysis Plate'!M88</f>
        <v>855.36729655074907</v>
      </c>
      <c r="F276" s="250">
        <f>'Analysis Plate'!N88</f>
        <v>31.879251004019061</v>
      </c>
      <c r="G276" s="252">
        <f>'Analysis Plate'!O88</f>
        <v>3.7269663140701641</v>
      </c>
      <c r="H276" s="42"/>
    </row>
    <row r="277" spans="1:8" x14ac:dyDescent="0.25">
      <c r="A277" s="248" t="str">
        <f>'Analysis Plate'!I89</f>
        <v>10-004</v>
      </c>
      <c r="B277" s="249" t="str">
        <f>'Analysis Plate'!J89</f>
        <v>B</v>
      </c>
      <c r="C277" s="249" t="str">
        <f>'Analysis Plate'!K89</f>
        <v>2B</v>
      </c>
      <c r="D277" s="250">
        <f>'Analysis Plate'!L89</f>
        <v>873.41483353291426</v>
      </c>
      <c r="E277" s="251">
        <f>'Analysis Plate'!M89</f>
        <v>873.41483353291426</v>
      </c>
      <c r="F277" s="250">
        <f>'Analysis Plate'!N89</f>
        <v>27.696000715462546</v>
      </c>
      <c r="G277" s="252">
        <f>'Analysis Plate'!O89</f>
        <v>3.1710018712910757</v>
      </c>
      <c r="H277" s="42"/>
    </row>
    <row r="278" spans="1:8" x14ac:dyDescent="0.25">
      <c r="A278" s="248" t="str">
        <f>'Analysis Plate'!I90</f>
        <v>10-005</v>
      </c>
      <c r="B278" s="249" t="str">
        <f>'Analysis Plate'!J90</f>
        <v>B</v>
      </c>
      <c r="C278" s="249" t="str">
        <f>'Analysis Plate'!K90</f>
        <v>2C</v>
      </c>
      <c r="D278" s="250">
        <f>'Analysis Plate'!L90</f>
        <v>889.27229332886031</v>
      </c>
      <c r="E278" s="251">
        <f>'Analysis Plate'!M90</f>
        <v>889.27229332886031</v>
      </c>
      <c r="F278" s="250">
        <f>'Analysis Plate'!N90</f>
        <v>37.365249408787776</v>
      </c>
      <c r="G278" s="252">
        <f>'Analysis Plate'!O90</f>
        <v>4.2017782055163835</v>
      </c>
      <c r="H278" s="42"/>
    </row>
    <row r="279" spans="1:8" x14ac:dyDescent="0.25">
      <c r="A279" s="248" t="str">
        <f>'Analysis Plate'!I91</f>
        <v>10-006</v>
      </c>
      <c r="B279" s="249" t="str">
        <f>'Analysis Plate'!J91</f>
        <v>B</v>
      </c>
      <c r="C279" s="249" t="str">
        <f>'Analysis Plate'!K91</f>
        <v>2D</v>
      </c>
      <c r="D279" s="250">
        <f>'Analysis Plate'!L91</f>
        <v>861.349369497613</v>
      </c>
      <c r="E279" s="251">
        <f>'Analysis Plate'!M91</f>
        <v>861.349369497613</v>
      </c>
      <c r="F279" s="250">
        <f>'Analysis Plate'!N91</f>
        <v>8.5078282345012415</v>
      </c>
      <c r="G279" s="252">
        <f>'Analysis Plate'!O91</f>
        <v>0.9877325665732456</v>
      </c>
      <c r="H279" s="42"/>
    </row>
    <row r="280" spans="1:8" x14ac:dyDescent="0.25">
      <c r="A280" s="248" t="str">
        <f>'Analysis Plate'!I92</f>
        <v>10-007</v>
      </c>
      <c r="B280" s="249" t="str">
        <f>'Analysis Plate'!J92</f>
        <v>B</v>
      </c>
      <c r="C280" s="249" t="str">
        <f>'Analysis Plate'!K92</f>
        <v>2E</v>
      </c>
      <c r="D280" s="250">
        <f>'Analysis Plate'!L92</f>
        <v>866.62966478327758</v>
      </c>
      <c r="E280" s="251">
        <f>'Analysis Plate'!M92</f>
        <v>866.62966478327758</v>
      </c>
      <c r="F280" s="250">
        <f>'Analysis Plate'!N92</f>
        <v>22.349109350425202</v>
      </c>
      <c r="G280" s="252">
        <f>'Analysis Plate'!O92</f>
        <v>2.5788534893983988</v>
      </c>
      <c r="H280" s="42"/>
    </row>
    <row r="281" spans="1:8" x14ac:dyDescent="0.25">
      <c r="A281" s="248" t="str">
        <f>'Analysis Plate'!I93</f>
        <v>10-008</v>
      </c>
      <c r="B281" s="249" t="str">
        <f>'Analysis Plate'!J93</f>
        <v>B</v>
      </c>
      <c r="C281" s="249" t="str">
        <f>'Analysis Plate'!K93</f>
        <v>2F</v>
      </c>
      <c r="D281" s="250">
        <f>'Analysis Plate'!L93</f>
        <v>874.89769178439155</v>
      </c>
      <c r="E281" s="251">
        <f>'Analysis Plate'!M93</f>
        <v>874.89769178439155</v>
      </c>
      <c r="F281" s="250">
        <f>'Analysis Plate'!N93</f>
        <v>8.5234919078661946</v>
      </c>
      <c r="G281" s="252">
        <f>'Analysis Plate'!O93</f>
        <v>0.97422727113180108</v>
      </c>
      <c r="H281" s="42"/>
    </row>
    <row r="282" spans="1:8" x14ac:dyDescent="0.25">
      <c r="A282" s="248" t="str">
        <f>'Analysis Plate'!I94</f>
        <v>10-009</v>
      </c>
      <c r="B282" s="249" t="str">
        <f>'Analysis Plate'!J94</f>
        <v>B</v>
      </c>
      <c r="C282" s="249" t="str">
        <f>'Analysis Plate'!K94</f>
        <v>2G</v>
      </c>
      <c r="D282" s="250">
        <f>'Analysis Plate'!L94</f>
        <v>722.70558331941686</v>
      </c>
      <c r="E282" s="251">
        <f>'Analysis Plate'!M94</f>
        <v>722.70558331941686</v>
      </c>
      <c r="F282" s="250">
        <f>'Analysis Plate'!N94</f>
        <v>25.099943562731994</v>
      </c>
      <c r="G282" s="252">
        <f>'Analysis Plate'!O94</f>
        <v>3.4730523939564586</v>
      </c>
      <c r="H282" s="42"/>
    </row>
    <row r="283" spans="1:8" x14ac:dyDescent="0.25">
      <c r="A283" s="248" t="str">
        <f>'Analysis Plate'!I95</f>
        <v>10-010</v>
      </c>
      <c r="B283" s="249" t="str">
        <f>'Analysis Plate'!J95</f>
        <v>B</v>
      </c>
      <c r="C283" s="249" t="str">
        <f>'Analysis Plate'!K95</f>
        <v>2H</v>
      </c>
      <c r="D283" s="250">
        <f>'Analysis Plate'!L95</f>
        <v>757.53117808695606</v>
      </c>
      <c r="E283" s="251">
        <f>'Analysis Plate'!M95</f>
        <v>757.53117808695606</v>
      </c>
      <c r="F283" s="250">
        <f>'Analysis Plate'!N95</f>
        <v>26.24638532858415</v>
      </c>
      <c r="G283" s="252">
        <f>'Analysis Plate'!O95</f>
        <v>3.4647267449593158</v>
      </c>
      <c r="H283" s="42"/>
    </row>
    <row r="284" spans="1:8" x14ac:dyDescent="0.25">
      <c r="A284" s="248" t="str">
        <f>'Analysis Plate'!I96</f>
        <v>10-011</v>
      </c>
      <c r="B284" s="249" t="str">
        <f>'Analysis Plate'!J96</f>
        <v>B</v>
      </c>
      <c r="C284" s="249" t="str">
        <f>'Analysis Plate'!K96</f>
        <v>3A</v>
      </c>
      <c r="D284" s="250">
        <f>'Analysis Plate'!L96</f>
        <v>617.51424385351061</v>
      </c>
      <c r="E284" s="251">
        <f>'Analysis Plate'!M96</f>
        <v>617.51424385351061</v>
      </c>
      <c r="F284" s="250">
        <f>'Analysis Plate'!N96</f>
        <v>34.168640651547335</v>
      </c>
      <c r="G284" s="252">
        <f>'Analysis Plate'!O96</f>
        <v>5.5332554660314797</v>
      </c>
      <c r="H284" s="42"/>
    </row>
    <row r="285" spans="1:8" x14ac:dyDescent="0.25">
      <c r="A285" s="248" t="str">
        <f>'Analysis Plate'!I97</f>
        <v>10-012</v>
      </c>
      <c r="B285" s="249" t="str">
        <f>'Analysis Plate'!J97</f>
        <v>B</v>
      </c>
      <c r="C285" s="249" t="str">
        <f>'Analysis Plate'!K97</f>
        <v>3B</v>
      </c>
      <c r="D285" s="250">
        <f>'Analysis Plate'!L97</f>
        <v>706.43463307205593</v>
      </c>
      <c r="E285" s="251">
        <f>'Analysis Plate'!M97</f>
        <v>706.43463307205593</v>
      </c>
      <c r="F285" s="250">
        <f>'Analysis Plate'!N97</f>
        <v>6.2642216408121127</v>
      </c>
      <c r="G285" s="252">
        <f>'Analysis Plate'!O97</f>
        <v>0.88673761839379772</v>
      </c>
      <c r="H285" s="42"/>
    </row>
    <row r="286" spans="1:8" x14ac:dyDescent="0.25">
      <c r="A286" s="248" t="str">
        <f>'Analysis Plate'!I98</f>
        <v>10-013</v>
      </c>
      <c r="B286" s="249" t="str">
        <f>'Analysis Plate'!J98</f>
        <v>B</v>
      </c>
      <c r="C286" s="249" t="str">
        <f>'Analysis Plate'!K98</f>
        <v>3C</v>
      </c>
      <c r="D286" s="250">
        <f>'Analysis Plate'!L98</f>
        <v>646.08581037661111</v>
      </c>
      <c r="E286" s="251">
        <f>'Analysis Plate'!M98</f>
        <v>646.08581037661111</v>
      </c>
      <c r="F286" s="250">
        <f>'Analysis Plate'!N98</f>
        <v>18.683450053885313</v>
      </c>
      <c r="G286" s="252">
        <f>'Analysis Plate'!O98</f>
        <v>2.8917908045363987</v>
      </c>
      <c r="H286" s="42"/>
    </row>
    <row r="287" spans="1:8" x14ac:dyDescent="0.25">
      <c r="A287" s="248" t="str">
        <f>'Analysis Plate'!I99</f>
        <v>10-014</v>
      </c>
      <c r="B287" s="249" t="str">
        <f>'Analysis Plate'!J99</f>
        <v>B</v>
      </c>
      <c r="C287" s="249" t="str">
        <f>'Analysis Plate'!K99</f>
        <v>3D</v>
      </c>
      <c r="D287" s="250">
        <f>'Analysis Plate'!L99</f>
        <v>645.34947280292181</v>
      </c>
      <c r="E287" s="251">
        <f>'Analysis Plate'!M99</f>
        <v>645.34947280292181</v>
      </c>
      <c r="F287" s="250">
        <f>'Analysis Plate'!N99</f>
        <v>15.568480616823658</v>
      </c>
      <c r="G287" s="252">
        <f>'Analysis Plate'!O99</f>
        <v>2.4124108367526311</v>
      </c>
      <c r="H287" s="42"/>
    </row>
    <row r="288" spans="1:8" x14ac:dyDescent="0.25">
      <c r="A288" s="248" t="str">
        <f>'Analysis Plate'!I100</f>
        <v>10-015</v>
      </c>
      <c r="B288" s="249" t="str">
        <f>'Analysis Plate'!J100</f>
        <v>B</v>
      </c>
      <c r="C288" s="249" t="str">
        <f>'Analysis Plate'!K100</f>
        <v>3E</v>
      </c>
      <c r="D288" s="250">
        <f>'Analysis Plate'!L100</f>
        <v>329.32646997041229</v>
      </c>
      <c r="E288" s="251">
        <f>'Analysis Plate'!M100</f>
        <v>329.32646997041229</v>
      </c>
      <c r="F288" s="250">
        <f>'Analysis Plate'!N100</f>
        <v>26.562593453212376</v>
      </c>
      <c r="G288" s="252">
        <f>'Analysis Plate'!O100</f>
        <v>8.0657329049799245</v>
      </c>
      <c r="H288" s="42"/>
    </row>
    <row r="289" spans="1:8" x14ac:dyDescent="0.25">
      <c r="A289" s="248" t="str">
        <f>'Analysis Plate'!I101</f>
        <v>10-016</v>
      </c>
      <c r="B289" s="249" t="str">
        <f>'Analysis Plate'!J101</f>
        <v>B</v>
      </c>
      <c r="C289" s="249" t="str">
        <f>'Analysis Plate'!K101</f>
        <v>3F</v>
      </c>
      <c r="D289" s="250">
        <f>'Analysis Plate'!L101</f>
        <v>665.22227669147253</v>
      </c>
      <c r="E289" s="251">
        <f>'Analysis Plate'!M101</f>
        <v>665.22227669147253</v>
      </c>
      <c r="F289" s="250">
        <f>'Analysis Plate'!N101</f>
        <v>43.672869398392784</v>
      </c>
      <c r="G289" s="252">
        <f>'Analysis Plate'!O101</f>
        <v>6.5651543745051235</v>
      </c>
      <c r="H289" s="42"/>
    </row>
    <row r="290" spans="1:8" x14ac:dyDescent="0.25">
      <c r="A290" s="248" t="str">
        <f>'Analysis Plate'!I102</f>
        <v>10-017</v>
      </c>
      <c r="B290" s="249" t="str">
        <f>'Analysis Plate'!J102</f>
        <v>B</v>
      </c>
      <c r="C290" s="249" t="str">
        <f>'Analysis Plate'!K102</f>
        <v>3G</v>
      </c>
      <c r="D290" s="250">
        <f>'Analysis Plate'!L102</f>
        <v>335.82760037429</v>
      </c>
      <c r="E290" s="251">
        <f>'Analysis Plate'!M102</f>
        <v>335.82760037429</v>
      </c>
      <c r="F290" s="250">
        <f>'Analysis Plate'!N102</f>
        <v>7.1515249353512491</v>
      </c>
      <c r="G290" s="252">
        <f>'Analysis Plate'!O102</f>
        <v>2.129522685860441</v>
      </c>
      <c r="H290" s="42"/>
    </row>
    <row r="291" spans="1:8" x14ac:dyDescent="0.25">
      <c r="A291" s="248" t="str">
        <f>'Analysis Plate'!I103</f>
        <v>10-018</v>
      </c>
      <c r="B291" s="249" t="str">
        <f>'Analysis Plate'!J103</f>
        <v>B</v>
      </c>
      <c r="C291" s="249" t="str">
        <f>'Analysis Plate'!K103</f>
        <v>3H</v>
      </c>
      <c r="D291" s="250">
        <f>'Analysis Plate'!L103</f>
        <v>322.82445545878977</v>
      </c>
      <c r="E291" s="251">
        <f>'Analysis Plate'!M103</f>
        <v>322.82445545878977</v>
      </c>
      <c r="F291" s="250">
        <f>'Analysis Plate'!N103</f>
        <v>7.1512340652315434</v>
      </c>
      <c r="G291" s="252">
        <f>'Analysis Plate'!O103</f>
        <v>2.2152082793939494</v>
      </c>
      <c r="H291" s="42"/>
    </row>
    <row r="292" spans="1:8" x14ac:dyDescent="0.25">
      <c r="A292" s="248" t="str">
        <f>'Analysis Plate'!I104</f>
        <v>10-019</v>
      </c>
      <c r="B292" s="249" t="str">
        <f>'Analysis Plate'!J104</f>
        <v>B</v>
      </c>
      <c r="C292" s="249" t="str">
        <f>'Analysis Plate'!K104</f>
        <v>4A</v>
      </c>
      <c r="D292" s="250">
        <f>'Analysis Plate'!L104</f>
        <v>757.53444107555924</v>
      </c>
      <c r="E292" s="251">
        <f>'Analysis Plate'!M104</f>
        <v>757.53444107555924</v>
      </c>
      <c r="F292" s="250">
        <f>'Analysis Plate'!N104</f>
        <v>28.346158740758082</v>
      </c>
      <c r="G292" s="252">
        <f>'Analysis Plate'!O104</f>
        <v>3.7418970285379718</v>
      </c>
      <c r="H292" s="42"/>
    </row>
    <row r="293" spans="1:8" x14ac:dyDescent="0.25">
      <c r="A293" s="248" t="str">
        <f>'Analysis Plate'!I105</f>
        <v>10-020</v>
      </c>
      <c r="B293" s="249" t="str">
        <f>'Analysis Plate'!J105</f>
        <v>B</v>
      </c>
      <c r="C293" s="249" t="str">
        <f>'Analysis Plate'!K105</f>
        <v>4B</v>
      </c>
      <c r="D293" s="250">
        <f>'Analysis Plate'!L105</f>
        <v>312.71099557367029</v>
      </c>
      <c r="E293" s="251">
        <f>'Analysis Plate'!M105</f>
        <v>312.71099557367029</v>
      </c>
      <c r="F293" s="250">
        <f>'Analysis Plate'!N105</f>
        <v>9.1945654276666868</v>
      </c>
      <c r="G293" s="252">
        <f>'Analysis Plate'!O105</f>
        <v>2.9402757043445815</v>
      </c>
      <c r="H293" s="42"/>
    </row>
    <row r="294" spans="1:8" x14ac:dyDescent="0.25">
      <c r="A294" s="248" t="str">
        <f>'Analysis Plate'!I106</f>
        <v>10-021</v>
      </c>
      <c r="B294" s="249" t="str">
        <f>'Analysis Plate'!J106</f>
        <v>B</v>
      </c>
      <c r="C294" s="249" t="str">
        <f>'Analysis Plate'!K106</f>
        <v>4C</v>
      </c>
      <c r="D294" s="250">
        <f>'Analysis Plate'!L106</f>
        <v>372.68268601929424</v>
      </c>
      <c r="E294" s="251">
        <f>'Analysis Plate'!M106</f>
        <v>372.68268601929424</v>
      </c>
      <c r="F294" s="250">
        <f>'Analysis Plate'!N106</f>
        <v>34.752355296294603</v>
      </c>
      <c r="G294" s="252">
        <f>'Analysis Plate'!O106</f>
        <v>9.3249181139838164</v>
      </c>
      <c r="H294" s="42"/>
    </row>
    <row r="295" spans="1:8" x14ac:dyDescent="0.25">
      <c r="A295" s="248" t="str">
        <f>'Analysis Plate'!I107</f>
        <v>10-022</v>
      </c>
      <c r="B295" s="249" t="str">
        <f>'Analysis Plate'!J107</f>
        <v>B</v>
      </c>
      <c r="C295" s="249" t="str">
        <f>'Analysis Plate'!K107</f>
        <v>4D</v>
      </c>
      <c r="D295" s="250">
        <f>'Analysis Plate'!L107</f>
        <v>402.31909318375494</v>
      </c>
      <c r="E295" s="251">
        <f>'Analysis Plate'!M107</f>
        <v>402.31909318375494</v>
      </c>
      <c r="F295" s="250">
        <f>'Analysis Plate'!N107</f>
        <v>9.2051150603095575</v>
      </c>
      <c r="G295" s="252">
        <f>'Analysis Plate'!O107</f>
        <v>2.288013473947959</v>
      </c>
      <c r="H295" s="42"/>
    </row>
    <row r="296" spans="1:8" x14ac:dyDescent="0.25">
      <c r="A296" s="248" t="str">
        <f>'Analysis Plate'!I108</f>
        <v>10-023</v>
      </c>
      <c r="B296" s="249" t="str">
        <f>'Analysis Plate'!J108</f>
        <v>B</v>
      </c>
      <c r="C296" s="249" t="str">
        <f>'Analysis Plate'!K108</f>
        <v>4E</v>
      </c>
      <c r="D296" s="250">
        <f>'Analysis Plate'!L108</f>
        <v>294.64968636339034</v>
      </c>
      <c r="E296" s="251">
        <f>'Analysis Plate'!M108</f>
        <v>294.64968636339034</v>
      </c>
      <c r="F296" s="250">
        <f>'Analysis Plate'!N108</f>
        <v>16.347983011725304</v>
      </c>
      <c r="G296" s="252">
        <f>'Analysis Plate'!O108</f>
        <v>5.5482777577313955</v>
      </c>
      <c r="H296" s="42"/>
    </row>
    <row r="297" spans="1:8" x14ac:dyDescent="0.25">
      <c r="A297" s="248" t="str">
        <f>'Analysis Plate'!I109</f>
        <v>10-024</v>
      </c>
      <c r="B297" s="249" t="str">
        <f>'Analysis Plate'!J109</f>
        <v>B</v>
      </c>
      <c r="C297" s="249" t="str">
        <f>'Analysis Plate'!K109</f>
        <v>4F</v>
      </c>
      <c r="D297" s="250">
        <f>'Analysis Plate'!L109</f>
        <v>367.61988509901096</v>
      </c>
      <c r="E297" s="251">
        <f>'Analysis Plate'!M109</f>
        <v>367.61988509901096</v>
      </c>
      <c r="F297" s="250">
        <f>'Analysis Plate'!N109</f>
        <v>19.418292965059106</v>
      </c>
      <c r="G297" s="252">
        <f>'Analysis Plate'!O109</f>
        <v>5.2821661047604058</v>
      </c>
      <c r="H297" s="42"/>
    </row>
    <row r="298" spans="1:8" x14ac:dyDescent="0.25">
      <c r="A298" s="248" t="str">
        <f>'Analysis Plate'!I110</f>
        <v>10-025</v>
      </c>
      <c r="B298" s="249" t="str">
        <f>'Analysis Plate'!J110</f>
        <v>B</v>
      </c>
      <c r="C298" s="249" t="str">
        <f>'Analysis Plate'!K110</f>
        <v>4G</v>
      </c>
      <c r="D298" s="250">
        <f>'Analysis Plate'!L110</f>
        <v>902.18649797638159</v>
      </c>
      <c r="E298" s="251">
        <f>'Analysis Plate'!M110</f>
        <v>902.18649797638159</v>
      </c>
      <c r="F298" s="250">
        <f>'Analysis Plate'!N110</f>
        <v>57.755862157476905</v>
      </c>
      <c r="G298" s="252">
        <f>'Analysis Plate'!O110</f>
        <v>6.4017652987518883</v>
      </c>
      <c r="H298" s="42"/>
    </row>
    <row r="299" spans="1:8" x14ac:dyDescent="0.25">
      <c r="A299" s="248" t="str">
        <f>'Analysis Plate'!I111</f>
        <v>10-026</v>
      </c>
      <c r="B299" s="249" t="str">
        <f>'Analysis Plate'!J111</f>
        <v>B</v>
      </c>
      <c r="C299" s="249" t="str">
        <f>'Analysis Plate'!K111</f>
        <v>4H</v>
      </c>
      <c r="D299" s="250">
        <f>'Analysis Plate'!L111</f>
        <v>939.31846623223646</v>
      </c>
      <c r="E299" s="251">
        <f>'Analysis Plate'!M111</f>
        <v>939.31846623223646</v>
      </c>
      <c r="F299" s="250">
        <f>'Analysis Plate'!N111</f>
        <v>50.541027342380509</v>
      </c>
      <c r="G299" s="252">
        <f>'Analysis Plate'!O111</f>
        <v>5.3806061691844542</v>
      </c>
      <c r="H299" s="42"/>
    </row>
    <row r="300" spans="1:8" x14ac:dyDescent="0.25">
      <c r="A300" s="248" t="str">
        <f>'Analysis Plate'!I112</f>
        <v>10-027</v>
      </c>
      <c r="B300" s="249" t="str">
        <f>'Analysis Plate'!J112</f>
        <v>B</v>
      </c>
      <c r="C300" s="249" t="str">
        <f>'Analysis Plate'!K112</f>
        <v>5A</v>
      </c>
      <c r="D300" s="250">
        <f>'Analysis Plate'!L112</f>
        <v>815.62114307151887</v>
      </c>
      <c r="E300" s="251">
        <f>'Analysis Plate'!M112</f>
        <v>815.62114307151887</v>
      </c>
      <c r="F300" s="250">
        <f>'Analysis Plate'!N112</f>
        <v>15.857646460789319</v>
      </c>
      <c r="G300" s="252">
        <f>'Analysis Plate'!O112</f>
        <v>1.944241710197895</v>
      </c>
      <c r="H300" s="42"/>
    </row>
    <row r="301" spans="1:8" x14ac:dyDescent="0.25">
      <c r="A301" s="248" t="str">
        <f>'Analysis Plate'!I113</f>
        <v>10-028</v>
      </c>
      <c r="B301" s="249" t="str">
        <f>'Analysis Plate'!J113</f>
        <v>B</v>
      </c>
      <c r="C301" s="249" t="str">
        <f>'Analysis Plate'!K113</f>
        <v>5B</v>
      </c>
      <c r="D301" s="250">
        <f>'Analysis Plate'!L113</f>
        <v>704.9627361871876</v>
      </c>
      <c r="E301" s="251">
        <f>'Analysis Plate'!M113</f>
        <v>704.9627361871876</v>
      </c>
      <c r="F301" s="250">
        <f>'Analysis Plate'!N113</f>
        <v>14.614343581830521</v>
      </c>
      <c r="G301" s="252">
        <f>'Analysis Plate'!O113</f>
        <v>2.0730661113908861</v>
      </c>
      <c r="H301" s="42"/>
    </row>
    <row r="302" spans="1:8" x14ac:dyDescent="0.25">
      <c r="A302" s="248" t="str">
        <f>'Analysis Plate'!I114</f>
        <v>10-029</v>
      </c>
      <c r="B302" s="249" t="str">
        <f>'Analysis Plate'!J114</f>
        <v>B</v>
      </c>
      <c r="C302" s="249" t="str">
        <f>'Analysis Plate'!K114</f>
        <v>5C</v>
      </c>
      <c r="D302" s="250">
        <f>'Analysis Plate'!L114</f>
        <v>246.22082464451245</v>
      </c>
      <c r="E302" s="251">
        <f>'Analysis Plate'!M114</f>
        <v>246.22082464451245</v>
      </c>
      <c r="F302" s="250">
        <f>'Analysis Plate'!N114</f>
        <v>19.433200447689586</v>
      </c>
      <c r="G302" s="252">
        <f>'Analysis Plate'!O114</f>
        <v>7.892590107171789</v>
      </c>
      <c r="H302" s="42"/>
    </row>
    <row r="303" spans="1:8" x14ac:dyDescent="0.25">
      <c r="A303" s="248" t="str">
        <f>'Analysis Plate'!I115</f>
        <v>10-030</v>
      </c>
      <c r="B303" s="249" t="str">
        <f>'Analysis Plate'!J115</f>
        <v>B</v>
      </c>
      <c r="C303" s="249" t="str">
        <f>'Analysis Plate'!K115</f>
        <v>5D</v>
      </c>
      <c r="D303" s="250" t="e">
        <f>'Analysis Plate'!L115</f>
        <v>#VALUE!</v>
      </c>
      <c r="E303" s="251" t="e">
        <f>'Analysis Plate'!M115</f>
        <v>#VALUE!</v>
      </c>
      <c r="F303" s="250" t="e">
        <f>'Analysis Plate'!N115</f>
        <v>#VALUE!</v>
      </c>
      <c r="G303" s="252" t="e">
        <f>'Analysis Plate'!O115</f>
        <v>#VALUE!</v>
      </c>
      <c r="H303" s="42"/>
    </row>
    <row r="304" spans="1:8" x14ac:dyDescent="0.25">
      <c r="A304" s="248" t="str">
        <f>'Analysis Plate'!I116</f>
        <v>10-031</v>
      </c>
      <c r="B304" s="249" t="str">
        <f>'Analysis Plate'!J116</f>
        <v>B</v>
      </c>
      <c r="C304" s="249" t="str">
        <f>'Analysis Plate'!K116</f>
        <v>5E</v>
      </c>
      <c r="D304" s="250" t="e">
        <f>'Analysis Plate'!L116</f>
        <v>#VALUE!</v>
      </c>
      <c r="E304" s="251" t="e">
        <f>'Analysis Plate'!M116</f>
        <v>#VALUE!</v>
      </c>
      <c r="F304" s="250" t="e">
        <f>'Analysis Plate'!N116</f>
        <v>#VALUE!</v>
      </c>
      <c r="G304" s="252" t="e">
        <f>'Analysis Plate'!O116</f>
        <v>#VALUE!</v>
      </c>
      <c r="H304" s="42"/>
    </row>
    <row r="305" spans="1:8" x14ac:dyDescent="0.25">
      <c r="A305" s="248" t="str">
        <f>'Analysis Plate'!I117</f>
        <v>10-032</v>
      </c>
      <c r="B305" s="249" t="str">
        <f>'Analysis Plate'!J117</f>
        <v>B</v>
      </c>
      <c r="C305" s="249" t="str">
        <f>'Analysis Plate'!K117</f>
        <v>5F</v>
      </c>
      <c r="D305" s="250" t="e">
        <f>'Analysis Plate'!L117</f>
        <v>#VALUE!</v>
      </c>
      <c r="E305" s="251" t="e">
        <f>'Analysis Plate'!M117</f>
        <v>#VALUE!</v>
      </c>
      <c r="F305" s="250" t="e">
        <f>'Analysis Plate'!N117</f>
        <v>#VALUE!</v>
      </c>
      <c r="G305" s="252" t="e">
        <f>'Analysis Plate'!O117</f>
        <v>#VALUE!</v>
      </c>
      <c r="H305" s="42"/>
    </row>
    <row r="306" spans="1:8" x14ac:dyDescent="0.25">
      <c r="A306" s="248" t="str">
        <f>'Analysis Plate'!I118</f>
        <v>10-033</v>
      </c>
      <c r="B306" s="249" t="str">
        <f>'Analysis Plate'!J118</f>
        <v>B</v>
      </c>
      <c r="C306" s="249" t="str">
        <f>'Analysis Plate'!K118</f>
        <v>5G</v>
      </c>
      <c r="D306" s="250" t="e">
        <f>'Analysis Plate'!L118</f>
        <v>#VALUE!</v>
      </c>
      <c r="E306" s="251" t="e">
        <f>'Analysis Plate'!M118</f>
        <v>#VALUE!</v>
      </c>
      <c r="F306" s="250" t="e">
        <f>'Analysis Plate'!N118</f>
        <v>#VALUE!</v>
      </c>
      <c r="G306" s="252" t="e">
        <f>'Analysis Plate'!O118</f>
        <v>#VALUE!</v>
      </c>
      <c r="H306" s="42"/>
    </row>
    <row r="307" spans="1:8" x14ac:dyDescent="0.25">
      <c r="A307" s="248" t="str">
        <f>'Analysis Plate'!I119</f>
        <v>10-034</v>
      </c>
      <c r="B307" s="249" t="str">
        <f>'Analysis Plate'!J119</f>
        <v>B</v>
      </c>
      <c r="C307" s="249" t="str">
        <f>'Analysis Plate'!K119</f>
        <v>5H</v>
      </c>
      <c r="D307" s="250" t="e">
        <f>'Analysis Plate'!L119</f>
        <v>#VALUE!</v>
      </c>
      <c r="E307" s="251" t="e">
        <f>'Analysis Plate'!M119</f>
        <v>#VALUE!</v>
      </c>
      <c r="F307" s="250" t="e">
        <f>'Analysis Plate'!N119</f>
        <v>#VALUE!</v>
      </c>
      <c r="G307" s="252" t="e">
        <f>'Analysis Plate'!O119</f>
        <v>#VALUE!</v>
      </c>
      <c r="H307" s="42"/>
    </row>
    <row r="308" spans="1:8" x14ac:dyDescent="0.25">
      <c r="A308" s="248" t="str">
        <f>'Analysis Plate'!I120</f>
        <v>10-035</v>
      </c>
      <c r="B308" s="249" t="str">
        <f>'Analysis Plate'!J120</f>
        <v>B</v>
      </c>
      <c r="C308" s="249" t="str">
        <f>'Analysis Plate'!K120</f>
        <v>6A</v>
      </c>
      <c r="D308" s="250" t="e">
        <f>'Analysis Plate'!L120</f>
        <v>#VALUE!</v>
      </c>
      <c r="E308" s="251" t="e">
        <f>'Analysis Plate'!M120</f>
        <v>#VALUE!</v>
      </c>
      <c r="F308" s="250" t="e">
        <f>'Analysis Plate'!N120</f>
        <v>#VALUE!</v>
      </c>
      <c r="G308" s="252" t="e">
        <f>'Analysis Plate'!O120</f>
        <v>#VALUE!</v>
      </c>
      <c r="H308" s="42"/>
    </row>
    <row r="309" spans="1:8" x14ac:dyDescent="0.25">
      <c r="A309" s="248" t="str">
        <f>'Analysis Plate'!I121</f>
        <v>10-036</v>
      </c>
      <c r="B309" s="249" t="str">
        <f>'Analysis Plate'!J121</f>
        <v>B</v>
      </c>
      <c r="C309" s="249" t="str">
        <f>'Analysis Plate'!K121</f>
        <v>6B</v>
      </c>
      <c r="D309" s="250" t="e">
        <f>'Analysis Plate'!L121</f>
        <v>#VALUE!</v>
      </c>
      <c r="E309" s="251" t="e">
        <f>'Analysis Plate'!M121</f>
        <v>#VALUE!</v>
      </c>
      <c r="F309" s="250" t="e">
        <f>'Analysis Plate'!N121</f>
        <v>#VALUE!</v>
      </c>
      <c r="G309" s="252" t="e">
        <f>'Analysis Plate'!O121</f>
        <v>#VALUE!</v>
      </c>
      <c r="H309" s="42"/>
    </row>
    <row r="310" spans="1:8" x14ac:dyDescent="0.25">
      <c r="A310" s="248" t="str">
        <f>'Analysis Plate'!I122</f>
        <v>10-037</v>
      </c>
      <c r="B310" s="249" t="str">
        <f>'Analysis Plate'!J122</f>
        <v>B</v>
      </c>
      <c r="C310" s="249" t="str">
        <f>'Analysis Plate'!K122</f>
        <v>6A</v>
      </c>
      <c r="D310" s="250" t="e">
        <f>'Analysis Plate'!L122</f>
        <v>#VALUE!</v>
      </c>
      <c r="E310" s="251" t="e">
        <f>'Analysis Plate'!M122</f>
        <v>#VALUE!</v>
      </c>
      <c r="F310" s="250" t="e">
        <f>'Analysis Plate'!N122</f>
        <v>#VALUE!</v>
      </c>
      <c r="G310" s="252" t="e">
        <f>'Analysis Plate'!O122</f>
        <v>#VALUE!</v>
      </c>
      <c r="H310" s="42"/>
    </row>
    <row r="311" spans="1:8" x14ac:dyDescent="0.25">
      <c r="A311" s="248" t="str">
        <f>'Analysis Plate'!I123</f>
        <v>10-038</v>
      </c>
      <c r="B311" s="249" t="str">
        <f>'Analysis Plate'!J123</f>
        <v>B</v>
      </c>
      <c r="C311" s="249" t="str">
        <f>'Analysis Plate'!K123</f>
        <v>6B</v>
      </c>
      <c r="D311" s="250" t="e">
        <f>'Analysis Plate'!L123</f>
        <v>#VALUE!</v>
      </c>
      <c r="E311" s="251" t="e">
        <f>'Analysis Plate'!M123</f>
        <v>#VALUE!</v>
      </c>
      <c r="F311" s="250" t="e">
        <f>'Analysis Plate'!N123</f>
        <v>#VALUE!</v>
      </c>
      <c r="G311" s="252" t="e">
        <f>'Analysis Plate'!O123</f>
        <v>#VALUE!</v>
      </c>
      <c r="H311" s="42"/>
    </row>
    <row r="312" spans="1:8" x14ac:dyDescent="0.25">
      <c r="A312" s="248" t="str">
        <f>'Analysis Plate'!I124</f>
        <v>10-039</v>
      </c>
      <c r="B312" s="249" t="str">
        <f>'Analysis Plate'!J124</f>
        <v>B</v>
      </c>
      <c r="C312" s="249" t="str">
        <f>'Analysis Plate'!K124</f>
        <v>6A</v>
      </c>
      <c r="D312" s="250" t="e">
        <f>'Analysis Plate'!L124</f>
        <v>#VALUE!</v>
      </c>
      <c r="E312" s="251" t="e">
        <f>'Analysis Plate'!M124</f>
        <v>#VALUE!</v>
      </c>
      <c r="F312" s="250" t="e">
        <f>'Analysis Plate'!N124</f>
        <v>#VALUE!</v>
      </c>
      <c r="G312" s="252" t="e">
        <f>'Analysis Plate'!O124</f>
        <v>#VALUE!</v>
      </c>
      <c r="H312" s="42"/>
    </row>
    <row r="313" spans="1:8" x14ac:dyDescent="0.25">
      <c r="A313" s="248" t="str">
        <f>'Analysis Plate'!I125</f>
        <v>10-040</v>
      </c>
      <c r="B313" s="249" t="str">
        <f>'Analysis Plate'!J125</f>
        <v>B</v>
      </c>
      <c r="C313" s="249" t="str">
        <f>'Analysis Plate'!K125</f>
        <v>6B</v>
      </c>
      <c r="D313" s="250" t="e">
        <f>'Analysis Plate'!L125</f>
        <v>#VALUE!</v>
      </c>
      <c r="E313" s="251" t="e">
        <f>'Analysis Plate'!M125</f>
        <v>#VALUE!</v>
      </c>
      <c r="F313" s="250" t="e">
        <f>'Analysis Plate'!N125</f>
        <v>#VALUE!</v>
      </c>
      <c r="G313" s="252" t="e">
        <f>'Analysis Plate'!O125</f>
        <v>#VALUE!</v>
      </c>
      <c r="H313" s="42"/>
    </row>
    <row r="314" spans="1:8" x14ac:dyDescent="0.25">
      <c r="A314" s="248" t="str">
        <f>'Analysis Plate'!I126</f>
        <v>10-041</v>
      </c>
      <c r="B314" s="249" t="str">
        <f>'Analysis Plate'!J126</f>
        <v>B</v>
      </c>
      <c r="C314" s="249" t="str">
        <f>'Analysis Plate'!K126</f>
        <v>6A</v>
      </c>
      <c r="D314" s="250">
        <f>'Analysis Plate'!L126</f>
        <v>17.863053320734728</v>
      </c>
      <c r="E314" s="251">
        <f>'Analysis Plate'!M126</f>
        <v>38.542238048596779</v>
      </c>
      <c r="F314" s="250">
        <f>'Analysis Plate'!N126</f>
        <v>11.785139282020372</v>
      </c>
      <c r="G314" s="252">
        <f>'Analysis Plate'!O126</f>
        <v>65.974943199327782</v>
      </c>
      <c r="H314" s="42"/>
    </row>
    <row r="315" spans="1:8" x14ac:dyDescent="0.25">
      <c r="A315" s="248" t="str">
        <f>'Analysis Plate'!I127</f>
        <v>10-042</v>
      </c>
      <c r="B315" s="249" t="str">
        <f>'Analysis Plate'!J127</f>
        <v>B</v>
      </c>
      <c r="C315" s="249" t="str">
        <f>'Analysis Plate'!K127</f>
        <v>6B</v>
      </c>
      <c r="D315" s="250" t="e">
        <f>'Analysis Plate'!L127</f>
        <v>#VALUE!</v>
      </c>
      <c r="E315" s="251" t="e">
        <f>'Analysis Plate'!M127</f>
        <v>#VALUE!</v>
      </c>
      <c r="F315" s="250" t="e">
        <f>'Analysis Plate'!N127</f>
        <v>#VALUE!</v>
      </c>
      <c r="G315" s="252" t="e">
        <f>'Analysis Plate'!O127</f>
        <v>#VALUE!</v>
      </c>
      <c r="H315" s="42"/>
    </row>
    <row r="316" spans="1:8" x14ac:dyDescent="0.25">
      <c r="A316" s="248" t="str">
        <f>'Analysis Plate'!I128</f>
        <v>10-043</v>
      </c>
      <c r="B316" s="249" t="str">
        <f>'Analysis Plate'!J128</f>
        <v>B</v>
      </c>
      <c r="C316" s="249" t="str">
        <f>'Analysis Plate'!K128</f>
        <v>6A</v>
      </c>
      <c r="D316" s="250" t="e">
        <f>'Analysis Plate'!L128</f>
        <v>#VALUE!</v>
      </c>
      <c r="E316" s="251" t="e">
        <f>'Analysis Plate'!M128</f>
        <v>#VALUE!</v>
      </c>
      <c r="F316" s="250" t="e">
        <f>'Analysis Plate'!N128</f>
        <v>#VALUE!</v>
      </c>
      <c r="G316" s="252" t="e">
        <f>'Analysis Plate'!O128</f>
        <v>#VALUE!</v>
      </c>
      <c r="H316" s="42"/>
    </row>
    <row r="317" spans="1:8" x14ac:dyDescent="0.25">
      <c r="A317" s="248" t="str">
        <f>'Analysis Plate'!I129</f>
        <v>10-044</v>
      </c>
      <c r="B317" s="249" t="str">
        <f>'Analysis Plate'!J129</f>
        <v>B</v>
      </c>
      <c r="C317" s="249" t="str">
        <f>'Analysis Plate'!K129</f>
        <v>6B</v>
      </c>
      <c r="D317" s="250" t="e">
        <f>'Analysis Plate'!L129</f>
        <v>#VALUE!</v>
      </c>
      <c r="E317" s="251" t="e">
        <f>'Analysis Plate'!M129</f>
        <v>#VALUE!</v>
      </c>
      <c r="F317" s="250" t="e">
        <f>'Analysis Plate'!N129</f>
        <v>#VALUE!</v>
      </c>
      <c r="G317" s="252" t="e">
        <f>'Analysis Plate'!O129</f>
        <v>#VALUE!</v>
      </c>
      <c r="H317" s="42"/>
    </row>
    <row r="318" spans="1:8" x14ac:dyDescent="0.25">
      <c r="A318" s="248" t="str">
        <f>'Analysis Plate'!I130</f>
        <v>10-045</v>
      </c>
      <c r="B318" s="249" t="str">
        <f>'Analysis Plate'!J130</f>
        <v>B</v>
      </c>
      <c r="C318" s="249" t="str">
        <f>'Analysis Plate'!K130</f>
        <v>6A</v>
      </c>
      <c r="D318" s="250" t="e">
        <f>'Analysis Plate'!L130</f>
        <v>#VALUE!</v>
      </c>
      <c r="E318" s="251" t="e">
        <f>'Analysis Plate'!M130</f>
        <v>#VALUE!</v>
      </c>
      <c r="F318" s="250" t="e">
        <f>'Analysis Plate'!N130</f>
        <v>#VALUE!</v>
      </c>
      <c r="G318" s="252" t="e">
        <f>'Analysis Plate'!O130</f>
        <v>#VALUE!</v>
      </c>
      <c r="H318" s="42"/>
    </row>
    <row r="319" spans="1:8" x14ac:dyDescent="0.25">
      <c r="A319" s="248" t="str">
        <f>'Analysis Plate'!I131</f>
        <v>10-046</v>
      </c>
      <c r="B319" s="249" t="str">
        <f>'Analysis Plate'!J131</f>
        <v>B</v>
      </c>
      <c r="C319" s="249" t="str">
        <f>'Analysis Plate'!K131</f>
        <v>6B</v>
      </c>
      <c r="D319" s="250" t="e">
        <f>'Analysis Plate'!L131</f>
        <v>#VALUE!</v>
      </c>
      <c r="E319" s="251" t="e">
        <f>'Analysis Plate'!M131</f>
        <v>#VALUE!</v>
      </c>
      <c r="F319" s="250" t="e">
        <f>'Analysis Plate'!N131</f>
        <v>#VALUE!</v>
      </c>
      <c r="G319" s="252" t="e">
        <f>'Analysis Plate'!O131</f>
        <v>#VALUE!</v>
      </c>
      <c r="H319" s="42"/>
    </row>
    <row r="320" spans="1:8" x14ac:dyDescent="0.25">
      <c r="A320" s="248" t="str">
        <f>'Analysis Plate'!I132</f>
        <v>10-047</v>
      </c>
      <c r="B320" s="249" t="str">
        <f>'Analysis Plate'!J132</f>
        <v>B</v>
      </c>
      <c r="C320" s="249" t="str">
        <f>'Analysis Plate'!K132</f>
        <v>6A</v>
      </c>
      <c r="D320" s="250" t="e">
        <f>'Analysis Plate'!L132</f>
        <v>#VALUE!</v>
      </c>
      <c r="E320" s="251" t="e">
        <f>'Analysis Plate'!M132</f>
        <v>#VALUE!</v>
      </c>
      <c r="F320" s="250" t="e">
        <f>'Analysis Plate'!N132</f>
        <v>#VALUE!</v>
      </c>
      <c r="G320" s="252" t="e">
        <f>'Analysis Plate'!O132</f>
        <v>#VALUE!</v>
      </c>
      <c r="H320" s="42"/>
    </row>
    <row r="321" spans="1:8" x14ac:dyDescent="0.25">
      <c r="A321" s="248" t="str">
        <f>'Analysis Plate'!I133</f>
        <v>10-048</v>
      </c>
      <c r="B321" s="249" t="str">
        <f>'Analysis Plate'!J133</f>
        <v>B</v>
      </c>
      <c r="C321" s="249" t="str">
        <f>'Analysis Plate'!K133</f>
        <v>6B</v>
      </c>
      <c r="D321" s="250">
        <f>'Analysis Plate'!L133</f>
        <v>1.773198067525851</v>
      </c>
      <c r="E321" s="251">
        <f>'Analysis Plate'!M133</f>
        <v>38.542238048596779</v>
      </c>
      <c r="F321" s="250">
        <f>'Analysis Plate'!N133</f>
        <v>0</v>
      </c>
      <c r="G321" s="252">
        <f>'Analysis Plate'!O133</f>
        <v>0</v>
      </c>
      <c r="H321" s="42"/>
    </row>
    <row r="322" spans="1:8" x14ac:dyDescent="0.25">
      <c r="A322" s="248" t="str">
        <f>'Analysis Plate'!I134</f>
        <v>10-049</v>
      </c>
      <c r="B322" s="249" t="str">
        <f>'Analysis Plate'!J134</f>
        <v>B</v>
      </c>
      <c r="C322" s="249" t="str">
        <f>'Analysis Plate'!K134</f>
        <v>6A</v>
      </c>
      <c r="D322" s="250">
        <f>'Analysis Plate'!L134</f>
        <v>5.6128453464613921</v>
      </c>
      <c r="E322" s="251">
        <f>'Analysis Plate'!M134</f>
        <v>38.542238048596779</v>
      </c>
      <c r="F322" s="250">
        <f>'Analysis Plate'!N134</f>
        <v>7.7036753359060786</v>
      </c>
      <c r="G322" s="252">
        <f>'Analysis Plate'!O134</f>
        <v>137.25080347640161</v>
      </c>
      <c r="H322" s="42"/>
    </row>
    <row r="323" spans="1:8" x14ac:dyDescent="0.25">
      <c r="A323" s="248" t="str">
        <f>'Analysis Plate'!I135</f>
        <v>10-050</v>
      </c>
      <c r="B323" s="249" t="str">
        <f>'Analysis Plate'!J135</f>
        <v>B</v>
      </c>
      <c r="C323" s="249" t="str">
        <f>'Analysis Plate'!K135</f>
        <v>6B</v>
      </c>
      <c r="D323" s="250" t="e">
        <f>'Analysis Plate'!L135</f>
        <v>#VALUE!</v>
      </c>
      <c r="E323" s="251" t="e">
        <f>'Analysis Plate'!M135</f>
        <v>#VALUE!</v>
      </c>
      <c r="F323" s="250" t="e">
        <f>'Analysis Plate'!N135</f>
        <v>#VALUE!</v>
      </c>
      <c r="G323" s="252" t="e">
        <f>'Analysis Plate'!O135</f>
        <v>#VALUE!</v>
      </c>
      <c r="H323" s="42"/>
    </row>
    <row r="324" spans="1:8" x14ac:dyDescent="0.25">
      <c r="A324" s="248" t="str">
        <f>'Analysis Plate'!I136</f>
        <v>10-051</v>
      </c>
      <c r="B324" s="249" t="str">
        <f>'Analysis Plate'!J136</f>
        <v>B</v>
      </c>
      <c r="C324" s="249" t="str">
        <f>'Analysis Plate'!K136</f>
        <v>6A</v>
      </c>
      <c r="D324" s="250" t="e">
        <f>'Analysis Plate'!L136</f>
        <v>#VALUE!</v>
      </c>
      <c r="E324" s="251" t="e">
        <f>'Analysis Plate'!M136</f>
        <v>#VALUE!</v>
      </c>
      <c r="F324" s="250" t="e">
        <f>'Analysis Plate'!N136</f>
        <v>#VALUE!</v>
      </c>
      <c r="G324" s="252" t="e">
        <f>'Analysis Plate'!O136</f>
        <v>#VALUE!</v>
      </c>
      <c r="H324" s="42"/>
    </row>
    <row r="325" spans="1:8" x14ac:dyDescent="0.25">
      <c r="A325" s="248" t="str">
        <f>'Analysis Plate'!I137</f>
        <v>10-052</v>
      </c>
      <c r="B325" s="249" t="str">
        <f>'Analysis Plate'!J137</f>
        <v>B</v>
      </c>
      <c r="C325" s="249" t="str">
        <f>'Analysis Plate'!K137</f>
        <v>6B</v>
      </c>
      <c r="D325" s="250" t="e">
        <f>'Analysis Plate'!L137</f>
        <v>#VALUE!</v>
      </c>
      <c r="E325" s="251" t="e">
        <f>'Analysis Plate'!M137</f>
        <v>#VALUE!</v>
      </c>
      <c r="F325" s="250" t="e">
        <f>'Analysis Plate'!N137</f>
        <v>#VALUE!</v>
      </c>
      <c r="G325" s="252" t="e">
        <f>'Analysis Plate'!O137</f>
        <v>#VALUE!</v>
      </c>
      <c r="H325" s="42"/>
    </row>
    <row r="326" spans="1:8" x14ac:dyDescent="0.25">
      <c r="A326" s="248" t="str">
        <f>'Analysis Plate'!I138</f>
        <v>10-053</v>
      </c>
      <c r="B326" s="249" t="str">
        <f>'Analysis Plate'!J138</f>
        <v>B</v>
      </c>
      <c r="C326" s="249" t="str">
        <f>'Analysis Plate'!K138</f>
        <v>6A</v>
      </c>
      <c r="D326" s="250" t="e">
        <f>'Analysis Plate'!L138</f>
        <v>#VALUE!</v>
      </c>
      <c r="E326" s="251" t="e">
        <f>'Analysis Plate'!M138</f>
        <v>#VALUE!</v>
      </c>
      <c r="F326" s="250" t="e">
        <f>'Analysis Plate'!N138</f>
        <v>#VALUE!</v>
      </c>
      <c r="G326" s="252" t="e">
        <f>'Analysis Plate'!O138</f>
        <v>#VALUE!</v>
      </c>
      <c r="H326" s="42"/>
    </row>
    <row r="327" spans="1:8" x14ac:dyDescent="0.25">
      <c r="A327" s="248" t="str">
        <f>'Analysis Plate'!I139</f>
        <v>10-054</v>
      </c>
      <c r="B327" s="249" t="str">
        <f>'Analysis Plate'!J139</f>
        <v>B</v>
      </c>
      <c r="C327" s="249" t="str">
        <f>'Analysis Plate'!K139</f>
        <v>6B</v>
      </c>
      <c r="D327" s="250" t="e">
        <f>'Analysis Plate'!L139</f>
        <v>#VALUE!</v>
      </c>
      <c r="E327" s="251" t="e">
        <f>'Analysis Plate'!M139</f>
        <v>#VALUE!</v>
      </c>
      <c r="F327" s="250" t="e">
        <f>'Analysis Plate'!N139</f>
        <v>#VALUE!</v>
      </c>
      <c r="G327" s="252" t="e">
        <f>'Analysis Plate'!O139</f>
        <v>#VALUE!</v>
      </c>
      <c r="H327" s="42"/>
    </row>
    <row r="328" spans="1:8" x14ac:dyDescent="0.25">
      <c r="A328" s="248" t="str">
        <f>'Analysis Plate'!I140</f>
        <v>10-055</v>
      </c>
      <c r="B328" s="249" t="str">
        <f>'Analysis Plate'!J140</f>
        <v>B</v>
      </c>
      <c r="C328" s="249" t="str">
        <f>'Analysis Plate'!K140</f>
        <v>6A</v>
      </c>
      <c r="D328" s="250" t="e">
        <f>'Analysis Plate'!L140</f>
        <v>#VALUE!</v>
      </c>
      <c r="E328" s="251" t="e">
        <f>'Analysis Plate'!M140</f>
        <v>#VALUE!</v>
      </c>
      <c r="F328" s="250" t="e">
        <f>'Analysis Plate'!N140</f>
        <v>#VALUE!</v>
      </c>
      <c r="G328" s="252" t="e">
        <f>'Analysis Plate'!O140</f>
        <v>#VALUE!</v>
      </c>
      <c r="H328" s="42"/>
    </row>
    <row r="329" spans="1:8" x14ac:dyDescent="0.25">
      <c r="A329" s="248" t="str">
        <f>'Analysis Plate'!I141</f>
        <v>10-056</v>
      </c>
      <c r="B329" s="249" t="str">
        <f>'Analysis Plate'!J141</f>
        <v>B</v>
      </c>
      <c r="C329" s="249" t="str">
        <f>'Analysis Plate'!K141</f>
        <v>6B</v>
      </c>
      <c r="D329" s="250" t="e">
        <f>'Analysis Plate'!L141</f>
        <v>#VALUE!</v>
      </c>
      <c r="E329" s="251" t="e">
        <f>'Analysis Plate'!M141</f>
        <v>#VALUE!</v>
      </c>
      <c r="F329" s="250" t="e">
        <f>'Analysis Plate'!N141</f>
        <v>#VALUE!</v>
      </c>
      <c r="G329" s="252" t="e">
        <f>'Analysis Plate'!O141</f>
        <v>#VALUE!</v>
      </c>
      <c r="H329" s="42"/>
    </row>
    <row r="330" spans="1:8" x14ac:dyDescent="0.25">
      <c r="A330" s="248" t="str">
        <f>'Analysis Plate'!I142</f>
        <v>10-057</v>
      </c>
      <c r="B330" s="249" t="str">
        <f>'Analysis Plate'!J142</f>
        <v>B</v>
      </c>
      <c r="C330" s="249" t="str">
        <f>'Analysis Plate'!K142</f>
        <v>6A</v>
      </c>
      <c r="D330" s="250">
        <f>'Analysis Plate'!L142</f>
        <v>1.7559892253780345</v>
      </c>
      <c r="E330" s="251">
        <f>'Analysis Plate'!M142</f>
        <v>38.542238048596779</v>
      </c>
      <c r="F330" s="250">
        <f>'Analysis Plate'!N142</f>
        <v>2.2492571013483218</v>
      </c>
      <c r="G330" s="252">
        <f>'Analysis Plate'!O142</f>
        <v>128.09059809943281</v>
      </c>
      <c r="H330" s="42"/>
    </row>
    <row r="331" spans="1:8" x14ac:dyDescent="0.25">
      <c r="A331" s="248" t="str">
        <f>'Analysis Plate'!I143</f>
        <v>10-058</v>
      </c>
      <c r="B331" s="249" t="str">
        <f>'Analysis Plate'!J143</f>
        <v>B</v>
      </c>
      <c r="C331" s="249" t="str">
        <f>'Analysis Plate'!K143</f>
        <v>6B</v>
      </c>
      <c r="D331" s="250" t="e">
        <f>'Analysis Plate'!L143</f>
        <v>#VALUE!</v>
      </c>
      <c r="E331" s="251" t="e">
        <f>'Analysis Plate'!M143</f>
        <v>#VALUE!</v>
      </c>
      <c r="F331" s="250" t="e">
        <f>'Analysis Plate'!N143</f>
        <v>#VALUE!</v>
      </c>
      <c r="G331" s="252" t="e">
        <f>'Analysis Plate'!O143</f>
        <v>#VALUE!</v>
      </c>
      <c r="H331" s="42"/>
    </row>
    <row r="332" spans="1:8" x14ac:dyDescent="0.25">
      <c r="A332" s="248" t="str">
        <f>'Analysis Plate'!I144</f>
        <v>10-059</v>
      </c>
      <c r="B332" s="249" t="str">
        <f>'Analysis Plate'!J144</f>
        <v>B</v>
      </c>
      <c r="C332" s="249" t="str">
        <f>'Analysis Plate'!K144</f>
        <v>6A</v>
      </c>
      <c r="D332" s="250" t="e">
        <f>'Analysis Plate'!L144</f>
        <v>#VALUE!</v>
      </c>
      <c r="E332" s="251" t="e">
        <f>'Analysis Plate'!M144</f>
        <v>#VALUE!</v>
      </c>
      <c r="F332" s="250" t="e">
        <f>'Analysis Plate'!N144</f>
        <v>#VALUE!</v>
      </c>
      <c r="G332" s="252" t="e">
        <f>'Analysis Plate'!O144</f>
        <v>#VALUE!</v>
      </c>
      <c r="H332" s="42"/>
    </row>
    <row r="333" spans="1:8" x14ac:dyDescent="0.25">
      <c r="A333" s="248" t="str">
        <f>'Analysis Plate'!I145</f>
        <v>10-060</v>
      </c>
      <c r="B333" s="249" t="str">
        <f>'Analysis Plate'!J145</f>
        <v>B</v>
      </c>
      <c r="C333" s="249" t="str">
        <f>'Analysis Plate'!K145</f>
        <v>6B</v>
      </c>
      <c r="D333" s="250" t="e">
        <f>'Analysis Plate'!L145</f>
        <v>#VALUE!</v>
      </c>
      <c r="E333" s="251" t="e">
        <f>'Analysis Plate'!M145</f>
        <v>#VALUE!</v>
      </c>
      <c r="F333" s="250" t="e">
        <f>'Analysis Plate'!N145</f>
        <v>#VALUE!</v>
      </c>
      <c r="G333" s="252" t="e">
        <f>'Analysis Plate'!O145</f>
        <v>#VALUE!</v>
      </c>
      <c r="H333" s="42"/>
    </row>
    <row r="334" spans="1:8" x14ac:dyDescent="0.25">
      <c r="A334" s="248" t="str">
        <f>'Analysis Plate'!I146</f>
        <v>10-061</v>
      </c>
      <c r="B334" s="249" t="str">
        <f>'Analysis Plate'!J146</f>
        <v>B</v>
      </c>
      <c r="C334" s="249" t="str">
        <f>'Analysis Plate'!K146</f>
        <v>6A</v>
      </c>
      <c r="D334" s="250" t="e">
        <f>'Analysis Plate'!L146</f>
        <v>#VALUE!</v>
      </c>
      <c r="E334" s="251" t="e">
        <f>'Analysis Plate'!M146</f>
        <v>#VALUE!</v>
      </c>
      <c r="F334" s="250" t="e">
        <f>'Analysis Plate'!N146</f>
        <v>#VALUE!</v>
      </c>
      <c r="G334" s="252" t="e">
        <f>'Analysis Plate'!O146</f>
        <v>#VALUE!</v>
      </c>
      <c r="H334" s="42"/>
    </row>
    <row r="335" spans="1:8" x14ac:dyDescent="0.25">
      <c r="A335" s="248" t="str">
        <f>'Analysis Plate'!I147</f>
        <v>10-062</v>
      </c>
      <c r="B335" s="249" t="str">
        <f>'Analysis Plate'!J147</f>
        <v>B</v>
      </c>
      <c r="C335" s="249" t="str">
        <f>'Analysis Plate'!K147</f>
        <v>6B</v>
      </c>
      <c r="D335" s="250" t="e">
        <f>'Analysis Plate'!L147</f>
        <v>#VALUE!</v>
      </c>
      <c r="E335" s="251" t="e">
        <f>'Analysis Plate'!M147</f>
        <v>#VALUE!</v>
      </c>
      <c r="F335" s="250" t="e">
        <f>'Analysis Plate'!N147</f>
        <v>#VALUE!</v>
      </c>
      <c r="G335" s="252" t="e">
        <f>'Analysis Plate'!O147</f>
        <v>#VALUE!</v>
      </c>
      <c r="H335" s="42"/>
    </row>
    <row r="336" spans="1:8" x14ac:dyDescent="0.25">
      <c r="A336" s="248" t="str">
        <f>'Analysis Plate'!I148</f>
        <v>10-063</v>
      </c>
      <c r="B336" s="249" t="str">
        <f>'Analysis Plate'!J148</f>
        <v>B</v>
      </c>
      <c r="C336" s="249" t="str">
        <f>'Analysis Plate'!K148</f>
        <v>6A</v>
      </c>
      <c r="D336" s="250" t="e">
        <f>'Analysis Plate'!L148</f>
        <v>#VALUE!</v>
      </c>
      <c r="E336" s="251" t="e">
        <f>'Analysis Plate'!M148</f>
        <v>#VALUE!</v>
      </c>
      <c r="F336" s="250" t="e">
        <f>'Analysis Plate'!N148</f>
        <v>#VALUE!</v>
      </c>
      <c r="G336" s="252" t="e">
        <f>'Analysis Plate'!O148</f>
        <v>#VALUE!</v>
      </c>
      <c r="H336" s="42"/>
    </row>
    <row r="337" spans="1:8" x14ac:dyDescent="0.25">
      <c r="A337" s="248" t="str">
        <f>'Analysis Plate'!I149</f>
        <v>10-064</v>
      </c>
      <c r="B337" s="249" t="str">
        <f>'Analysis Plate'!J149</f>
        <v>B</v>
      </c>
      <c r="C337" s="249" t="str">
        <f>'Analysis Plate'!K149</f>
        <v>6B</v>
      </c>
      <c r="D337" s="250" t="e">
        <f>'Analysis Plate'!L149</f>
        <v>#VALUE!</v>
      </c>
      <c r="E337" s="251" t="e">
        <f>'Analysis Plate'!M149</f>
        <v>#VALUE!</v>
      </c>
      <c r="F337" s="250" t="e">
        <f>'Analysis Plate'!N149</f>
        <v>#VALUE!</v>
      </c>
      <c r="G337" s="252" t="e">
        <f>'Analysis Plate'!O149</f>
        <v>#VALUE!</v>
      </c>
      <c r="H337" s="42"/>
    </row>
    <row r="338" spans="1:8" x14ac:dyDescent="0.25">
      <c r="A338" s="248" t="str">
        <f>'Analysis Plate'!I150</f>
        <v>10-065</v>
      </c>
      <c r="B338" s="249" t="str">
        <f>'Analysis Plate'!J150</f>
        <v>B</v>
      </c>
      <c r="C338" s="249" t="str">
        <f>'Analysis Plate'!K150</f>
        <v>6A</v>
      </c>
      <c r="D338" s="250" t="e">
        <f>'Analysis Plate'!L150</f>
        <v>#VALUE!</v>
      </c>
      <c r="E338" s="251" t="e">
        <f>'Analysis Plate'!M150</f>
        <v>#VALUE!</v>
      </c>
      <c r="F338" s="250" t="e">
        <f>'Analysis Plate'!N150</f>
        <v>#VALUE!</v>
      </c>
      <c r="G338" s="252" t="e">
        <f>'Analysis Plate'!O150</f>
        <v>#VALUE!</v>
      </c>
      <c r="H338" s="42"/>
    </row>
    <row r="339" spans="1:8" x14ac:dyDescent="0.25">
      <c r="A339" s="248" t="str">
        <f>'Analysis Plate'!I151</f>
        <v>10-066</v>
      </c>
      <c r="B339" s="249" t="str">
        <f>'Analysis Plate'!J151</f>
        <v>B</v>
      </c>
      <c r="C339" s="249" t="str">
        <f>'Analysis Plate'!K151</f>
        <v>6B</v>
      </c>
      <c r="D339" s="250">
        <f>'Analysis Plate'!L151</f>
        <v>0.16552427638263878</v>
      </c>
      <c r="E339" s="251">
        <f>'Analysis Plate'!M151</f>
        <v>38.542238048596779</v>
      </c>
      <c r="F339" s="250">
        <f>'Analysis Plate'!N151</f>
        <v>0</v>
      </c>
      <c r="G339" s="252">
        <f>'Analysis Plate'!O151</f>
        <v>0</v>
      </c>
      <c r="H339" s="42"/>
    </row>
    <row r="340" spans="1:8" x14ac:dyDescent="0.25">
      <c r="A340" s="248" t="str">
        <f>'Analysis Plate'!I152</f>
        <v>10-067</v>
      </c>
      <c r="B340" s="249" t="str">
        <f>'Analysis Plate'!J152</f>
        <v>B</v>
      </c>
      <c r="C340" s="249" t="str">
        <f>'Analysis Plate'!K152</f>
        <v>6A</v>
      </c>
      <c r="D340" s="250" t="e">
        <f>'Analysis Plate'!L152</f>
        <v>#VALUE!</v>
      </c>
      <c r="E340" s="251" t="e">
        <f>'Analysis Plate'!M152</f>
        <v>#VALUE!</v>
      </c>
      <c r="F340" s="250" t="e">
        <f>'Analysis Plate'!N152</f>
        <v>#VALUE!</v>
      </c>
      <c r="G340" s="252" t="e">
        <f>'Analysis Plate'!O152</f>
        <v>#VALUE!</v>
      </c>
      <c r="H340" s="42"/>
    </row>
    <row r="341" spans="1:8" x14ac:dyDescent="0.25">
      <c r="A341" s="248" t="str">
        <f>'Analysis Plate'!I153</f>
        <v>10-068</v>
      </c>
      <c r="B341" s="249" t="str">
        <f>'Analysis Plate'!J153</f>
        <v>B</v>
      </c>
      <c r="C341" s="249" t="str">
        <f>'Analysis Plate'!K153</f>
        <v>6B</v>
      </c>
      <c r="D341" s="250" t="e">
        <f>'Analysis Plate'!L153</f>
        <v>#VALUE!</v>
      </c>
      <c r="E341" s="251" t="e">
        <f>'Analysis Plate'!M153</f>
        <v>#VALUE!</v>
      </c>
      <c r="F341" s="250" t="e">
        <f>'Analysis Plate'!N153</f>
        <v>#VALUE!</v>
      </c>
      <c r="G341" s="252" t="e">
        <f>'Analysis Plate'!O153</f>
        <v>#VALUE!</v>
      </c>
      <c r="H341" s="42"/>
    </row>
    <row r="342" spans="1:8" x14ac:dyDescent="0.25">
      <c r="A342" s="248" t="str">
        <f>'Analysis Plate'!I154</f>
        <v>10-069</v>
      </c>
      <c r="B342" s="249" t="str">
        <f>'Analysis Plate'!J154</f>
        <v>B</v>
      </c>
      <c r="C342" s="249" t="str">
        <f>'Analysis Plate'!K154</f>
        <v>6A</v>
      </c>
      <c r="D342" s="250" t="e">
        <f>'Analysis Plate'!L154</f>
        <v>#VALUE!</v>
      </c>
      <c r="E342" s="251" t="e">
        <f>'Analysis Plate'!M154</f>
        <v>#VALUE!</v>
      </c>
      <c r="F342" s="250" t="e">
        <f>'Analysis Plate'!N154</f>
        <v>#VALUE!</v>
      </c>
      <c r="G342" s="252" t="e">
        <f>'Analysis Plate'!O154</f>
        <v>#VALUE!</v>
      </c>
      <c r="H342" s="42"/>
    </row>
    <row r="343" spans="1:8" x14ac:dyDescent="0.25">
      <c r="A343" s="248" t="str">
        <f>'Analysis Plate'!I155</f>
        <v>10-070</v>
      </c>
      <c r="B343" s="249" t="str">
        <f>'Analysis Plate'!J155</f>
        <v>B</v>
      </c>
      <c r="C343" s="249" t="str">
        <f>'Analysis Plate'!K155</f>
        <v>6B</v>
      </c>
      <c r="D343" s="250" t="e">
        <f>'Analysis Plate'!L155</f>
        <v>#VALUE!</v>
      </c>
      <c r="E343" s="251" t="e">
        <f>'Analysis Plate'!M155</f>
        <v>#VALUE!</v>
      </c>
      <c r="F343" s="250" t="e">
        <f>'Analysis Plate'!N155</f>
        <v>#VALUE!</v>
      </c>
      <c r="G343" s="252" t="e">
        <f>'Analysis Plate'!O155</f>
        <v>#VALUE!</v>
      </c>
      <c r="H343" s="42"/>
    </row>
    <row r="344" spans="1:8" x14ac:dyDescent="0.25">
      <c r="A344" s="248" t="str">
        <f>'Analysis Plate'!I156</f>
        <v>10-071</v>
      </c>
      <c r="B344" s="249" t="str">
        <f>'Analysis Plate'!J156</f>
        <v>B</v>
      </c>
      <c r="C344" s="249" t="str">
        <f>'Analysis Plate'!K156</f>
        <v>6A</v>
      </c>
      <c r="D344" s="250" t="e">
        <f>'Analysis Plate'!L156</f>
        <v>#VALUE!</v>
      </c>
      <c r="E344" s="251" t="e">
        <f>'Analysis Plate'!M156</f>
        <v>#VALUE!</v>
      </c>
      <c r="F344" s="250" t="e">
        <f>'Analysis Plate'!N156</f>
        <v>#VALUE!</v>
      </c>
      <c r="G344" s="252" t="e">
        <f>'Analysis Plate'!O156</f>
        <v>#VALUE!</v>
      </c>
      <c r="H344" s="42"/>
    </row>
    <row r="345" spans="1:8" x14ac:dyDescent="0.25">
      <c r="A345" s="248" t="str">
        <f>'Analysis Plate'!I157</f>
        <v>10-072</v>
      </c>
      <c r="B345" s="249" t="str">
        <f>'Analysis Plate'!J157</f>
        <v>B</v>
      </c>
      <c r="C345" s="249" t="str">
        <f>'Analysis Plate'!K157</f>
        <v>6B</v>
      </c>
      <c r="D345" s="250" t="e">
        <f>'Analysis Plate'!L157</f>
        <v>#VALUE!</v>
      </c>
      <c r="E345" s="251" t="e">
        <f>'Analysis Plate'!M157</f>
        <v>#VALUE!</v>
      </c>
      <c r="F345" s="250" t="e">
        <f>'Analysis Plate'!N157</f>
        <v>#VALUE!</v>
      </c>
      <c r="G345" s="252" t="e">
        <f>'Analysis Plate'!O157</f>
        <v>#VALUE!</v>
      </c>
      <c r="H345" s="42"/>
    </row>
    <row r="346" spans="1:8" x14ac:dyDescent="0.25">
      <c r="A346" s="248" t="str">
        <f>'Analysis Plate'!I158</f>
        <v>10-073</v>
      </c>
      <c r="B346" s="249" t="str">
        <f>'Analysis Plate'!J158</f>
        <v>B</v>
      </c>
      <c r="C346" s="249" t="str">
        <f>'Analysis Plate'!K158</f>
        <v>6A</v>
      </c>
      <c r="D346" s="250">
        <f>'Analysis Plate'!L158</f>
        <v>0.96936117195424487</v>
      </c>
      <c r="E346" s="251">
        <f>'Analysis Plate'!M158</f>
        <v>38.542238048596779</v>
      </c>
      <c r="F346" s="250">
        <f>'Analysis Plate'!N158</f>
        <v>1.1367970396532507</v>
      </c>
      <c r="G346" s="252">
        <f>'Analysis Plate'!O158</f>
        <v>117.27280528076578</v>
      </c>
      <c r="H346" s="42"/>
    </row>
    <row r="347" spans="1:8" x14ac:dyDescent="0.25">
      <c r="A347" s="248" t="str">
        <f>'Analysis Plate'!I159</f>
        <v>10-074</v>
      </c>
      <c r="B347" s="249" t="str">
        <f>'Analysis Plate'!J159</f>
        <v>B</v>
      </c>
      <c r="C347" s="249" t="str">
        <f>'Analysis Plate'!K159</f>
        <v>6B</v>
      </c>
      <c r="D347" s="250" t="e">
        <f>'Analysis Plate'!L159</f>
        <v>#VALUE!</v>
      </c>
      <c r="E347" s="251" t="e">
        <f>'Analysis Plate'!M159</f>
        <v>#VALUE!</v>
      </c>
      <c r="F347" s="250" t="e">
        <f>'Analysis Plate'!N159</f>
        <v>#VALUE!</v>
      </c>
      <c r="G347" s="252" t="e">
        <f>'Analysis Plate'!O159</f>
        <v>#VALUE!</v>
      </c>
      <c r="H347" s="42"/>
    </row>
    <row r="348" spans="1:8" x14ac:dyDescent="0.25">
      <c r="A348" s="248" t="str">
        <f>'Analysis Plate'!I160</f>
        <v>10-075</v>
      </c>
      <c r="B348" s="249" t="str">
        <f>'Analysis Plate'!J160</f>
        <v>B</v>
      </c>
      <c r="C348" s="249" t="str">
        <f>'Analysis Plate'!K160</f>
        <v>6A</v>
      </c>
      <c r="D348" s="250" t="e">
        <f>'Analysis Plate'!L160</f>
        <v>#VALUE!</v>
      </c>
      <c r="E348" s="251" t="e">
        <f>'Analysis Plate'!M160</f>
        <v>#VALUE!</v>
      </c>
      <c r="F348" s="250" t="e">
        <f>'Analysis Plate'!N160</f>
        <v>#VALUE!</v>
      </c>
      <c r="G348" s="252" t="e">
        <f>'Analysis Plate'!O160</f>
        <v>#VALUE!</v>
      </c>
      <c r="H348" s="42"/>
    </row>
    <row r="349" spans="1:8" x14ac:dyDescent="0.25">
      <c r="A349" s="248" t="str">
        <f>'Analysis Plate'!I161</f>
        <v>10-076</v>
      </c>
      <c r="B349" s="249" t="str">
        <f>'Analysis Plate'!J161</f>
        <v>B</v>
      </c>
      <c r="C349" s="249" t="str">
        <f>'Analysis Plate'!K161</f>
        <v>6B</v>
      </c>
      <c r="D349" s="250" t="e">
        <f>'Analysis Plate'!L161</f>
        <v>#VALUE!</v>
      </c>
      <c r="E349" s="251" t="e">
        <f>'Analysis Plate'!M161</f>
        <v>#VALUE!</v>
      </c>
      <c r="F349" s="250" t="e">
        <f>'Analysis Plate'!N161</f>
        <v>#VALUE!</v>
      </c>
      <c r="G349" s="252" t="e">
        <f>'Analysis Plate'!O161</f>
        <v>#VALUE!</v>
      </c>
      <c r="H349" s="42"/>
    </row>
    <row r="350" spans="1:8" x14ac:dyDescent="0.25">
      <c r="A350" s="248" t="str">
        <f>'Analysis Plate'!I162</f>
        <v>10-077</v>
      </c>
      <c r="B350" s="249" t="str">
        <f>'Analysis Plate'!J162</f>
        <v>B</v>
      </c>
      <c r="C350" s="249" t="str">
        <f>'Analysis Plate'!K162</f>
        <v>6A</v>
      </c>
      <c r="D350" s="250" t="e">
        <f>'Analysis Plate'!L162</f>
        <v>#VALUE!</v>
      </c>
      <c r="E350" s="251" t="e">
        <f>'Analysis Plate'!M162</f>
        <v>#VALUE!</v>
      </c>
      <c r="F350" s="250" t="e">
        <f>'Analysis Plate'!N162</f>
        <v>#VALUE!</v>
      </c>
      <c r="G350" s="252" t="e">
        <f>'Analysis Plate'!O162</f>
        <v>#VALUE!</v>
      </c>
      <c r="H350" s="42"/>
    </row>
    <row r="351" spans="1:8" x14ac:dyDescent="0.25">
      <c r="A351" s="248" t="str">
        <f>'Analysis Plate'!I163</f>
        <v>10-078</v>
      </c>
      <c r="B351" s="249" t="str">
        <f>'Analysis Plate'!J163</f>
        <v>B</v>
      </c>
      <c r="C351" s="249" t="str">
        <f>'Analysis Plate'!K163</f>
        <v>6B</v>
      </c>
      <c r="D351" s="250" t="e">
        <f>'Analysis Plate'!L163</f>
        <v>#VALUE!</v>
      </c>
      <c r="E351" s="251" t="e">
        <f>'Analysis Plate'!M163</f>
        <v>#VALUE!</v>
      </c>
      <c r="F351" s="250" t="e">
        <f>'Analysis Plate'!N163</f>
        <v>#VALUE!</v>
      </c>
      <c r="G351" s="252" t="e">
        <f>'Analysis Plate'!O163</f>
        <v>#VALUE!</v>
      </c>
      <c r="H351" s="42"/>
    </row>
    <row r="352" spans="1:8" x14ac:dyDescent="0.25">
      <c r="A352" s="248" t="str">
        <f>'Analysis Plate'!I164</f>
        <v>10-079</v>
      </c>
      <c r="B352" s="249" t="str">
        <f>'Analysis Plate'!J164</f>
        <v>B</v>
      </c>
      <c r="C352" s="249" t="str">
        <f>'Analysis Plate'!K164</f>
        <v>6A</v>
      </c>
      <c r="D352" s="250" t="e">
        <f>'Analysis Plate'!L164</f>
        <v>#VALUE!</v>
      </c>
      <c r="E352" s="251" t="e">
        <f>'Analysis Plate'!M164</f>
        <v>#VALUE!</v>
      </c>
      <c r="F352" s="250" t="e">
        <f>'Analysis Plate'!N164</f>
        <v>#VALUE!</v>
      </c>
      <c r="G352" s="252" t="e">
        <f>'Analysis Plate'!O164</f>
        <v>#VALUE!</v>
      </c>
      <c r="H352" s="42"/>
    </row>
    <row r="353" spans="1:8" x14ac:dyDescent="0.25">
      <c r="A353" s="248" t="str">
        <f>'Analysis Plate'!I165</f>
        <v>10-080</v>
      </c>
      <c r="B353" s="249" t="str">
        <f>'Analysis Plate'!J165</f>
        <v>B</v>
      </c>
      <c r="C353" s="249" t="str">
        <f>'Analysis Plate'!K165</f>
        <v>6B</v>
      </c>
      <c r="D353" s="250" t="e">
        <f>'Analysis Plate'!L165</f>
        <v>#VALUE!</v>
      </c>
      <c r="E353" s="251" t="e">
        <f>'Analysis Plate'!M165</f>
        <v>#VALUE!</v>
      </c>
      <c r="F353" s="250" t="e">
        <f>'Analysis Plate'!N165</f>
        <v>#VALUE!</v>
      </c>
      <c r="G353" s="252" t="e">
        <f>'Analysis Plate'!O165</f>
        <v>#VALUE!</v>
      </c>
      <c r="H353" s="42"/>
    </row>
    <row r="354" spans="1:8" x14ac:dyDescent="0.25">
      <c r="A354" s="248" t="str">
        <f>'Analysis Plate'!I166</f>
        <v>10-081</v>
      </c>
      <c r="B354" s="249" t="str">
        <f>'Analysis Plate'!J166</f>
        <v>B</v>
      </c>
      <c r="C354" s="249" t="str">
        <f>'Analysis Plate'!K166</f>
        <v>6A</v>
      </c>
      <c r="D354" s="250" t="e">
        <f>'Analysis Plate'!L166</f>
        <v>#VALUE!</v>
      </c>
      <c r="E354" s="251" t="e">
        <f>'Analysis Plate'!M166</f>
        <v>#VALUE!</v>
      </c>
      <c r="F354" s="250" t="e">
        <f>'Analysis Plate'!N166</f>
        <v>#VALUE!</v>
      </c>
      <c r="G354" s="252" t="e">
        <f>'Analysis Plate'!O166</f>
        <v>#VALUE!</v>
      </c>
      <c r="H354" s="42"/>
    </row>
    <row r="355" spans="1:8" x14ac:dyDescent="0.25">
      <c r="A355" s="248" t="str">
        <f>'Analysis Plate'!I167</f>
        <v>10-082</v>
      </c>
      <c r="B355" s="249" t="str">
        <f>'Analysis Plate'!J167</f>
        <v>B</v>
      </c>
      <c r="C355" s="249" t="str">
        <f>'Analysis Plate'!K167</f>
        <v>6B</v>
      </c>
      <c r="D355" s="250" t="e">
        <f>'Analysis Plate'!L167</f>
        <v>#VALUE!</v>
      </c>
      <c r="E355" s="251" t="e">
        <f>'Analysis Plate'!M167</f>
        <v>#VALUE!</v>
      </c>
      <c r="F355" s="250" t="e">
        <f>'Analysis Plate'!N167</f>
        <v>#VALUE!</v>
      </c>
      <c r="G355" s="252" t="e">
        <f>'Analysis Plate'!O167</f>
        <v>#VALUE!</v>
      </c>
      <c r="H355" s="42"/>
    </row>
    <row r="356" spans="1:8" x14ac:dyDescent="0.25">
      <c r="A356" s="570"/>
      <c r="B356" s="571"/>
      <c r="C356" s="571"/>
      <c r="D356" s="572"/>
      <c r="E356" s="573"/>
      <c r="F356" s="572"/>
      <c r="G356" s="556"/>
      <c r="H356" s="532"/>
    </row>
    <row r="357" spans="1:8" s="122" customFormat="1" x14ac:dyDescent="0.25">
      <c r="A357" s="570"/>
      <c r="B357" s="571"/>
      <c r="C357" s="571"/>
      <c r="D357" s="572"/>
      <c r="E357" s="573"/>
      <c r="F357" s="572"/>
      <c r="G357" s="556"/>
      <c r="H357" s="532"/>
    </row>
    <row r="358" spans="1:8" s="122" customFormat="1" x14ac:dyDescent="0.25">
      <c r="A358" s="570"/>
      <c r="B358" s="571"/>
      <c r="C358" s="571"/>
      <c r="D358" s="572"/>
      <c r="E358" s="573"/>
      <c r="F358" s="572"/>
      <c r="G358" s="556"/>
      <c r="H358" s="532"/>
    </row>
    <row r="359" spans="1:8" s="122" customFormat="1" x14ac:dyDescent="0.25">
      <c r="A359" s="570"/>
      <c r="B359" s="571"/>
      <c r="C359" s="571"/>
      <c r="D359" s="572"/>
      <c r="E359" s="573"/>
      <c r="F359" s="572"/>
      <c r="G359" s="556"/>
      <c r="H359" s="532"/>
    </row>
    <row r="360" spans="1:8" s="122" customFormat="1" x14ac:dyDescent="0.25">
      <c r="A360" s="570"/>
      <c r="B360" s="571"/>
      <c r="C360" s="571"/>
      <c r="D360" s="572"/>
      <c r="E360" s="573"/>
      <c r="F360" s="572"/>
      <c r="G360" s="556"/>
      <c r="H360" s="532"/>
    </row>
    <row r="361" spans="1:8" s="122" customFormat="1" x14ac:dyDescent="0.25">
      <c r="A361" s="570"/>
      <c r="B361" s="571"/>
      <c r="C361" s="571"/>
      <c r="D361" s="572"/>
      <c r="E361" s="573"/>
      <c r="F361" s="572"/>
      <c r="G361" s="556"/>
      <c r="H361" s="532"/>
    </row>
    <row r="362" spans="1:8" s="122" customFormat="1" x14ac:dyDescent="0.25">
      <c r="A362" s="570"/>
      <c r="B362" s="571"/>
      <c r="C362" s="571"/>
      <c r="D362" s="572"/>
      <c r="E362" s="573"/>
      <c r="F362" s="572"/>
      <c r="G362" s="556"/>
      <c r="H362" s="532"/>
    </row>
    <row r="363" spans="1:8" s="122" customFormat="1" x14ac:dyDescent="0.25">
      <c r="A363" s="570"/>
      <c r="B363" s="571"/>
      <c r="C363" s="571"/>
      <c r="D363" s="572"/>
      <c r="E363" s="573"/>
      <c r="F363" s="572"/>
      <c r="G363" s="556"/>
      <c r="H363" s="532"/>
    </row>
    <row r="364" spans="1:8" s="122" customFormat="1" x14ac:dyDescent="0.25">
      <c r="A364" s="570"/>
      <c r="B364" s="571"/>
      <c r="C364" s="571"/>
      <c r="D364" s="572"/>
      <c r="E364" s="573"/>
      <c r="F364" s="572"/>
      <c r="G364" s="556"/>
      <c r="H364" s="532"/>
    </row>
    <row r="365" spans="1:8" s="122" customFormat="1" x14ac:dyDescent="0.25">
      <c r="A365" s="570"/>
      <c r="B365" s="571"/>
      <c r="C365" s="571"/>
      <c r="D365" s="572"/>
      <c r="E365" s="573"/>
      <c r="F365" s="572"/>
      <c r="G365" s="556"/>
      <c r="H365" s="532"/>
    </row>
    <row r="366" spans="1:8" s="122" customFormat="1" x14ac:dyDescent="0.25">
      <c r="A366" s="570"/>
      <c r="B366" s="571"/>
      <c r="C366" s="571"/>
      <c r="D366" s="572"/>
      <c r="E366" s="573"/>
      <c r="F366" s="572"/>
      <c r="G366" s="556"/>
      <c r="H366" s="532"/>
    </row>
    <row r="367" spans="1:8" s="122" customFormat="1" x14ac:dyDescent="0.25">
      <c r="A367" s="570"/>
      <c r="B367" s="571"/>
      <c r="C367" s="571"/>
      <c r="D367" s="572"/>
      <c r="E367" s="573"/>
      <c r="F367" s="572"/>
      <c r="G367" s="556"/>
      <c r="H367" s="532"/>
    </row>
    <row r="368" spans="1:8" s="122" customFormat="1" x14ac:dyDescent="0.25">
      <c r="A368" s="570"/>
      <c r="B368" s="571"/>
      <c r="C368" s="571"/>
      <c r="D368" s="572"/>
      <c r="E368" s="573"/>
      <c r="F368" s="572"/>
      <c r="G368" s="556"/>
      <c r="H368" s="532"/>
    </row>
    <row r="369" spans="1:8" s="122" customFormat="1" x14ac:dyDescent="0.25">
      <c r="A369" s="570"/>
      <c r="B369" s="571"/>
      <c r="C369" s="571"/>
      <c r="D369" s="572"/>
      <c r="E369" s="573"/>
      <c r="F369" s="572"/>
      <c r="G369" s="556"/>
      <c r="H369" s="532"/>
    </row>
    <row r="370" spans="1:8" s="122" customFormat="1" x14ac:dyDescent="0.25">
      <c r="A370" s="570"/>
      <c r="B370" s="571"/>
      <c r="C370" s="571"/>
      <c r="D370" s="572"/>
      <c r="E370" s="573"/>
      <c r="F370" s="572"/>
      <c r="G370" s="556"/>
      <c r="H370" s="532"/>
    </row>
    <row r="371" spans="1:8" s="122" customFormat="1" x14ac:dyDescent="0.25">
      <c r="A371" s="570"/>
      <c r="B371" s="571"/>
      <c r="C371" s="571"/>
      <c r="D371" s="572"/>
      <c r="E371" s="573"/>
      <c r="F371" s="572"/>
      <c r="G371" s="556"/>
      <c r="H371" s="532"/>
    </row>
    <row r="372" spans="1:8" s="122" customFormat="1" x14ac:dyDescent="0.25">
      <c r="A372" s="570"/>
      <c r="B372" s="571"/>
      <c r="C372" s="571"/>
      <c r="D372" s="572"/>
      <c r="E372" s="573"/>
      <c r="F372" s="572"/>
      <c r="G372" s="556"/>
      <c r="H372" s="532"/>
    </row>
    <row r="373" spans="1:8" x14ac:dyDescent="0.25">
      <c r="A373" s="570"/>
      <c r="B373" s="571"/>
      <c r="C373" s="571"/>
      <c r="D373" s="572"/>
      <c r="E373" s="573"/>
      <c r="F373" s="572"/>
      <c r="G373" s="556"/>
      <c r="H373" s="532"/>
    </row>
    <row r="374" spans="1:8" s="122" customFormat="1" x14ac:dyDescent="0.25">
      <c r="A374" s="570"/>
      <c r="B374" s="571"/>
      <c r="C374" s="571"/>
      <c r="D374" s="572"/>
      <c r="E374" s="573"/>
      <c r="F374" s="572"/>
      <c r="G374" s="556"/>
      <c r="H374" s="532"/>
    </row>
    <row r="375" spans="1:8" ht="18.75" x14ac:dyDescent="0.3">
      <c r="A375" s="555" t="s">
        <v>711</v>
      </c>
      <c r="B375" s="42"/>
      <c r="C375" s="42"/>
      <c r="D375" s="42"/>
      <c r="E375" s="42"/>
      <c r="F375" s="42"/>
      <c r="G375" s="42"/>
      <c r="H375" s="42"/>
    </row>
    <row r="376" spans="1:8" x14ac:dyDescent="0.25">
      <c r="A376" s="42"/>
      <c r="B376" s="42"/>
      <c r="C376" s="42"/>
      <c r="D376" s="42"/>
      <c r="E376" s="42"/>
      <c r="F376" s="42"/>
      <c r="G376" s="42"/>
      <c r="H376" s="42"/>
    </row>
    <row r="377" spans="1:8" x14ac:dyDescent="0.25">
      <c r="A377" s="42"/>
      <c r="B377" s="42"/>
      <c r="C377" s="42"/>
      <c r="D377" s="42"/>
      <c r="E377" s="42"/>
      <c r="F377" s="42"/>
      <c r="G377" s="42"/>
      <c r="H377" s="42"/>
    </row>
    <row r="378" spans="1:8" x14ac:dyDescent="0.25">
      <c r="A378" s="42"/>
      <c r="B378" s="42"/>
      <c r="C378" s="42"/>
      <c r="D378" s="42"/>
      <c r="E378" s="42"/>
      <c r="F378" s="42"/>
      <c r="G378" s="42"/>
      <c r="H378" s="42"/>
    </row>
    <row r="379" spans="1:8" x14ac:dyDescent="0.25">
      <c r="A379" s="42"/>
      <c r="B379" s="42"/>
      <c r="C379" s="42"/>
      <c r="D379" s="42"/>
      <c r="E379" s="42"/>
      <c r="F379" s="42"/>
      <c r="G379" s="42"/>
      <c r="H379" s="42"/>
    </row>
    <row r="380" spans="1:8" x14ac:dyDescent="0.25">
      <c r="A380" s="42"/>
      <c r="B380" s="42"/>
      <c r="C380" s="42"/>
      <c r="D380" s="42"/>
      <c r="E380" s="42"/>
      <c r="F380" s="42"/>
      <c r="G380" s="42"/>
      <c r="H380" s="42"/>
    </row>
    <row r="381" spans="1:8" x14ac:dyDescent="0.25">
      <c r="A381" s="42"/>
      <c r="B381" s="42"/>
      <c r="C381" s="42"/>
      <c r="D381" s="42"/>
      <c r="E381" s="42"/>
      <c r="F381" s="42"/>
      <c r="G381" s="42"/>
      <c r="H381" s="42"/>
    </row>
    <row r="382" spans="1:8" x14ac:dyDescent="0.25">
      <c r="A382" s="42"/>
      <c r="B382" s="42"/>
      <c r="C382" s="42"/>
      <c r="D382" s="42"/>
      <c r="E382" s="42"/>
      <c r="F382" s="42"/>
      <c r="G382" s="42"/>
      <c r="H382" s="42"/>
    </row>
    <row r="383" spans="1:8" x14ac:dyDescent="0.25">
      <c r="A383" s="42"/>
      <c r="B383" s="42"/>
      <c r="C383" s="42"/>
      <c r="D383" s="42"/>
      <c r="E383" s="42"/>
      <c r="F383" s="42"/>
      <c r="G383" s="42"/>
      <c r="H383" s="42"/>
    </row>
    <row r="384" spans="1:8" x14ac:dyDescent="0.25">
      <c r="A384" s="42"/>
      <c r="B384" s="42"/>
      <c r="C384" s="42"/>
      <c r="D384" s="42"/>
      <c r="E384" s="42"/>
      <c r="F384" s="42"/>
      <c r="G384" s="42"/>
      <c r="H384" s="42"/>
    </row>
    <row r="385" spans="1:8" x14ac:dyDescent="0.25">
      <c r="A385" s="42"/>
      <c r="B385" s="42"/>
      <c r="C385" s="42"/>
      <c r="D385" s="42"/>
      <c r="E385" s="42"/>
      <c r="F385" s="42"/>
      <c r="G385" s="42"/>
      <c r="H385" s="42"/>
    </row>
    <row r="386" spans="1:8" x14ac:dyDescent="0.25">
      <c r="A386" s="42"/>
      <c r="B386" s="42"/>
      <c r="C386" s="42"/>
      <c r="D386" s="42"/>
      <c r="E386" s="42"/>
      <c r="F386" s="42"/>
      <c r="G386" s="42"/>
      <c r="H386" s="42"/>
    </row>
    <row r="387" spans="1:8" x14ac:dyDescent="0.25">
      <c r="A387" s="42"/>
      <c r="B387" s="42"/>
      <c r="C387" s="42"/>
      <c r="D387" s="42"/>
      <c r="E387" s="42"/>
      <c r="F387" s="42"/>
      <c r="G387" s="42"/>
      <c r="H387" s="42"/>
    </row>
    <row r="388" spans="1:8" x14ac:dyDescent="0.25">
      <c r="A388" s="42"/>
      <c r="B388" s="42"/>
      <c r="C388" s="42"/>
      <c r="D388" s="42"/>
      <c r="E388" s="42"/>
      <c r="F388" s="42"/>
      <c r="G388" s="42"/>
      <c r="H388" s="42"/>
    </row>
    <row r="389" spans="1:8" x14ac:dyDescent="0.25">
      <c r="A389" s="42"/>
      <c r="B389" s="42"/>
      <c r="C389" s="42"/>
      <c r="D389" s="42"/>
      <c r="E389" s="42"/>
      <c r="F389" s="42"/>
      <c r="G389" s="42"/>
      <c r="H389" s="42"/>
    </row>
    <row r="390" spans="1:8" x14ac:dyDescent="0.25">
      <c r="A390" s="42"/>
      <c r="B390" s="42"/>
      <c r="C390" s="42"/>
      <c r="D390" s="42"/>
      <c r="E390" s="42"/>
      <c r="F390" s="42"/>
      <c r="G390" s="42"/>
      <c r="H390" s="42"/>
    </row>
    <row r="391" spans="1:8" x14ac:dyDescent="0.25">
      <c r="A391" s="42"/>
      <c r="B391" s="42"/>
      <c r="C391" s="42"/>
      <c r="D391" s="42"/>
      <c r="E391" s="42"/>
      <c r="F391" s="42"/>
      <c r="G391" s="42"/>
      <c r="H391" s="42"/>
    </row>
    <row r="392" spans="1:8" x14ac:dyDescent="0.25">
      <c r="A392" s="42"/>
      <c r="B392" s="42"/>
      <c r="C392" s="42"/>
      <c r="D392" s="42"/>
      <c r="E392" s="42"/>
      <c r="F392" s="42"/>
      <c r="G392" s="42"/>
      <c r="H392" s="42"/>
    </row>
    <row r="393" spans="1:8" x14ac:dyDescent="0.25">
      <c r="A393" s="42"/>
      <c r="B393" s="42"/>
      <c r="C393" s="42"/>
      <c r="D393" s="42"/>
      <c r="E393" s="42"/>
      <c r="F393" s="42"/>
      <c r="G393" s="42"/>
      <c r="H393" s="42"/>
    </row>
    <row r="394" spans="1:8" x14ac:dyDescent="0.25">
      <c r="A394" s="42"/>
      <c r="B394" s="42"/>
      <c r="C394" s="42"/>
      <c r="D394" s="42"/>
      <c r="E394" s="42"/>
      <c r="F394" s="42"/>
      <c r="G394" s="42"/>
      <c r="H394" s="42"/>
    </row>
    <row r="395" spans="1:8" x14ac:dyDescent="0.25">
      <c r="A395" s="42"/>
      <c r="B395" s="42"/>
      <c r="C395" s="42"/>
      <c r="D395" s="42"/>
      <c r="E395" s="42"/>
      <c r="F395" s="42"/>
      <c r="G395" s="42"/>
      <c r="H395" s="42"/>
    </row>
    <row r="396" spans="1:8" x14ac:dyDescent="0.25">
      <c r="A396" s="42"/>
      <c r="B396" s="42"/>
      <c r="C396" s="42"/>
      <c r="D396" s="42"/>
      <c r="E396" s="42"/>
      <c r="F396" s="42"/>
      <c r="G396" s="42"/>
      <c r="H396" s="42"/>
    </row>
    <row r="397" spans="1:8" x14ac:dyDescent="0.25">
      <c r="A397" s="42"/>
      <c r="B397" s="42"/>
      <c r="C397" s="42"/>
      <c r="D397" s="42"/>
      <c r="E397" s="42"/>
      <c r="F397" s="42"/>
      <c r="G397" s="42"/>
      <c r="H397" s="42"/>
    </row>
    <row r="398" spans="1:8" x14ac:dyDescent="0.25">
      <c r="A398" s="42"/>
      <c r="B398" s="42"/>
      <c r="C398" s="42"/>
      <c r="D398" s="42"/>
      <c r="E398" s="42"/>
      <c r="F398" s="42"/>
      <c r="G398" s="42"/>
      <c r="H398" s="42"/>
    </row>
    <row r="399" spans="1:8" x14ac:dyDescent="0.25">
      <c r="A399" s="42"/>
      <c r="B399" s="42"/>
      <c r="C399" s="42"/>
      <c r="D399" s="42"/>
      <c r="E399" s="42"/>
      <c r="F399" s="42"/>
      <c r="G399" s="42"/>
      <c r="H399" s="42"/>
    </row>
    <row r="400" spans="1:8" x14ac:dyDescent="0.25">
      <c r="A400" s="42"/>
      <c r="B400" s="42"/>
      <c r="C400" s="42"/>
      <c r="D400" s="42"/>
      <c r="E400" s="42"/>
      <c r="F400" s="42"/>
      <c r="G400" s="42"/>
      <c r="H400" s="42"/>
    </row>
    <row r="401" spans="1:8" x14ac:dyDescent="0.25">
      <c r="A401" s="42"/>
      <c r="B401" s="42"/>
      <c r="C401" s="42"/>
      <c r="D401" s="42"/>
      <c r="E401" s="42"/>
      <c r="F401" s="42"/>
      <c r="G401" s="42"/>
      <c r="H401" s="42"/>
    </row>
    <row r="402" spans="1:8" x14ac:dyDescent="0.25">
      <c r="A402" s="42"/>
      <c r="B402" s="42"/>
      <c r="C402" s="42"/>
      <c r="D402" s="42"/>
      <c r="E402" s="42"/>
      <c r="F402" s="42"/>
      <c r="G402" s="42"/>
      <c r="H402" s="42"/>
    </row>
    <row r="403" spans="1:8" x14ac:dyDescent="0.25">
      <c r="A403" s="42"/>
      <c r="B403" s="42"/>
      <c r="C403" s="42"/>
      <c r="D403" s="42"/>
      <c r="E403" s="42"/>
      <c r="F403" s="42"/>
      <c r="G403" s="42"/>
      <c r="H403" s="42"/>
    </row>
    <row r="404" spans="1:8" x14ac:dyDescent="0.25">
      <c r="A404" s="42"/>
      <c r="B404" s="42"/>
      <c r="C404" s="42"/>
      <c r="D404" s="42"/>
      <c r="E404" s="42"/>
      <c r="F404" s="42"/>
      <c r="G404" s="42"/>
      <c r="H404" s="42"/>
    </row>
    <row r="405" spans="1:8" x14ac:dyDescent="0.25">
      <c r="A405" s="42"/>
      <c r="B405" s="42"/>
      <c r="C405" s="42"/>
      <c r="D405" s="42"/>
      <c r="E405" s="42"/>
      <c r="F405" s="42"/>
      <c r="G405" s="42"/>
      <c r="H405" s="42"/>
    </row>
    <row r="406" spans="1:8" x14ac:dyDescent="0.25">
      <c r="A406" s="42"/>
      <c r="B406" s="42"/>
      <c r="C406" s="42"/>
      <c r="D406" s="42"/>
      <c r="E406" s="42"/>
      <c r="F406" s="42"/>
      <c r="G406" s="42"/>
      <c r="H406" s="42"/>
    </row>
    <row r="407" spans="1:8" x14ac:dyDescent="0.25">
      <c r="A407" s="42"/>
      <c r="B407" s="42"/>
      <c r="C407" s="42"/>
      <c r="D407" s="42"/>
      <c r="E407" s="42"/>
      <c r="F407" s="42"/>
      <c r="G407" s="42"/>
      <c r="H407" s="42"/>
    </row>
    <row r="408" spans="1:8" x14ac:dyDescent="0.25">
      <c r="A408" s="42"/>
      <c r="B408" s="42"/>
      <c r="C408" s="42"/>
      <c r="D408" s="42"/>
      <c r="E408" s="42"/>
      <c r="F408" s="42"/>
      <c r="G408" s="42"/>
      <c r="H408" s="42"/>
    </row>
    <row r="409" spans="1:8" x14ac:dyDescent="0.25">
      <c r="A409" s="42"/>
      <c r="B409" s="42"/>
      <c r="C409" s="42"/>
      <c r="D409" s="42"/>
      <c r="E409" s="42"/>
      <c r="F409" s="42"/>
      <c r="G409" s="42"/>
      <c r="H409" s="42"/>
    </row>
    <row r="410" spans="1:8" x14ac:dyDescent="0.25">
      <c r="A410" s="42"/>
      <c r="B410" s="42"/>
      <c r="C410" s="42"/>
      <c r="D410" s="42"/>
      <c r="E410" s="42"/>
      <c r="F410" s="42"/>
      <c r="G410" s="42"/>
      <c r="H410" s="42"/>
    </row>
    <row r="411" spans="1:8" x14ac:dyDescent="0.25">
      <c r="A411" s="42"/>
      <c r="B411" s="42"/>
      <c r="C411" s="42"/>
      <c r="D411" s="42"/>
      <c r="E411" s="42"/>
      <c r="F411" s="42"/>
      <c r="G411" s="42"/>
      <c r="H411" s="42"/>
    </row>
    <row r="412" spans="1:8" x14ac:dyDescent="0.25">
      <c r="A412" s="42"/>
      <c r="B412" s="42"/>
      <c r="C412" s="42"/>
      <c r="D412" s="42"/>
      <c r="E412" s="42"/>
      <c r="F412" s="42"/>
      <c r="G412" s="42"/>
      <c r="H412" s="42"/>
    </row>
    <row r="413" spans="1:8" x14ac:dyDescent="0.25">
      <c r="A413" s="42"/>
      <c r="B413" s="42"/>
      <c r="C413" s="42"/>
      <c r="D413" s="42"/>
      <c r="E413" s="42"/>
      <c r="F413" s="42"/>
      <c r="G413" s="42"/>
      <c r="H413" s="42"/>
    </row>
    <row r="414" spans="1:8" x14ac:dyDescent="0.25">
      <c r="A414" s="42"/>
      <c r="B414" s="42"/>
      <c r="C414" s="42"/>
      <c r="D414" s="42"/>
      <c r="E414" s="42"/>
      <c r="F414" s="42"/>
      <c r="G414" s="42"/>
      <c r="H414" s="42"/>
    </row>
    <row r="415" spans="1:8" x14ac:dyDescent="0.25">
      <c r="A415" s="42"/>
      <c r="B415" s="42"/>
      <c r="C415" s="42"/>
      <c r="D415" s="42"/>
      <c r="E415" s="42"/>
      <c r="F415" s="42"/>
      <c r="G415" s="42"/>
      <c r="H415" s="42"/>
    </row>
    <row r="416" spans="1:8" x14ac:dyDescent="0.25">
      <c r="A416" s="42"/>
      <c r="B416" s="42"/>
      <c r="C416" s="42"/>
      <c r="D416" s="42"/>
      <c r="E416" s="42"/>
      <c r="F416" s="42"/>
      <c r="G416" s="42"/>
      <c r="H416" s="42"/>
    </row>
    <row r="417" spans="1:8" x14ac:dyDescent="0.25">
      <c r="A417" s="42"/>
      <c r="B417" s="42"/>
      <c r="C417" s="42"/>
      <c r="D417" s="42"/>
      <c r="E417" s="42"/>
      <c r="F417" s="42"/>
      <c r="G417" s="42"/>
      <c r="H417" s="42"/>
    </row>
    <row r="418" spans="1:8" x14ac:dyDescent="0.25">
      <c r="A418" s="42"/>
      <c r="B418" s="42"/>
      <c r="C418" s="42"/>
      <c r="D418" s="42"/>
      <c r="E418" s="42"/>
      <c r="F418" s="42"/>
      <c r="G418" s="42"/>
      <c r="H418" s="42"/>
    </row>
    <row r="419" spans="1:8" x14ac:dyDescent="0.25">
      <c r="A419" s="42"/>
      <c r="B419" s="42"/>
      <c r="C419" s="42"/>
      <c r="D419" s="42"/>
      <c r="E419" s="42"/>
      <c r="F419" s="42"/>
      <c r="G419" s="42"/>
      <c r="H419" s="42"/>
    </row>
  </sheetData>
  <mergeCells count="55">
    <mergeCell ref="D3:H3"/>
    <mergeCell ref="C5:H5"/>
    <mergeCell ref="C8:H8"/>
    <mergeCell ref="C10:H10"/>
    <mergeCell ref="C9:H9"/>
    <mergeCell ref="C6:H6"/>
    <mergeCell ref="C7:H7"/>
    <mergeCell ref="A71:C71"/>
    <mergeCell ref="A111:B111"/>
    <mergeCell ref="A122:A129"/>
    <mergeCell ref="B122:B129"/>
    <mergeCell ref="A3:B3"/>
    <mergeCell ref="A6:B6"/>
    <mergeCell ref="A9:B9"/>
    <mergeCell ref="A7:B7"/>
    <mergeCell ref="A8:B8"/>
    <mergeCell ref="A10:B10"/>
    <mergeCell ref="C11:H11"/>
    <mergeCell ref="C12:H12"/>
    <mergeCell ref="C13:H13"/>
    <mergeCell ref="C14:H14"/>
    <mergeCell ref="A72:C72"/>
    <mergeCell ref="A33:E33"/>
    <mergeCell ref="A66:C66"/>
    <mergeCell ref="A67:C67"/>
    <mergeCell ref="A12:B12"/>
    <mergeCell ref="A13:B13"/>
    <mergeCell ref="A14:B14"/>
    <mergeCell ref="C16:H16"/>
    <mergeCell ref="C17:H17"/>
    <mergeCell ref="C15:H15"/>
    <mergeCell ref="A64:D64"/>
    <mergeCell ref="A65:C65"/>
    <mergeCell ref="A39:B39"/>
    <mergeCell ref="C23:G23"/>
    <mergeCell ref="C24:G24"/>
    <mergeCell ref="C25:G25"/>
    <mergeCell ref="C26:G26"/>
    <mergeCell ref="C27:G27"/>
    <mergeCell ref="F130:F137"/>
    <mergeCell ref="A68:C68"/>
    <mergeCell ref="A130:A137"/>
    <mergeCell ref="B130:B137"/>
    <mergeCell ref="D130:D137"/>
    <mergeCell ref="E130:E137"/>
    <mergeCell ref="E122:E129"/>
    <mergeCell ref="F122:F129"/>
    <mergeCell ref="E114:E121"/>
    <mergeCell ref="F114:F121"/>
    <mergeCell ref="A69:C69"/>
    <mergeCell ref="A70:C70"/>
    <mergeCell ref="D122:D129"/>
    <mergeCell ref="A114:A121"/>
    <mergeCell ref="B114:B121"/>
    <mergeCell ref="D114:D121"/>
  </mergeCells>
  <conditionalFormatting sqref="F53:F59 F61">
    <cfRule type="cellIs" dxfId="26" priority="39" operator="between">
      <formula>80</formula>
      <formula>120</formula>
    </cfRule>
  </conditionalFormatting>
  <conditionalFormatting sqref="E61">
    <cfRule type="cellIs" dxfId="25" priority="40" operator="greaterThan">
      <formula>20</formula>
    </cfRule>
  </conditionalFormatting>
  <conditionalFormatting sqref="E53:E59">
    <cfRule type="cellIs" dxfId="24" priority="38" operator="greaterThan">
      <formula>20</formula>
    </cfRule>
  </conditionalFormatting>
  <conditionalFormatting sqref="G122:G129">
    <cfRule type="cellIs" dxfId="23" priority="31" operator="between">
      <formula>80</formula>
      <formula>120</formula>
    </cfRule>
    <cfRule type="cellIs" dxfId="22" priority="32" operator="between">
      <formula>80</formula>
      <formula>120</formula>
    </cfRule>
  </conditionalFormatting>
  <conditionalFormatting sqref="G130:G133">
    <cfRule type="cellIs" dxfId="21" priority="28" operator="between">
      <formula>80</formula>
      <formula>120</formula>
    </cfRule>
    <cfRule type="cellIs" dxfId="20" priority="29" operator="between">
      <formula>80</formula>
      <formula>120</formula>
    </cfRule>
  </conditionalFormatting>
  <conditionalFormatting sqref="G134:G141">
    <cfRule type="cellIs" dxfId="19" priority="26" operator="between">
      <formula>80</formula>
      <formula>120</formula>
    </cfRule>
    <cfRule type="cellIs" dxfId="18" priority="27" operator="between">
      <formula>80</formula>
      <formula>120</formula>
    </cfRule>
  </conditionalFormatting>
  <conditionalFormatting sqref="G114:G121">
    <cfRule type="cellIs" dxfId="17" priority="21" operator="lessThan">
      <formula>90</formula>
    </cfRule>
    <cfRule type="cellIs" dxfId="16" priority="22" operator="between">
      <formula>90</formula>
      <formula>110</formula>
    </cfRule>
    <cfRule type="cellIs" dxfId="15" priority="23" operator="greaterThan">
      <formula>110</formula>
    </cfRule>
  </conditionalFormatting>
  <conditionalFormatting sqref="C3:D3 C4">
    <cfRule type="cellIs" dxfId="14" priority="19" operator="equal">
      <formula>"PASS"</formula>
    </cfRule>
    <cfRule type="cellIs" dxfId="13" priority="20" operator="equal">
      <formula>"FAIL"</formula>
    </cfRule>
  </conditionalFormatting>
  <conditionalFormatting sqref="F114:F137">
    <cfRule type="cellIs" dxfId="12" priority="17" operator="lessThan">
      <formula>0.2</formula>
    </cfRule>
    <cfRule type="cellIs" dxfId="11" priority="18" operator="greaterThan">
      <formula>0.2</formula>
    </cfRule>
  </conditionalFormatting>
  <conditionalFormatting sqref="D37">
    <cfRule type="cellIs" dxfId="10" priority="14" operator="lessThan">
      <formula>0.8</formula>
    </cfRule>
    <cfRule type="cellIs" dxfId="9" priority="15" operator="greaterThan">
      <formula>1.2</formula>
    </cfRule>
    <cfRule type="cellIs" dxfId="8" priority="16" operator="between">
      <formula>0.8</formula>
      <formula>1.2</formula>
    </cfRule>
  </conditionalFormatting>
  <conditionalFormatting sqref="E37">
    <cfRule type="cellIs" dxfId="7" priority="3" operator="lessThanOrEqual">
      <formula>0.2</formula>
    </cfRule>
    <cfRule type="cellIs" dxfId="6" priority="13" operator="greaterThan">
      <formula>0.2</formula>
    </cfRule>
  </conditionalFormatting>
  <conditionalFormatting sqref="D42">
    <cfRule type="expression" dxfId="5" priority="8">
      <formula>OR(D42="S2",D42="S1")</formula>
    </cfRule>
    <cfRule type="expression" dxfId="4" priority="9">
      <formula>OR(D42="S3",D42="S4",D42="S5",D42="S6",D42="S7",D42="S8")</formula>
    </cfRule>
  </conditionalFormatting>
  <conditionalFormatting sqref="D41">
    <cfRule type="expression" dxfId="3" priority="4">
      <formula>OR(D41="S5",D41="S4",D41="S3",D41="S2",D41="S1")</formula>
    </cfRule>
    <cfRule type="expression" dxfId="2" priority="5">
      <formula>OR(D41="S6",D41="S7",D41="S8")</formula>
    </cfRule>
  </conditionalFormatting>
  <conditionalFormatting sqref="B24:B27">
    <cfRule type="cellIs" dxfId="1" priority="1" operator="equal">
      <formula>"fail"</formula>
    </cfRule>
    <cfRule type="cellIs" dxfId="0" priority="2" operator="equal">
      <formula>"pass"</formula>
    </cfRule>
  </conditionalFormatting>
  <printOptions gridLines="1"/>
  <pageMargins left="0.7" right="0.7" top="0.75" bottom="0.75" header="0.3" footer="0.3"/>
  <pageSetup orientation="portrait" horizontalDpi="4294967295" verticalDpi="4294967295" r:id="rId1"/>
  <headerFooter>
    <oddHeader>&amp;CAssay Data sheet</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25D5-8C7F-4695-9AAC-39F2630D14D6}">
  <sheetPr codeName="Sheet12"/>
  <dimension ref="A1:I21"/>
  <sheetViews>
    <sheetView zoomScale="80" zoomScaleNormal="80" workbookViewId="0">
      <selection activeCell="D25" sqref="D25"/>
    </sheetView>
  </sheetViews>
  <sheetFormatPr defaultRowHeight="15" x14ac:dyDescent="0.25"/>
  <cols>
    <col min="1" max="1" width="109.85546875" bestFit="1" customWidth="1"/>
    <col min="2" max="2" width="4.140625" customWidth="1"/>
    <col min="3" max="3" width="2.85546875" customWidth="1"/>
    <col min="4" max="4" width="113.5703125" bestFit="1" customWidth="1"/>
    <col min="9" max="9" width="17.5703125" customWidth="1"/>
  </cols>
  <sheetData>
    <row r="1" spans="1:9" x14ac:dyDescent="0.25">
      <c r="A1" t="str">
        <f>Master!E8</f>
        <v>I:\COPD\BIO-TEK Gen5 Uquant 384 - B\22Aug2018 raw data set 1 BM.xlsx</v>
      </c>
      <c r="C1" s="253"/>
      <c r="D1" s="194" t="s">
        <v>1384</v>
      </c>
      <c r="E1" s="25"/>
      <c r="F1" s="25"/>
      <c r="G1" s="25"/>
      <c r="H1" s="25"/>
      <c r="I1" s="25"/>
    </row>
    <row r="2" spans="1:9" x14ac:dyDescent="0.25">
      <c r="B2" s="122"/>
      <c r="D2" s="197" t="s">
        <v>1385</v>
      </c>
      <c r="E2" s="25"/>
      <c r="F2" s="25"/>
      <c r="G2" s="25"/>
      <c r="H2" s="25"/>
      <c r="I2" s="25"/>
    </row>
    <row r="3" spans="1:9" x14ac:dyDescent="0.25">
      <c r="B3" s="122"/>
      <c r="D3" t="s">
        <v>1386</v>
      </c>
    </row>
    <row r="4" spans="1:9" x14ac:dyDescent="0.25">
      <c r="B4" s="122"/>
      <c r="D4" t="s">
        <v>1387</v>
      </c>
    </row>
    <row r="5" spans="1:9" x14ac:dyDescent="0.25">
      <c r="A5" t="s">
        <v>1338</v>
      </c>
      <c r="D5" t="s">
        <v>1388</v>
      </c>
    </row>
    <row r="7" spans="1:9" x14ac:dyDescent="0.25">
      <c r="A7" s="524">
        <f ca="1">NOW()</f>
        <v>43340.56172928241</v>
      </c>
    </row>
    <row r="10" spans="1:9" x14ac:dyDescent="0.25">
      <c r="A10" t="s">
        <v>762</v>
      </c>
    </row>
    <row r="11" spans="1:9" x14ac:dyDescent="0.25">
      <c r="A11" t="s">
        <v>841</v>
      </c>
    </row>
    <row r="12" spans="1:9" x14ac:dyDescent="0.25">
      <c r="A12" s="122" t="s">
        <v>964</v>
      </c>
      <c r="B12" t="s">
        <v>1366</v>
      </c>
    </row>
    <row r="13" spans="1:9" x14ac:dyDescent="0.25">
      <c r="A13" s="122" t="s">
        <v>849</v>
      </c>
    </row>
    <row r="14" spans="1:9" x14ac:dyDescent="0.25">
      <c r="A14" s="122" t="s">
        <v>866</v>
      </c>
    </row>
    <row r="15" spans="1:9" x14ac:dyDescent="0.25">
      <c r="A15" s="122" t="s">
        <v>751</v>
      </c>
    </row>
    <row r="16" spans="1:9" x14ac:dyDescent="0.25">
      <c r="A16" s="122" t="s">
        <v>883</v>
      </c>
    </row>
    <row r="17" spans="1:1" x14ac:dyDescent="0.25">
      <c r="A17" t="s">
        <v>862</v>
      </c>
    </row>
    <row r="18" spans="1:1" x14ac:dyDescent="0.25">
      <c r="A18" t="s">
        <v>864</v>
      </c>
    </row>
    <row r="19" spans="1:1" x14ac:dyDescent="0.25">
      <c r="A19" t="s">
        <v>833</v>
      </c>
    </row>
    <row r="20" spans="1:1" x14ac:dyDescent="0.25">
      <c r="A20" t="s">
        <v>827</v>
      </c>
    </row>
    <row r="21" spans="1:1" x14ac:dyDescent="0.25">
      <c r="A21" t="s">
        <v>847</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D0DD4-C684-4A4E-B23C-BE2951CCBBD2}">
  <sheetPr codeName="Sheet14"/>
  <dimension ref="A1:L165"/>
  <sheetViews>
    <sheetView workbookViewId="0">
      <selection activeCell="G1" sqref="G1:K17"/>
    </sheetView>
  </sheetViews>
  <sheetFormatPr defaultRowHeight="15" x14ac:dyDescent="0.25"/>
  <cols>
    <col min="1" max="1" width="11.42578125" customWidth="1"/>
    <col min="2" max="2" width="12.5703125" customWidth="1"/>
    <col min="3" max="3" width="7" customWidth="1"/>
    <col min="4" max="4" width="8.42578125" customWidth="1"/>
    <col min="6" max="6" width="6.28515625" customWidth="1"/>
    <col min="7" max="7" width="29.140625" customWidth="1"/>
    <col min="8" max="8" width="40.42578125" style="199" customWidth="1"/>
    <col min="9" max="9" width="68" style="199" customWidth="1"/>
    <col min="10" max="10" width="66.140625" customWidth="1"/>
    <col min="11" max="11" width="48.28515625" bestFit="1" customWidth="1"/>
  </cols>
  <sheetData>
    <row r="1" spans="1:12" x14ac:dyDescent="0.25">
      <c r="A1" t="s">
        <v>747</v>
      </c>
      <c r="B1" t="s">
        <v>748</v>
      </c>
      <c r="C1" t="s">
        <v>749</v>
      </c>
      <c r="D1" t="s">
        <v>750</v>
      </c>
      <c r="H1" s="199" t="s">
        <v>914</v>
      </c>
      <c r="I1" s="199" t="s">
        <v>913</v>
      </c>
      <c r="J1" s="199"/>
      <c r="K1" s="199"/>
      <c r="L1" s="199"/>
    </row>
    <row r="2" spans="1:12" x14ac:dyDescent="0.25">
      <c r="A2" t="s">
        <v>639</v>
      </c>
      <c r="B2" t="s">
        <v>1178</v>
      </c>
      <c r="C2" t="s">
        <v>22</v>
      </c>
      <c r="D2" t="s">
        <v>930</v>
      </c>
      <c r="G2" t="s">
        <v>713</v>
      </c>
      <c r="H2" s="199" t="s">
        <v>1378</v>
      </c>
      <c r="I2" s="199" t="s">
        <v>1378</v>
      </c>
      <c r="J2" s="199"/>
      <c r="K2" s="199"/>
      <c r="L2" s="199"/>
    </row>
    <row r="3" spans="1:12" x14ac:dyDescent="0.25">
      <c r="A3" t="s">
        <v>644</v>
      </c>
      <c r="B3" t="s">
        <v>1179</v>
      </c>
      <c r="C3" t="s">
        <v>22</v>
      </c>
      <c r="D3" t="s">
        <v>931</v>
      </c>
      <c r="G3" t="s">
        <v>714</v>
      </c>
      <c r="H3" s="199" t="s">
        <v>964</v>
      </c>
      <c r="I3" s="199" t="s">
        <v>964</v>
      </c>
      <c r="J3" s="199"/>
      <c r="K3" s="199"/>
      <c r="L3" s="199"/>
    </row>
    <row r="4" spans="1:12" x14ac:dyDescent="0.25">
      <c r="A4" t="s">
        <v>649</v>
      </c>
      <c r="B4" t="s">
        <v>1180</v>
      </c>
      <c r="C4" t="s">
        <v>22</v>
      </c>
      <c r="D4" t="s">
        <v>932</v>
      </c>
      <c r="G4" t="s">
        <v>715</v>
      </c>
      <c r="H4" s="199" t="s">
        <v>1358</v>
      </c>
      <c r="I4" s="199" t="s">
        <v>1358</v>
      </c>
      <c r="J4" s="199"/>
      <c r="K4" s="199"/>
      <c r="L4" s="199"/>
    </row>
    <row r="5" spans="1:12" x14ac:dyDescent="0.25">
      <c r="A5" t="s">
        <v>653</v>
      </c>
      <c r="B5" t="s">
        <v>1181</v>
      </c>
      <c r="C5" t="s">
        <v>22</v>
      </c>
      <c r="D5" t="s">
        <v>933</v>
      </c>
      <c r="G5" t="s">
        <v>716</v>
      </c>
      <c r="H5" s="199" t="s">
        <v>900</v>
      </c>
      <c r="I5" s="199" t="s">
        <v>900</v>
      </c>
      <c r="J5" s="199"/>
      <c r="K5" s="199"/>
      <c r="L5" s="199"/>
    </row>
    <row r="6" spans="1:12" x14ac:dyDescent="0.25">
      <c r="A6" t="s">
        <v>623</v>
      </c>
      <c r="B6" t="s">
        <v>1182</v>
      </c>
      <c r="C6" t="s">
        <v>22</v>
      </c>
      <c r="D6" t="s">
        <v>934</v>
      </c>
      <c r="G6" t="s">
        <v>753</v>
      </c>
      <c r="H6" s="199" t="s">
        <v>808</v>
      </c>
      <c r="I6" s="199" t="s">
        <v>807</v>
      </c>
      <c r="J6" s="199"/>
      <c r="K6" s="199"/>
      <c r="L6" s="199"/>
    </row>
    <row r="7" spans="1:12" x14ac:dyDescent="0.25">
      <c r="A7" t="s">
        <v>627</v>
      </c>
      <c r="B7" t="s">
        <v>1183</v>
      </c>
      <c r="C7" t="s">
        <v>22</v>
      </c>
      <c r="D7" t="s">
        <v>935</v>
      </c>
      <c r="G7" t="s">
        <v>611</v>
      </c>
      <c r="H7" s="199" t="s">
        <v>1379</v>
      </c>
      <c r="I7" s="199" t="s">
        <v>1379</v>
      </c>
      <c r="J7" s="199"/>
      <c r="K7" s="199"/>
      <c r="L7" s="199"/>
    </row>
    <row r="8" spans="1:12" x14ac:dyDescent="0.25">
      <c r="A8" t="s">
        <v>631</v>
      </c>
      <c r="B8" t="s">
        <v>1184</v>
      </c>
      <c r="C8" t="s">
        <v>22</v>
      </c>
      <c r="D8" t="s">
        <v>936</v>
      </c>
      <c r="G8" t="s">
        <v>755</v>
      </c>
      <c r="H8" s="199" t="s">
        <v>1383</v>
      </c>
      <c r="I8" s="199" t="s">
        <v>1383</v>
      </c>
      <c r="J8" s="199"/>
      <c r="K8" s="199"/>
      <c r="L8" s="199"/>
    </row>
    <row r="9" spans="1:12" x14ac:dyDescent="0.25">
      <c r="A9" t="s">
        <v>635</v>
      </c>
      <c r="B9" t="s">
        <v>1185</v>
      </c>
      <c r="C9" t="s">
        <v>22</v>
      </c>
      <c r="D9" t="s">
        <v>937</v>
      </c>
      <c r="G9" t="s">
        <v>756</v>
      </c>
      <c r="H9" s="199" t="s">
        <v>1372</v>
      </c>
      <c r="I9" s="199" t="s">
        <v>1372</v>
      </c>
      <c r="J9" s="199"/>
      <c r="K9" s="199"/>
      <c r="L9" s="199"/>
    </row>
    <row r="10" spans="1:12" x14ac:dyDescent="0.25">
      <c r="A10" t="s">
        <v>640</v>
      </c>
      <c r="B10" t="s">
        <v>1186</v>
      </c>
      <c r="C10" t="s">
        <v>22</v>
      </c>
      <c r="D10" t="s">
        <v>938</v>
      </c>
      <c r="G10" t="s">
        <v>115</v>
      </c>
      <c r="H10" s="199">
        <v>3</v>
      </c>
      <c r="I10" s="199">
        <v>3</v>
      </c>
      <c r="J10" s="199"/>
      <c r="K10" s="199"/>
      <c r="L10" s="199"/>
    </row>
    <row r="11" spans="1:12" x14ac:dyDescent="0.25">
      <c r="A11" t="s">
        <v>645</v>
      </c>
      <c r="B11" t="s">
        <v>1187</v>
      </c>
      <c r="C11" t="s">
        <v>22</v>
      </c>
      <c r="D11" t="s">
        <v>939</v>
      </c>
      <c r="G11" t="s">
        <v>29</v>
      </c>
      <c r="H11" s="199">
        <v>1000</v>
      </c>
      <c r="I11" s="199">
        <v>1000</v>
      </c>
      <c r="J11" s="199"/>
      <c r="K11" s="199"/>
      <c r="L11" s="199"/>
    </row>
    <row r="12" spans="1:12" x14ac:dyDescent="0.25">
      <c r="A12" t="s">
        <v>650</v>
      </c>
      <c r="B12" t="s">
        <v>1188</v>
      </c>
      <c r="C12" t="s">
        <v>22</v>
      </c>
      <c r="D12" t="s">
        <v>940</v>
      </c>
      <c r="G12" t="s">
        <v>717</v>
      </c>
      <c r="H12" s="199" t="s">
        <v>718</v>
      </c>
      <c r="I12" s="199" t="s">
        <v>718</v>
      </c>
      <c r="J12" s="199"/>
      <c r="K12" s="199"/>
      <c r="L12" s="199"/>
    </row>
    <row r="13" spans="1:12" x14ac:dyDescent="0.25">
      <c r="A13" t="s">
        <v>654</v>
      </c>
      <c r="B13" t="s">
        <v>1189</v>
      </c>
      <c r="C13" t="s">
        <v>22</v>
      </c>
      <c r="D13" t="s">
        <v>941</v>
      </c>
      <c r="G13" t="s">
        <v>1334</v>
      </c>
      <c r="H13" s="199">
        <v>60</v>
      </c>
      <c r="I13" s="199">
        <v>60</v>
      </c>
      <c r="J13" s="199"/>
      <c r="K13" s="199"/>
      <c r="L13" s="199"/>
    </row>
    <row r="14" spans="1:12" x14ac:dyDescent="0.25">
      <c r="A14" t="s">
        <v>624</v>
      </c>
      <c r="B14" t="s">
        <v>1190</v>
      </c>
      <c r="C14" t="s">
        <v>22</v>
      </c>
      <c r="D14" t="s">
        <v>942</v>
      </c>
      <c r="G14" t="s">
        <v>1359</v>
      </c>
      <c r="H14" s="199">
        <v>300</v>
      </c>
      <c r="I14" s="199">
        <v>300</v>
      </c>
      <c r="J14" s="199"/>
      <c r="K14" s="199"/>
      <c r="L14" s="199"/>
    </row>
    <row r="15" spans="1:12" x14ac:dyDescent="0.25">
      <c r="A15" t="s">
        <v>628</v>
      </c>
      <c r="B15" t="s">
        <v>1191</v>
      </c>
      <c r="C15" t="s">
        <v>22</v>
      </c>
      <c r="D15" t="s">
        <v>943</v>
      </c>
      <c r="G15" t="s">
        <v>1360</v>
      </c>
      <c r="H15" s="199">
        <v>12</v>
      </c>
      <c r="I15" s="199">
        <v>12</v>
      </c>
      <c r="J15" s="199"/>
      <c r="K15" s="199"/>
      <c r="L15" s="199"/>
    </row>
    <row r="16" spans="1:12" x14ac:dyDescent="0.25">
      <c r="A16" t="s">
        <v>632</v>
      </c>
      <c r="B16" t="s">
        <v>1192</v>
      </c>
      <c r="C16" t="s">
        <v>22</v>
      </c>
      <c r="D16" t="s">
        <v>944</v>
      </c>
      <c r="G16" t="s">
        <v>746</v>
      </c>
      <c r="H16" s="199" t="s">
        <v>899</v>
      </c>
      <c r="I16" s="199" t="s">
        <v>899</v>
      </c>
      <c r="J16" s="199"/>
      <c r="K16" s="199"/>
      <c r="L16" s="199"/>
    </row>
    <row r="17" spans="1:10" x14ac:dyDescent="0.25">
      <c r="A17" t="s">
        <v>636</v>
      </c>
      <c r="B17" t="s">
        <v>1193</v>
      </c>
      <c r="C17" t="s">
        <v>22</v>
      </c>
      <c r="D17" t="s">
        <v>945</v>
      </c>
      <c r="G17" t="s">
        <v>758</v>
      </c>
      <c r="H17" s="199">
        <v>384</v>
      </c>
      <c r="I17" s="199">
        <v>384</v>
      </c>
      <c r="J17" s="199"/>
    </row>
    <row r="18" spans="1:10" x14ac:dyDescent="0.25">
      <c r="A18" t="s">
        <v>641</v>
      </c>
      <c r="B18" t="s">
        <v>1194</v>
      </c>
      <c r="C18" t="s">
        <v>22</v>
      </c>
      <c r="D18" t="s">
        <v>946</v>
      </c>
    </row>
    <row r="19" spans="1:10" x14ac:dyDescent="0.25">
      <c r="A19" t="s">
        <v>646</v>
      </c>
      <c r="B19" t="s">
        <v>1195</v>
      </c>
      <c r="C19" t="s">
        <v>22</v>
      </c>
      <c r="D19" t="s">
        <v>947</v>
      </c>
    </row>
    <row r="20" spans="1:10" x14ac:dyDescent="0.25">
      <c r="A20" t="s">
        <v>651</v>
      </c>
      <c r="B20" t="s">
        <v>1196</v>
      </c>
      <c r="C20" t="s">
        <v>22</v>
      </c>
      <c r="D20" t="s">
        <v>948</v>
      </c>
    </row>
    <row r="21" spans="1:10" x14ac:dyDescent="0.25">
      <c r="A21" t="s">
        <v>655</v>
      </c>
      <c r="B21" t="s">
        <v>1197</v>
      </c>
      <c r="C21" t="s">
        <v>22</v>
      </c>
      <c r="D21" t="s">
        <v>949</v>
      </c>
    </row>
    <row r="22" spans="1:10" x14ac:dyDescent="0.25">
      <c r="A22" t="s">
        <v>625</v>
      </c>
      <c r="B22" t="s">
        <v>1198</v>
      </c>
      <c r="C22" t="s">
        <v>22</v>
      </c>
      <c r="D22" t="s">
        <v>950</v>
      </c>
    </row>
    <row r="23" spans="1:10" x14ac:dyDescent="0.25">
      <c r="A23" t="s">
        <v>629</v>
      </c>
      <c r="B23" t="s">
        <v>1199</v>
      </c>
      <c r="C23" t="s">
        <v>22</v>
      </c>
      <c r="D23" t="s">
        <v>951</v>
      </c>
    </row>
    <row r="24" spans="1:10" x14ac:dyDescent="0.25">
      <c r="A24" t="s">
        <v>633</v>
      </c>
      <c r="B24" t="s">
        <v>1200</v>
      </c>
      <c r="C24" t="s">
        <v>22</v>
      </c>
      <c r="D24" t="s">
        <v>952</v>
      </c>
    </row>
    <row r="25" spans="1:10" x14ac:dyDescent="0.25">
      <c r="A25" t="s">
        <v>637</v>
      </c>
      <c r="B25" t="s">
        <v>1201</v>
      </c>
      <c r="C25" t="s">
        <v>22</v>
      </c>
      <c r="D25" t="s">
        <v>953</v>
      </c>
    </row>
    <row r="26" spans="1:10" x14ac:dyDescent="0.25">
      <c r="A26" t="s">
        <v>642</v>
      </c>
      <c r="B26" t="s">
        <v>1202</v>
      </c>
      <c r="C26" t="s">
        <v>22</v>
      </c>
      <c r="D26" t="s">
        <v>954</v>
      </c>
    </row>
    <row r="27" spans="1:10" x14ac:dyDescent="0.25">
      <c r="A27" t="s">
        <v>647</v>
      </c>
      <c r="B27" t="s">
        <v>1203</v>
      </c>
      <c r="C27" t="s">
        <v>22</v>
      </c>
      <c r="D27" t="s">
        <v>955</v>
      </c>
    </row>
    <row r="28" spans="1:10" x14ac:dyDescent="0.25">
      <c r="A28" t="s">
        <v>652</v>
      </c>
      <c r="B28" t="s">
        <v>1204</v>
      </c>
      <c r="C28" t="s">
        <v>22</v>
      </c>
      <c r="D28" t="s">
        <v>956</v>
      </c>
    </row>
    <row r="29" spans="1:10" x14ac:dyDescent="0.25">
      <c r="A29" t="s">
        <v>656</v>
      </c>
      <c r="B29" t="s">
        <v>1205</v>
      </c>
      <c r="C29" t="s">
        <v>22</v>
      </c>
      <c r="D29" t="s">
        <v>957</v>
      </c>
    </row>
    <row r="30" spans="1:10" x14ac:dyDescent="0.25">
      <c r="A30" t="s">
        <v>626</v>
      </c>
      <c r="B30" t="s">
        <v>1206</v>
      </c>
      <c r="C30" t="s">
        <v>22</v>
      </c>
      <c r="D30" t="s">
        <v>958</v>
      </c>
    </row>
    <row r="31" spans="1:10" x14ac:dyDescent="0.25">
      <c r="A31" t="s">
        <v>630</v>
      </c>
      <c r="B31" t="s">
        <v>1207</v>
      </c>
      <c r="C31" t="s">
        <v>22</v>
      </c>
      <c r="D31" t="s">
        <v>959</v>
      </c>
    </row>
    <row r="32" spans="1:10" x14ac:dyDescent="0.25">
      <c r="A32" t="s">
        <v>634</v>
      </c>
      <c r="B32" t="s">
        <v>1208</v>
      </c>
      <c r="C32" t="s">
        <v>22</v>
      </c>
      <c r="D32" t="s">
        <v>960</v>
      </c>
    </row>
    <row r="33" spans="1:4" x14ac:dyDescent="0.25">
      <c r="A33" t="s">
        <v>638</v>
      </c>
      <c r="B33" t="s">
        <v>1209</v>
      </c>
      <c r="C33" t="s">
        <v>22</v>
      </c>
      <c r="D33" t="s">
        <v>961</v>
      </c>
    </row>
    <row r="34" spans="1:4" x14ac:dyDescent="0.25">
      <c r="A34" t="s">
        <v>643</v>
      </c>
      <c r="B34" t="s">
        <v>1210</v>
      </c>
      <c r="C34" t="s">
        <v>22</v>
      </c>
      <c r="D34" t="s">
        <v>962</v>
      </c>
    </row>
    <row r="35" spans="1:4" x14ac:dyDescent="0.25">
      <c r="A35" t="s">
        <v>648</v>
      </c>
      <c r="B35" t="s">
        <v>1211</v>
      </c>
      <c r="C35" t="s">
        <v>22</v>
      </c>
      <c r="D35" t="s">
        <v>963</v>
      </c>
    </row>
    <row r="36" spans="1:4" x14ac:dyDescent="0.25">
      <c r="A36" t="s">
        <v>1012</v>
      </c>
      <c r="B36" t="s">
        <v>1262</v>
      </c>
      <c r="C36" t="s">
        <v>22</v>
      </c>
      <c r="D36" t="s">
        <v>1213</v>
      </c>
    </row>
    <row r="37" spans="1:4" x14ac:dyDescent="0.25">
      <c r="A37" t="s">
        <v>1045</v>
      </c>
      <c r="B37" t="s">
        <v>1263</v>
      </c>
      <c r="C37" t="s">
        <v>22</v>
      </c>
      <c r="D37" t="s">
        <v>1215</v>
      </c>
    </row>
    <row r="38" spans="1:4" x14ac:dyDescent="0.25">
      <c r="A38" t="s">
        <v>1078</v>
      </c>
      <c r="B38" t="s">
        <v>1264</v>
      </c>
      <c r="C38" t="s">
        <v>22</v>
      </c>
      <c r="D38" t="s">
        <v>1213</v>
      </c>
    </row>
    <row r="39" spans="1:4" x14ac:dyDescent="0.25">
      <c r="A39" t="s">
        <v>1110</v>
      </c>
      <c r="B39" t="s">
        <v>1265</v>
      </c>
      <c r="C39" t="s">
        <v>22</v>
      </c>
      <c r="D39" t="s">
        <v>1215</v>
      </c>
    </row>
    <row r="40" spans="1:4" x14ac:dyDescent="0.25">
      <c r="A40" t="s">
        <v>1121</v>
      </c>
      <c r="B40" t="s">
        <v>1266</v>
      </c>
      <c r="C40" t="s">
        <v>22</v>
      </c>
      <c r="D40" t="s">
        <v>1213</v>
      </c>
    </row>
    <row r="41" spans="1:4" x14ac:dyDescent="0.25">
      <c r="A41" t="s">
        <v>1089</v>
      </c>
      <c r="B41" t="s">
        <v>1267</v>
      </c>
      <c r="C41" t="s">
        <v>22</v>
      </c>
      <c r="D41" t="s">
        <v>1215</v>
      </c>
    </row>
    <row r="42" spans="1:4" x14ac:dyDescent="0.25">
      <c r="A42" t="s">
        <v>1056</v>
      </c>
      <c r="B42" t="s">
        <v>1268</v>
      </c>
      <c r="C42" t="s">
        <v>22</v>
      </c>
      <c r="D42" t="s">
        <v>1213</v>
      </c>
    </row>
    <row r="43" spans="1:4" x14ac:dyDescent="0.25">
      <c r="A43" t="s">
        <v>1023</v>
      </c>
      <c r="B43" t="s">
        <v>1269</v>
      </c>
      <c r="C43" t="s">
        <v>22</v>
      </c>
      <c r="D43" t="s">
        <v>1215</v>
      </c>
    </row>
    <row r="44" spans="1:4" x14ac:dyDescent="0.25">
      <c r="A44" t="s">
        <v>1013</v>
      </c>
      <c r="B44" t="s">
        <v>1270</v>
      </c>
      <c r="C44" t="s">
        <v>22</v>
      </c>
      <c r="D44" t="s">
        <v>1213</v>
      </c>
    </row>
    <row r="45" spans="1:4" x14ac:dyDescent="0.25">
      <c r="A45" t="s">
        <v>1046</v>
      </c>
      <c r="B45" t="s">
        <v>1271</v>
      </c>
      <c r="C45" t="s">
        <v>22</v>
      </c>
      <c r="D45" t="s">
        <v>1215</v>
      </c>
    </row>
    <row r="46" spans="1:4" x14ac:dyDescent="0.25">
      <c r="A46" t="s">
        <v>1079</v>
      </c>
      <c r="B46" t="s">
        <v>1272</v>
      </c>
      <c r="C46" t="s">
        <v>22</v>
      </c>
      <c r="D46" t="s">
        <v>1213</v>
      </c>
    </row>
    <row r="47" spans="1:4" x14ac:dyDescent="0.25">
      <c r="A47" t="s">
        <v>1111</v>
      </c>
      <c r="B47" t="s">
        <v>1273</v>
      </c>
      <c r="C47" t="s">
        <v>22</v>
      </c>
      <c r="D47" t="s">
        <v>1215</v>
      </c>
    </row>
    <row r="48" spans="1:4" x14ac:dyDescent="0.25">
      <c r="A48" t="s">
        <v>1120</v>
      </c>
      <c r="B48" t="s">
        <v>1274</v>
      </c>
      <c r="C48" t="s">
        <v>22</v>
      </c>
      <c r="D48" t="s">
        <v>1213</v>
      </c>
    </row>
    <row r="49" spans="1:4" x14ac:dyDescent="0.25">
      <c r="A49" t="s">
        <v>1088</v>
      </c>
      <c r="B49" t="s">
        <v>1275</v>
      </c>
      <c r="C49" t="s">
        <v>22</v>
      </c>
      <c r="D49" t="s">
        <v>1215</v>
      </c>
    </row>
    <row r="50" spans="1:4" x14ac:dyDescent="0.25">
      <c r="A50" t="s">
        <v>1055</v>
      </c>
      <c r="B50" t="s">
        <v>1276</v>
      </c>
      <c r="C50" t="s">
        <v>22</v>
      </c>
      <c r="D50" t="s">
        <v>1213</v>
      </c>
    </row>
    <row r="51" spans="1:4" x14ac:dyDescent="0.25">
      <c r="A51" t="s">
        <v>1022</v>
      </c>
      <c r="B51" t="s">
        <v>1277</v>
      </c>
      <c r="C51" t="s">
        <v>22</v>
      </c>
      <c r="D51" t="s">
        <v>1215</v>
      </c>
    </row>
    <row r="52" spans="1:4" x14ac:dyDescent="0.25">
      <c r="A52" t="s">
        <v>1014</v>
      </c>
      <c r="B52" t="s">
        <v>1278</v>
      </c>
      <c r="C52" t="s">
        <v>22</v>
      </c>
      <c r="D52" t="s">
        <v>1213</v>
      </c>
    </row>
    <row r="53" spans="1:4" x14ac:dyDescent="0.25">
      <c r="A53" t="s">
        <v>1047</v>
      </c>
      <c r="B53" t="s">
        <v>1279</v>
      </c>
      <c r="C53" t="s">
        <v>22</v>
      </c>
      <c r="D53" t="s">
        <v>1215</v>
      </c>
    </row>
    <row r="54" spans="1:4" x14ac:dyDescent="0.25">
      <c r="A54" t="s">
        <v>1080</v>
      </c>
      <c r="B54" t="s">
        <v>1280</v>
      </c>
      <c r="C54" t="s">
        <v>22</v>
      </c>
      <c r="D54" t="s">
        <v>1213</v>
      </c>
    </row>
    <row r="55" spans="1:4" x14ac:dyDescent="0.25">
      <c r="A55" t="s">
        <v>1112</v>
      </c>
      <c r="B55" t="s">
        <v>1281</v>
      </c>
      <c r="C55" t="s">
        <v>22</v>
      </c>
      <c r="D55" t="s">
        <v>1215</v>
      </c>
    </row>
    <row r="56" spans="1:4" x14ac:dyDescent="0.25">
      <c r="A56" t="s">
        <v>1119</v>
      </c>
      <c r="B56" t="s">
        <v>1282</v>
      </c>
      <c r="C56" t="s">
        <v>22</v>
      </c>
      <c r="D56" t="s">
        <v>1213</v>
      </c>
    </row>
    <row r="57" spans="1:4" x14ac:dyDescent="0.25">
      <c r="A57" t="s">
        <v>1087</v>
      </c>
      <c r="B57" t="s">
        <v>1283</v>
      </c>
      <c r="C57" t="s">
        <v>22</v>
      </c>
      <c r="D57" t="s">
        <v>1215</v>
      </c>
    </row>
    <row r="58" spans="1:4" x14ac:dyDescent="0.25">
      <c r="A58" t="s">
        <v>1054</v>
      </c>
      <c r="B58" t="s">
        <v>1284</v>
      </c>
      <c r="C58" t="s">
        <v>22</v>
      </c>
      <c r="D58" t="s">
        <v>1213</v>
      </c>
    </row>
    <row r="59" spans="1:4" x14ac:dyDescent="0.25">
      <c r="A59" t="s">
        <v>1021</v>
      </c>
      <c r="B59" t="s">
        <v>1285</v>
      </c>
      <c r="C59" t="s">
        <v>22</v>
      </c>
      <c r="D59" t="s">
        <v>1215</v>
      </c>
    </row>
    <row r="60" spans="1:4" x14ac:dyDescent="0.25">
      <c r="A60" t="s">
        <v>1015</v>
      </c>
      <c r="B60" t="s">
        <v>1286</v>
      </c>
      <c r="C60" t="s">
        <v>22</v>
      </c>
      <c r="D60" t="s">
        <v>1213</v>
      </c>
    </row>
    <row r="61" spans="1:4" x14ac:dyDescent="0.25">
      <c r="A61" t="s">
        <v>1048</v>
      </c>
      <c r="B61" t="s">
        <v>1287</v>
      </c>
      <c r="C61" t="s">
        <v>22</v>
      </c>
      <c r="D61" t="s">
        <v>1215</v>
      </c>
    </row>
    <row r="62" spans="1:4" x14ac:dyDescent="0.25">
      <c r="A62" t="s">
        <v>1081</v>
      </c>
      <c r="B62" t="s">
        <v>1288</v>
      </c>
      <c r="C62" t="s">
        <v>22</v>
      </c>
      <c r="D62" t="s">
        <v>1213</v>
      </c>
    </row>
    <row r="63" spans="1:4" x14ac:dyDescent="0.25">
      <c r="A63" t="s">
        <v>1113</v>
      </c>
      <c r="B63" t="s">
        <v>1289</v>
      </c>
      <c r="C63" t="s">
        <v>22</v>
      </c>
      <c r="D63" t="s">
        <v>1215</v>
      </c>
    </row>
    <row r="64" spans="1:4" x14ac:dyDescent="0.25">
      <c r="A64" t="s">
        <v>1118</v>
      </c>
      <c r="B64" t="s">
        <v>1290</v>
      </c>
      <c r="C64" t="s">
        <v>22</v>
      </c>
      <c r="D64" t="s">
        <v>1213</v>
      </c>
    </row>
    <row r="65" spans="1:4" x14ac:dyDescent="0.25">
      <c r="A65" t="s">
        <v>1086</v>
      </c>
      <c r="B65" t="s">
        <v>1291</v>
      </c>
      <c r="C65" t="s">
        <v>22</v>
      </c>
      <c r="D65" t="s">
        <v>1215</v>
      </c>
    </row>
    <row r="66" spans="1:4" x14ac:dyDescent="0.25">
      <c r="A66" t="s">
        <v>1053</v>
      </c>
      <c r="B66" t="s">
        <v>1292</v>
      </c>
      <c r="C66" t="s">
        <v>22</v>
      </c>
      <c r="D66" t="s">
        <v>1213</v>
      </c>
    </row>
    <row r="67" spans="1:4" x14ac:dyDescent="0.25">
      <c r="A67" t="s">
        <v>1020</v>
      </c>
      <c r="B67" t="s">
        <v>1293</v>
      </c>
      <c r="C67" t="s">
        <v>22</v>
      </c>
      <c r="D67" t="s">
        <v>1215</v>
      </c>
    </row>
    <row r="68" spans="1:4" x14ac:dyDescent="0.25">
      <c r="A68" t="s">
        <v>1016</v>
      </c>
      <c r="B68" t="s">
        <v>1294</v>
      </c>
      <c r="C68" t="s">
        <v>22</v>
      </c>
      <c r="D68" t="s">
        <v>1213</v>
      </c>
    </row>
    <row r="69" spans="1:4" x14ac:dyDescent="0.25">
      <c r="A69" t="s">
        <v>1049</v>
      </c>
      <c r="B69" t="s">
        <v>1295</v>
      </c>
      <c r="C69" t="s">
        <v>22</v>
      </c>
      <c r="D69" t="s">
        <v>1215</v>
      </c>
    </row>
    <row r="70" spans="1:4" x14ac:dyDescent="0.25">
      <c r="A70" t="s">
        <v>1082</v>
      </c>
      <c r="B70" t="s">
        <v>1296</v>
      </c>
      <c r="C70" t="s">
        <v>22</v>
      </c>
      <c r="D70" t="s">
        <v>1213</v>
      </c>
    </row>
    <row r="71" spans="1:4" x14ac:dyDescent="0.25">
      <c r="A71" t="s">
        <v>1114</v>
      </c>
      <c r="B71" t="s">
        <v>1297</v>
      </c>
      <c r="C71" t="s">
        <v>22</v>
      </c>
      <c r="D71" t="s">
        <v>1215</v>
      </c>
    </row>
    <row r="72" spans="1:4" x14ac:dyDescent="0.25">
      <c r="A72" t="s">
        <v>1117</v>
      </c>
      <c r="B72" t="s">
        <v>1298</v>
      </c>
      <c r="C72" t="s">
        <v>22</v>
      </c>
      <c r="D72" t="s">
        <v>1213</v>
      </c>
    </row>
    <row r="73" spans="1:4" x14ac:dyDescent="0.25">
      <c r="A73" t="s">
        <v>1085</v>
      </c>
      <c r="B73" t="s">
        <v>1299</v>
      </c>
      <c r="C73" t="s">
        <v>22</v>
      </c>
      <c r="D73" t="s">
        <v>1215</v>
      </c>
    </row>
    <row r="74" spans="1:4" x14ac:dyDescent="0.25">
      <c r="A74" t="s">
        <v>1052</v>
      </c>
      <c r="B74" t="s">
        <v>1300</v>
      </c>
      <c r="C74" t="s">
        <v>22</v>
      </c>
      <c r="D74" t="s">
        <v>1213</v>
      </c>
    </row>
    <row r="75" spans="1:4" x14ac:dyDescent="0.25">
      <c r="A75" t="s">
        <v>1019</v>
      </c>
      <c r="B75" t="s">
        <v>1301</v>
      </c>
      <c r="C75" t="s">
        <v>22</v>
      </c>
      <c r="D75" t="s">
        <v>1215</v>
      </c>
    </row>
    <row r="76" spans="1:4" x14ac:dyDescent="0.25">
      <c r="A76" t="s">
        <v>1017</v>
      </c>
      <c r="B76" t="s">
        <v>1302</v>
      </c>
      <c r="C76" t="s">
        <v>22</v>
      </c>
      <c r="D76" t="s">
        <v>1213</v>
      </c>
    </row>
    <row r="77" spans="1:4" x14ac:dyDescent="0.25">
      <c r="A77" t="s">
        <v>1050</v>
      </c>
      <c r="B77" t="s">
        <v>1303</v>
      </c>
      <c r="C77" t="s">
        <v>22</v>
      </c>
      <c r="D77" t="s">
        <v>1215</v>
      </c>
    </row>
    <row r="78" spans="1:4" x14ac:dyDescent="0.25">
      <c r="A78" t="s">
        <v>1083</v>
      </c>
      <c r="B78" t="s">
        <v>1304</v>
      </c>
      <c r="C78" t="s">
        <v>22</v>
      </c>
      <c r="D78" t="s">
        <v>1213</v>
      </c>
    </row>
    <row r="79" spans="1:4" x14ac:dyDescent="0.25">
      <c r="A79" t="s">
        <v>1115</v>
      </c>
      <c r="B79" t="s">
        <v>1305</v>
      </c>
      <c r="C79" t="s">
        <v>22</v>
      </c>
      <c r="D79" t="s">
        <v>1215</v>
      </c>
    </row>
    <row r="80" spans="1:4" x14ac:dyDescent="0.25">
      <c r="A80" t="s">
        <v>1116</v>
      </c>
      <c r="B80" t="s">
        <v>1306</v>
      </c>
      <c r="C80" t="s">
        <v>22</v>
      </c>
      <c r="D80" t="s">
        <v>1213</v>
      </c>
    </row>
    <row r="81" spans="1:4" x14ac:dyDescent="0.25">
      <c r="A81" t="s">
        <v>1084</v>
      </c>
      <c r="B81" t="s">
        <v>1307</v>
      </c>
      <c r="C81" t="s">
        <v>22</v>
      </c>
      <c r="D81" t="s">
        <v>1215</v>
      </c>
    </row>
    <row r="82" spans="1:4" x14ac:dyDescent="0.25">
      <c r="A82" t="s">
        <v>1051</v>
      </c>
      <c r="B82" t="s">
        <v>1308</v>
      </c>
      <c r="C82" t="s">
        <v>22</v>
      </c>
      <c r="D82" t="s">
        <v>1213</v>
      </c>
    </row>
    <row r="83" spans="1:4" x14ac:dyDescent="0.25">
      <c r="A83" t="s">
        <v>1018</v>
      </c>
      <c r="B83" t="s">
        <v>1309</v>
      </c>
      <c r="C83" t="s">
        <v>22</v>
      </c>
      <c r="D83" t="s">
        <v>1215</v>
      </c>
    </row>
    <row r="84" spans="1:4" x14ac:dyDescent="0.25">
      <c r="A84" t="s">
        <v>1077</v>
      </c>
      <c r="B84" t="s">
        <v>1144</v>
      </c>
      <c r="C84" t="s">
        <v>22</v>
      </c>
      <c r="D84" t="s">
        <v>930</v>
      </c>
    </row>
    <row r="85" spans="1:4" x14ac:dyDescent="0.25">
      <c r="A85" t="s">
        <v>1044</v>
      </c>
      <c r="B85" t="s">
        <v>1145</v>
      </c>
      <c r="C85" t="s">
        <v>22</v>
      </c>
      <c r="D85" t="s">
        <v>931</v>
      </c>
    </row>
    <row r="86" spans="1:4" x14ac:dyDescent="0.25">
      <c r="A86" t="s">
        <v>1024</v>
      </c>
      <c r="B86" t="s">
        <v>1146</v>
      </c>
      <c r="C86" t="s">
        <v>22</v>
      </c>
      <c r="D86" t="s">
        <v>932</v>
      </c>
    </row>
    <row r="87" spans="1:4" x14ac:dyDescent="0.25">
      <c r="A87" t="s">
        <v>1057</v>
      </c>
      <c r="B87" t="s">
        <v>1147</v>
      </c>
      <c r="C87" t="s">
        <v>22</v>
      </c>
      <c r="D87" t="s">
        <v>933</v>
      </c>
    </row>
    <row r="88" spans="1:4" x14ac:dyDescent="0.25">
      <c r="A88" t="s">
        <v>1090</v>
      </c>
      <c r="B88" t="s">
        <v>1148</v>
      </c>
      <c r="C88" t="s">
        <v>22</v>
      </c>
      <c r="D88" t="s">
        <v>934</v>
      </c>
    </row>
    <row r="89" spans="1:4" x14ac:dyDescent="0.25">
      <c r="A89" t="s">
        <v>1122</v>
      </c>
      <c r="B89" t="s">
        <v>1149</v>
      </c>
      <c r="C89" t="s">
        <v>22</v>
      </c>
      <c r="D89" t="s">
        <v>935</v>
      </c>
    </row>
    <row r="90" spans="1:4" x14ac:dyDescent="0.25">
      <c r="A90" t="s">
        <v>1141</v>
      </c>
      <c r="B90" t="s">
        <v>1150</v>
      </c>
      <c r="C90" t="s">
        <v>22</v>
      </c>
      <c r="D90" t="s">
        <v>936</v>
      </c>
    </row>
    <row r="91" spans="1:4" x14ac:dyDescent="0.25">
      <c r="A91" t="s">
        <v>1109</v>
      </c>
      <c r="B91" t="s">
        <v>1151</v>
      </c>
      <c r="C91" t="s">
        <v>22</v>
      </c>
      <c r="D91" t="s">
        <v>937</v>
      </c>
    </row>
    <row r="92" spans="1:4" x14ac:dyDescent="0.25">
      <c r="A92" t="s">
        <v>1076</v>
      </c>
      <c r="B92" t="s">
        <v>1152</v>
      </c>
      <c r="C92" t="s">
        <v>22</v>
      </c>
      <c r="D92" t="s">
        <v>938</v>
      </c>
    </row>
    <row r="93" spans="1:4" x14ac:dyDescent="0.25">
      <c r="A93" t="s">
        <v>1043</v>
      </c>
      <c r="B93" t="s">
        <v>1153</v>
      </c>
      <c r="C93" t="s">
        <v>22</v>
      </c>
      <c r="D93" t="s">
        <v>939</v>
      </c>
    </row>
    <row r="94" spans="1:4" x14ac:dyDescent="0.25">
      <c r="A94" t="s">
        <v>1025</v>
      </c>
      <c r="B94" t="s">
        <v>1154</v>
      </c>
      <c r="C94" t="s">
        <v>22</v>
      </c>
      <c r="D94" t="s">
        <v>940</v>
      </c>
    </row>
    <row r="95" spans="1:4" x14ac:dyDescent="0.25">
      <c r="A95" t="s">
        <v>1058</v>
      </c>
      <c r="B95" t="s">
        <v>1155</v>
      </c>
      <c r="C95" t="s">
        <v>22</v>
      </c>
      <c r="D95" t="s">
        <v>941</v>
      </c>
    </row>
    <row r="96" spans="1:4" x14ac:dyDescent="0.25">
      <c r="A96" t="s">
        <v>1091</v>
      </c>
      <c r="B96" t="s">
        <v>1156</v>
      </c>
      <c r="C96" t="s">
        <v>22</v>
      </c>
      <c r="D96" t="s">
        <v>942</v>
      </c>
    </row>
    <row r="97" spans="1:4" x14ac:dyDescent="0.25">
      <c r="A97" t="s">
        <v>1123</v>
      </c>
      <c r="B97" t="s">
        <v>1157</v>
      </c>
      <c r="C97" t="s">
        <v>22</v>
      </c>
      <c r="D97" t="s">
        <v>943</v>
      </c>
    </row>
    <row r="98" spans="1:4" x14ac:dyDescent="0.25">
      <c r="A98" t="s">
        <v>1140</v>
      </c>
      <c r="B98" t="s">
        <v>1158</v>
      </c>
      <c r="C98" t="s">
        <v>22</v>
      </c>
      <c r="D98" t="s">
        <v>944</v>
      </c>
    </row>
    <row r="99" spans="1:4" x14ac:dyDescent="0.25">
      <c r="A99" t="s">
        <v>1108</v>
      </c>
      <c r="B99" t="s">
        <v>1159</v>
      </c>
      <c r="C99" t="s">
        <v>22</v>
      </c>
      <c r="D99" t="s">
        <v>945</v>
      </c>
    </row>
    <row r="100" spans="1:4" x14ac:dyDescent="0.25">
      <c r="A100" t="s">
        <v>1075</v>
      </c>
      <c r="B100" t="s">
        <v>1160</v>
      </c>
      <c r="C100" t="s">
        <v>22</v>
      </c>
      <c r="D100" t="s">
        <v>946</v>
      </c>
    </row>
    <row r="101" spans="1:4" x14ac:dyDescent="0.25">
      <c r="A101" t="s">
        <v>1042</v>
      </c>
      <c r="B101" t="s">
        <v>1161</v>
      </c>
      <c r="C101" t="s">
        <v>22</v>
      </c>
      <c r="D101" t="s">
        <v>947</v>
      </c>
    </row>
    <row r="102" spans="1:4" x14ac:dyDescent="0.25">
      <c r="A102" t="s">
        <v>1026</v>
      </c>
      <c r="B102" t="s">
        <v>1162</v>
      </c>
      <c r="C102" t="s">
        <v>22</v>
      </c>
      <c r="D102" t="s">
        <v>948</v>
      </c>
    </row>
    <row r="103" spans="1:4" x14ac:dyDescent="0.25">
      <c r="A103" t="s">
        <v>1059</v>
      </c>
      <c r="B103" t="s">
        <v>1163</v>
      </c>
      <c r="C103" t="s">
        <v>22</v>
      </c>
      <c r="D103" t="s">
        <v>949</v>
      </c>
    </row>
    <row r="104" spans="1:4" x14ac:dyDescent="0.25">
      <c r="A104" t="s">
        <v>1092</v>
      </c>
      <c r="B104" t="s">
        <v>1164</v>
      </c>
      <c r="C104" t="s">
        <v>22</v>
      </c>
      <c r="D104" t="s">
        <v>950</v>
      </c>
    </row>
    <row r="105" spans="1:4" x14ac:dyDescent="0.25">
      <c r="A105" t="s">
        <v>1124</v>
      </c>
      <c r="B105" t="s">
        <v>1165</v>
      </c>
      <c r="C105" t="s">
        <v>22</v>
      </c>
      <c r="D105" t="s">
        <v>951</v>
      </c>
    </row>
    <row r="106" spans="1:4" x14ac:dyDescent="0.25">
      <c r="A106" t="s">
        <v>1139</v>
      </c>
      <c r="B106" t="s">
        <v>1166</v>
      </c>
      <c r="C106" t="s">
        <v>22</v>
      </c>
      <c r="D106" t="s">
        <v>952</v>
      </c>
    </row>
    <row r="107" spans="1:4" x14ac:dyDescent="0.25">
      <c r="A107" t="s">
        <v>1107</v>
      </c>
      <c r="B107" t="s">
        <v>1167</v>
      </c>
      <c r="C107" t="s">
        <v>22</v>
      </c>
      <c r="D107" t="s">
        <v>953</v>
      </c>
    </row>
    <row r="108" spans="1:4" x14ac:dyDescent="0.25">
      <c r="A108" t="s">
        <v>1074</v>
      </c>
      <c r="B108" t="s">
        <v>1168</v>
      </c>
      <c r="C108" t="s">
        <v>22</v>
      </c>
      <c r="D108" t="s">
        <v>954</v>
      </c>
    </row>
    <row r="109" spans="1:4" x14ac:dyDescent="0.25">
      <c r="A109" t="s">
        <v>1041</v>
      </c>
      <c r="B109" t="s">
        <v>1169</v>
      </c>
      <c r="C109" t="s">
        <v>22</v>
      </c>
      <c r="D109" t="s">
        <v>955</v>
      </c>
    </row>
    <row r="110" spans="1:4" x14ac:dyDescent="0.25">
      <c r="A110" t="s">
        <v>1027</v>
      </c>
      <c r="B110" t="s">
        <v>1170</v>
      </c>
      <c r="C110" t="s">
        <v>22</v>
      </c>
      <c r="D110" t="s">
        <v>956</v>
      </c>
    </row>
    <row r="111" spans="1:4" x14ac:dyDescent="0.25">
      <c r="A111" t="s">
        <v>1060</v>
      </c>
      <c r="B111" t="s">
        <v>1171</v>
      </c>
      <c r="C111" t="s">
        <v>22</v>
      </c>
      <c r="D111" t="s">
        <v>957</v>
      </c>
    </row>
    <row r="112" spans="1:4" x14ac:dyDescent="0.25">
      <c r="A112" t="s">
        <v>1093</v>
      </c>
      <c r="B112" t="s">
        <v>1172</v>
      </c>
      <c r="C112" t="s">
        <v>22</v>
      </c>
      <c r="D112" t="s">
        <v>958</v>
      </c>
    </row>
    <row r="113" spans="1:4" x14ac:dyDescent="0.25">
      <c r="A113" t="s">
        <v>1125</v>
      </c>
      <c r="B113" t="s">
        <v>1173</v>
      </c>
      <c r="C113" t="s">
        <v>22</v>
      </c>
      <c r="D113" t="s">
        <v>959</v>
      </c>
    </row>
    <row r="114" spans="1:4" x14ac:dyDescent="0.25">
      <c r="A114" t="s">
        <v>1138</v>
      </c>
      <c r="B114" t="s">
        <v>1174</v>
      </c>
      <c r="C114" t="s">
        <v>22</v>
      </c>
      <c r="D114" t="s">
        <v>960</v>
      </c>
    </row>
    <row r="115" spans="1:4" x14ac:dyDescent="0.25">
      <c r="A115" t="s">
        <v>1106</v>
      </c>
      <c r="B115" t="s">
        <v>1175</v>
      </c>
      <c r="C115" t="s">
        <v>22</v>
      </c>
      <c r="D115" t="s">
        <v>961</v>
      </c>
    </row>
    <row r="116" spans="1:4" x14ac:dyDescent="0.25">
      <c r="A116" t="s">
        <v>1073</v>
      </c>
      <c r="B116" t="s">
        <v>1176</v>
      </c>
      <c r="C116" t="s">
        <v>22</v>
      </c>
      <c r="D116" t="s">
        <v>962</v>
      </c>
    </row>
    <row r="117" spans="1:4" x14ac:dyDescent="0.25">
      <c r="A117" t="s">
        <v>1040</v>
      </c>
      <c r="B117" t="s">
        <v>1177</v>
      </c>
      <c r="C117" t="s">
        <v>22</v>
      </c>
      <c r="D117" t="s">
        <v>963</v>
      </c>
    </row>
    <row r="118" spans="1:4" x14ac:dyDescent="0.25">
      <c r="A118" t="s">
        <v>1028</v>
      </c>
      <c r="B118" t="s">
        <v>1212</v>
      </c>
      <c r="C118" t="s">
        <v>22</v>
      </c>
      <c r="D118" t="s">
        <v>1213</v>
      </c>
    </row>
    <row r="119" spans="1:4" x14ac:dyDescent="0.25">
      <c r="A119" t="s">
        <v>1061</v>
      </c>
      <c r="B119" t="s">
        <v>1214</v>
      </c>
      <c r="C119" t="s">
        <v>22</v>
      </c>
      <c r="D119" t="s">
        <v>1215</v>
      </c>
    </row>
    <row r="120" spans="1:4" x14ac:dyDescent="0.25">
      <c r="A120" t="s">
        <v>1094</v>
      </c>
      <c r="B120" t="s">
        <v>1216</v>
      </c>
      <c r="C120" t="s">
        <v>22</v>
      </c>
      <c r="D120" t="s">
        <v>1213</v>
      </c>
    </row>
    <row r="121" spans="1:4" x14ac:dyDescent="0.25">
      <c r="A121" t="s">
        <v>1126</v>
      </c>
      <c r="B121" t="s">
        <v>1217</v>
      </c>
      <c r="C121" t="s">
        <v>22</v>
      </c>
      <c r="D121" t="s">
        <v>1215</v>
      </c>
    </row>
    <row r="122" spans="1:4" x14ac:dyDescent="0.25">
      <c r="A122" t="s">
        <v>1137</v>
      </c>
      <c r="B122" t="s">
        <v>1218</v>
      </c>
      <c r="C122" t="s">
        <v>22</v>
      </c>
      <c r="D122" t="s">
        <v>1213</v>
      </c>
    </row>
    <row r="123" spans="1:4" x14ac:dyDescent="0.25">
      <c r="A123" t="s">
        <v>1105</v>
      </c>
      <c r="B123" t="s">
        <v>1219</v>
      </c>
      <c r="C123" t="s">
        <v>22</v>
      </c>
      <c r="D123" t="s">
        <v>1215</v>
      </c>
    </row>
    <row r="124" spans="1:4" x14ac:dyDescent="0.25">
      <c r="A124" t="s">
        <v>1072</v>
      </c>
      <c r="B124" t="s">
        <v>1220</v>
      </c>
      <c r="C124" t="s">
        <v>22</v>
      </c>
      <c r="D124" t="s">
        <v>1213</v>
      </c>
    </row>
    <row r="125" spans="1:4" x14ac:dyDescent="0.25">
      <c r="A125" t="s">
        <v>1039</v>
      </c>
      <c r="B125" t="s">
        <v>1221</v>
      </c>
      <c r="C125" t="s">
        <v>22</v>
      </c>
      <c r="D125" t="s">
        <v>1215</v>
      </c>
    </row>
    <row r="126" spans="1:4" x14ac:dyDescent="0.25">
      <c r="A126" t="s">
        <v>1029</v>
      </c>
      <c r="B126" t="s">
        <v>1222</v>
      </c>
      <c r="C126" t="s">
        <v>22</v>
      </c>
      <c r="D126" t="s">
        <v>1213</v>
      </c>
    </row>
    <row r="127" spans="1:4" x14ac:dyDescent="0.25">
      <c r="A127" t="s">
        <v>1062</v>
      </c>
      <c r="B127" t="s">
        <v>1223</v>
      </c>
      <c r="C127" t="s">
        <v>22</v>
      </c>
      <c r="D127" t="s">
        <v>1215</v>
      </c>
    </row>
    <row r="128" spans="1:4" x14ac:dyDescent="0.25">
      <c r="A128" t="s">
        <v>1095</v>
      </c>
      <c r="B128" t="s">
        <v>1224</v>
      </c>
      <c r="C128" t="s">
        <v>22</v>
      </c>
      <c r="D128" t="s">
        <v>1213</v>
      </c>
    </row>
    <row r="129" spans="1:4" x14ac:dyDescent="0.25">
      <c r="A129" t="s">
        <v>1127</v>
      </c>
      <c r="B129" t="s">
        <v>1225</v>
      </c>
      <c r="C129" t="s">
        <v>22</v>
      </c>
      <c r="D129" t="s">
        <v>1215</v>
      </c>
    </row>
    <row r="130" spans="1:4" x14ac:dyDescent="0.25">
      <c r="A130" t="s">
        <v>1136</v>
      </c>
      <c r="B130" t="s">
        <v>1226</v>
      </c>
      <c r="C130" t="s">
        <v>22</v>
      </c>
      <c r="D130" t="s">
        <v>1213</v>
      </c>
    </row>
    <row r="131" spans="1:4" x14ac:dyDescent="0.25">
      <c r="A131" t="s">
        <v>1104</v>
      </c>
      <c r="B131" t="s">
        <v>1227</v>
      </c>
      <c r="C131" t="s">
        <v>22</v>
      </c>
      <c r="D131" t="s">
        <v>1215</v>
      </c>
    </row>
    <row r="132" spans="1:4" x14ac:dyDescent="0.25">
      <c r="A132" t="s">
        <v>1071</v>
      </c>
      <c r="B132" t="s">
        <v>1228</v>
      </c>
      <c r="C132" t="s">
        <v>22</v>
      </c>
      <c r="D132" t="s">
        <v>1213</v>
      </c>
    </row>
    <row r="133" spans="1:4" x14ac:dyDescent="0.25">
      <c r="A133" t="s">
        <v>1038</v>
      </c>
      <c r="B133" t="s">
        <v>1229</v>
      </c>
      <c r="C133" t="s">
        <v>22</v>
      </c>
      <c r="D133" t="s">
        <v>1215</v>
      </c>
    </row>
    <row r="134" spans="1:4" x14ac:dyDescent="0.25">
      <c r="A134" t="s">
        <v>1030</v>
      </c>
      <c r="B134" t="s">
        <v>1230</v>
      </c>
      <c r="C134" t="s">
        <v>22</v>
      </c>
      <c r="D134" t="s">
        <v>1213</v>
      </c>
    </row>
    <row r="135" spans="1:4" x14ac:dyDescent="0.25">
      <c r="A135" t="s">
        <v>1063</v>
      </c>
      <c r="B135" t="s">
        <v>1231</v>
      </c>
      <c r="C135" t="s">
        <v>22</v>
      </c>
      <c r="D135" t="s">
        <v>1215</v>
      </c>
    </row>
    <row r="136" spans="1:4" x14ac:dyDescent="0.25">
      <c r="A136" t="s">
        <v>1096</v>
      </c>
      <c r="B136" t="s">
        <v>1232</v>
      </c>
      <c r="C136" t="s">
        <v>22</v>
      </c>
      <c r="D136" t="s">
        <v>1213</v>
      </c>
    </row>
    <row r="137" spans="1:4" x14ac:dyDescent="0.25">
      <c r="A137" t="s">
        <v>1128</v>
      </c>
      <c r="B137" t="s">
        <v>1233</v>
      </c>
      <c r="C137" t="s">
        <v>22</v>
      </c>
      <c r="D137" t="s">
        <v>1215</v>
      </c>
    </row>
    <row r="138" spans="1:4" x14ac:dyDescent="0.25">
      <c r="A138" t="s">
        <v>1135</v>
      </c>
      <c r="B138" t="s">
        <v>1234</v>
      </c>
      <c r="C138" t="s">
        <v>22</v>
      </c>
      <c r="D138" t="s">
        <v>1213</v>
      </c>
    </row>
    <row r="139" spans="1:4" x14ac:dyDescent="0.25">
      <c r="A139" t="s">
        <v>1103</v>
      </c>
      <c r="B139" t="s">
        <v>1235</v>
      </c>
      <c r="C139" t="s">
        <v>22</v>
      </c>
      <c r="D139" t="s">
        <v>1215</v>
      </c>
    </row>
    <row r="140" spans="1:4" x14ac:dyDescent="0.25">
      <c r="A140" t="s">
        <v>1070</v>
      </c>
      <c r="B140" t="s">
        <v>1236</v>
      </c>
      <c r="C140" t="s">
        <v>22</v>
      </c>
      <c r="D140" t="s">
        <v>1213</v>
      </c>
    </row>
    <row r="141" spans="1:4" x14ac:dyDescent="0.25">
      <c r="A141" t="s">
        <v>1037</v>
      </c>
      <c r="B141" t="s">
        <v>1237</v>
      </c>
      <c r="C141" t="s">
        <v>22</v>
      </c>
      <c r="D141" t="s">
        <v>1215</v>
      </c>
    </row>
    <row r="142" spans="1:4" x14ac:dyDescent="0.25">
      <c r="A142" t="s">
        <v>1031</v>
      </c>
      <c r="B142" t="s">
        <v>1238</v>
      </c>
      <c r="C142" t="s">
        <v>22</v>
      </c>
      <c r="D142" t="s">
        <v>1213</v>
      </c>
    </row>
    <row r="143" spans="1:4" x14ac:dyDescent="0.25">
      <c r="A143" t="s">
        <v>1064</v>
      </c>
      <c r="B143" t="s">
        <v>1239</v>
      </c>
      <c r="C143" t="s">
        <v>22</v>
      </c>
      <c r="D143" t="s">
        <v>1215</v>
      </c>
    </row>
    <row r="144" spans="1:4" x14ac:dyDescent="0.25">
      <c r="A144" t="s">
        <v>1097</v>
      </c>
      <c r="B144" t="s">
        <v>1240</v>
      </c>
      <c r="C144" t="s">
        <v>22</v>
      </c>
      <c r="D144" t="s">
        <v>1213</v>
      </c>
    </row>
    <row r="145" spans="1:4" x14ac:dyDescent="0.25">
      <c r="A145" t="s">
        <v>1129</v>
      </c>
      <c r="B145" t="s">
        <v>1241</v>
      </c>
      <c r="C145" t="s">
        <v>22</v>
      </c>
      <c r="D145" t="s">
        <v>1215</v>
      </c>
    </row>
    <row r="146" spans="1:4" x14ac:dyDescent="0.25">
      <c r="A146" t="s">
        <v>1134</v>
      </c>
      <c r="B146" t="s">
        <v>1242</v>
      </c>
      <c r="C146" t="s">
        <v>22</v>
      </c>
      <c r="D146" t="s">
        <v>1213</v>
      </c>
    </row>
    <row r="147" spans="1:4" x14ac:dyDescent="0.25">
      <c r="A147" t="s">
        <v>1102</v>
      </c>
      <c r="B147" t="s">
        <v>1243</v>
      </c>
      <c r="C147" t="s">
        <v>22</v>
      </c>
      <c r="D147" t="s">
        <v>1215</v>
      </c>
    </row>
    <row r="148" spans="1:4" x14ac:dyDescent="0.25">
      <c r="A148" t="s">
        <v>1069</v>
      </c>
      <c r="B148" t="s">
        <v>1244</v>
      </c>
      <c r="C148" t="s">
        <v>22</v>
      </c>
      <c r="D148" t="s">
        <v>1213</v>
      </c>
    </row>
    <row r="149" spans="1:4" x14ac:dyDescent="0.25">
      <c r="A149" t="s">
        <v>1036</v>
      </c>
      <c r="B149" t="s">
        <v>1245</v>
      </c>
      <c r="C149" t="s">
        <v>22</v>
      </c>
      <c r="D149" t="s">
        <v>1215</v>
      </c>
    </row>
    <row r="150" spans="1:4" x14ac:dyDescent="0.25">
      <c r="A150" t="s">
        <v>1032</v>
      </c>
      <c r="B150" t="s">
        <v>1246</v>
      </c>
      <c r="C150" t="s">
        <v>22</v>
      </c>
      <c r="D150" t="s">
        <v>1213</v>
      </c>
    </row>
    <row r="151" spans="1:4" x14ac:dyDescent="0.25">
      <c r="A151" t="s">
        <v>1065</v>
      </c>
      <c r="B151" t="s">
        <v>1247</v>
      </c>
      <c r="C151" t="s">
        <v>22</v>
      </c>
      <c r="D151" t="s">
        <v>1215</v>
      </c>
    </row>
    <row r="152" spans="1:4" x14ac:dyDescent="0.25">
      <c r="A152" t="s">
        <v>1098</v>
      </c>
      <c r="B152" t="s">
        <v>1248</v>
      </c>
      <c r="C152" t="s">
        <v>22</v>
      </c>
      <c r="D152" t="s">
        <v>1213</v>
      </c>
    </row>
    <row r="153" spans="1:4" x14ac:dyDescent="0.25">
      <c r="A153" t="s">
        <v>1130</v>
      </c>
      <c r="B153" t="s">
        <v>1249</v>
      </c>
      <c r="C153" t="s">
        <v>22</v>
      </c>
      <c r="D153" t="s">
        <v>1215</v>
      </c>
    </row>
    <row r="154" spans="1:4" x14ac:dyDescent="0.25">
      <c r="A154" t="s">
        <v>1133</v>
      </c>
      <c r="B154" t="s">
        <v>1250</v>
      </c>
      <c r="C154" t="s">
        <v>22</v>
      </c>
      <c r="D154" t="s">
        <v>1213</v>
      </c>
    </row>
    <row r="155" spans="1:4" x14ac:dyDescent="0.25">
      <c r="A155" t="s">
        <v>1101</v>
      </c>
      <c r="B155" t="s">
        <v>1251</v>
      </c>
      <c r="C155" t="s">
        <v>22</v>
      </c>
      <c r="D155" t="s">
        <v>1215</v>
      </c>
    </row>
    <row r="156" spans="1:4" x14ac:dyDescent="0.25">
      <c r="A156" t="s">
        <v>1068</v>
      </c>
      <c r="B156" t="s">
        <v>1252</v>
      </c>
      <c r="C156" t="s">
        <v>22</v>
      </c>
      <c r="D156" t="s">
        <v>1213</v>
      </c>
    </row>
    <row r="157" spans="1:4" x14ac:dyDescent="0.25">
      <c r="A157" t="s">
        <v>1035</v>
      </c>
      <c r="B157" t="s">
        <v>1253</v>
      </c>
      <c r="C157" t="s">
        <v>22</v>
      </c>
      <c r="D157" t="s">
        <v>1215</v>
      </c>
    </row>
    <row r="158" spans="1:4" x14ac:dyDescent="0.25">
      <c r="A158" t="s">
        <v>1033</v>
      </c>
      <c r="B158" t="s">
        <v>1254</v>
      </c>
      <c r="C158" t="s">
        <v>22</v>
      </c>
      <c r="D158" t="s">
        <v>1213</v>
      </c>
    </row>
    <row r="159" spans="1:4" x14ac:dyDescent="0.25">
      <c r="A159" t="s">
        <v>1066</v>
      </c>
      <c r="B159" t="s">
        <v>1255</v>
      </c>
      <c r="C159" t="s">
        <v>22</v>
      </c>
      <c r="D159" t="s">
        <v>1215</v>
      </c>
    </row>
    <row r="160" spans="1:4" x14ac:dyDescent="0.25">
      <c r="A160" t="s">
        <v>1099</v>
      </c>
      <c r="B160" t="s">
        <v>1256</v>
      </c>
      <c r="C160" t="s">
        <v>22</v>
      </c>
      <c r="D160" t="s">
        <v>1213</v>
      </c>
    </row>
    <row r="161" spans="1:4" x14ac:dyDescent="0.25">
      <c r="A161" t="s">
        <v>1131</v>
      </c>
      <c r="B161" t="s">
        <v>1257</v>
      </c>
      <c r="C161" t="s">
        <v>22</v>
      </c>
      <c r="D161" t="s">
        <v>1215</v>
      </c>
    </row>
    <row r="162" spans="1:4" x14ac:dyDescent="0.25">
      <c r="A162" t="s">
        <v>1132</v>
      </c>
      <c r="B162" t="s">
        <v>1258</v>
      </c>
      <c r="C162" t="s">
        <v>22</v>
      </c>
      <c r="D162" t="s">
        <v>1213</v>
      </c>
    </row>
    <row r="163" spans="1:4" x14ac:dyDescent="0.25">
      <c r="A163" t="s">
        <v>1100</v>
      </c>
      <c r="B163" t="s">
        <v>1259</v>
      </c>
      <c r="C163" t="s">
        <v>22</v>
      </c>
      <c r="D163" t="s">
        <v>1215</v>
      </c>
    </row>
    <row r="164" spans="1:4" x14ac:dyDescent="0.25">
      <c r="A164" t="s">
        <v>1067</v>
      </c>
      <c r="B164" t="s">
        <v>1260</v>
      </c>
      <c r="C164" t="s">
        <v>22</v>
      </c>
      <c r="D164" t="s">
        <v>1213</v>
      </c>
    </row>
    <row r="165" spans="1:4" x14ac:dyDescent="0.25">
      <c r="A165" t="s">
        <v>1034</v>
      </c>
      <c r="B165" t="s">
        <v>1261</v>
      </c>
      <c r="C165" t="s">
        <v>22</v>
      </c>
      <c r="D165" t="s">
        <v>1215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0684F-28E6-4DF5-AACF-343B919AD390}">
  <sheetPr codeName="Sheet15"/>
  <dimension ref="A2:AA54"/>
  <sheetViews>
    <sheetView zoomScale="60" zoomScaleNormal="60" workbookViewId="0">
      <selection sqref="A1:AA55"/>
    </sheetView>
  </sheetViews>
  <sheetFormatPr defaultRowHeight="15" x14ac:dyDescent="0.25"/>
  <cols>
    <col min="1" max="1" width="20.7109375" style="122" customWidth="1"/>
    <col min="2" max="2" width="12.7109375" style="122" customWidth="1"/>
    <col min="3" max="16384" width="9.140625" style="122"/>
  </cols>
  <sheetData>
    <row r="2" spans="1:2" x14ac:dyDescent="0.25">
      <c r="A2" s="200" t="s">
        <v>719</v>
      </c>
      <c r="B2" s="200" t="s">
        <v>734</v>
      </c>
    </row>
    <row r="4" spans="1:2" x14ac:dyDescent="0.25">
      <c r="A4" s="200" t="s">
        <v>720</v>
      </c>
      <c r="B4" s="200"/>
    </row>
    <row r="5" spans="1:2" x14ac:dyDescent="0.25">
      <c r="A5" s="200" t="s">
        <v>721</v>
      </c>
      <c r="B5" s="200"/>
    </row>
    <row r="6" spans="1:2" x14ac:dyDescent="0.25">
      <c r="A6" s="200" t="s">
        <v>722</v>
      </c>
      <c r="B6" s="200" t="s">
        <v>372</v>
      </c>
    </row>
    <row r="7" spans="1:2" x14ac:dyDescent="0.25">
      <c r="A7" s="200" t="s">
        <v>611</v>
      </c>
      <c r="B7" s="201">
        <v>43334</v>
      </c>
    </row>
    <row r="8" spans="1:2" x14ac:dyDescent="0.25">
      <c r="A8" s="200" t="s">
        <v>723</v>
      </c>
      <c r="B8" s="202">
        <v>0.66828703703703696</v>
      </c>
    </row>
    <row r="9" spans="1:2" x14ac:dyDescent="0.25">
      <c r="A9" s="200" t="s">
        <v>724</v>
      </c>
      <c r="B9" s="200" t="s">
        <v>735</v>
      </c>
    </row>
    <row r="10" spans="1:2" x14ac:dyDescent="0.25">
      <c r="A10" s="200" t="s">
        <v>725</v>
      </c>
      <c r="B10" s="200" t="s">
        <v>52</v>
      </c>
    </row>
    <row r="11" spans="1:2" x14ac:dyDescent="0.25">
      <c r="A11" s="200" t="s">
        <v>726</v>
      </c>
      <c r="B11" s="200" t="s">
        <v>715</v>
      </c>
    </row>
    <row r="13" spans="1:2" x14ac:dyDescent="0.25">
      <c r="A13" s="203" t="s">
        <v>727</v>
      </c>
      <c r="B13" s="200"/>
    </row>
    <row r="14" spans="1:2" ht="25.5" x14ac:dyDescent="0.25">
      <c r="A14" s="200" t="s">
        <v>728</v>
      </c>
      <c r="B14" s="200" t="s">
        <v>736</v>
      </c>
    </row>
    <row r="15" spans="1:2" ht="25.5" x14ac:dyDescent="0.25">
      <c r="A15" s="200" t="s">
        <v>729</v>
      </c>
      <c r="B15" s="200" t="s">
        <v>730</v>
      </c>
    </row>
    <row r="16" spans="1:2" x14ac:dyDescent="0.25">
      <c r="A16" s="200"/>
      <c r="B16" s="200" t="s">
        <v>731</v>
      </c>
    </row>
    <row r="17" spans="1:27" ht="25.5" x14ac:dyDescent="0.25">
      <c r="A17" s="200"/>
      <c r="B17" s="200" t="s">
        <v>1312</v>
      </c>
    </row>
    <row r="18" spans="1:27" ht="25.5" x14ac:dyDescent="0.25">
      <c r="A18" s="200"/>
      <c r="B18" s="200" t="s">
        <v>732</v>
      </c>
    </row>
    <row r="20" spans="1:27" x14ac:dyDescent="0.25">
      <c r="A20" s="203" t="s">
        <v>733</v>
      </c>
      <c r="B20" s="200"/>
    </row>
    <row r="22" spans="1:27" x14ac:dyDescent="0.25">
      <c r="B22" s="204"/>
      <c r="C22" s="205">
        <v>1</v>
      </c>
      <c r="D22" s="205">
        <v>2</v>
      </c>
      <c r="E22" s="205">
        <v>3</v>
      </c>
      <c r="F22" s="205">
        <v>4</v>
      </c>
      <c r="G22" s="205">
        <v>5</v>
      </c>
      <c r="H22" s="205">
        <v>6</v>
      </c>
      <c r="I22" s="205">
        <v>7</v>
      </c>
      <c r="J22" s="205">
        <v>8</v>
      </c>
      <c r="K22" s="205">
        <v>9</v>
      </c>
      <c r="L22" s="205">
        <v>10</v>
      </c>
      <c r="M22" s="205">
        <v>11</v>
      </c>
      <c r="N22" s="205">
        <v>12</v>
      </c>
      <c r="O22" s="205">
        <v>13</v>
      </c>
      <c r="P22" s="205">
        <v>14</v>
      </c>
      <c r="Q22" s="205">
        <v>15</v>
      </c>
      <c r="R22" s="205">
        <v>16</v>
      </c>
      <c r="S22" s="205">
        <v>17</v>
      </c>
      <c r="T22" s="205">
        <v>18</v>
      </c>
      <c r="U22" s="205">
        <v>19</v>
      </c>
      <c r="V22" s="205">
        <v>20</v>
      </c>
      <c r="W22" s="205">
        <v>21</v>
      </c>
      <c r="X22" s="205">
        <v>22</v>
      </c>
      <c r="Y22" s="205">
        <v>23</v>
      </c>
      <c r="Z22" s="205">
        <v>24</v>
      </c>
    </row>
    <row r="23" spans="1:27" x14ac:dyDescent="0.25">
      <c r="B23" s="246" t="s">
        <v>21</v>
      </c>
      <c r="C23" s="206">
        <v>2.7080000000000002</v>
      </c>
      <c r="D23" s="207">
        <v>0.434</v>
      </c>
      <c r="E23" s="207">
        <v>0.27300000000000002</v>
      </c>
      <c r="F23" s="207">
        <v>0.61799999999999999</v>
      </c>
      <c r="G23" s="207">
        <v>0.50800000000000001</v>
      </c>
      <c r="H23" s="206">
        <v>0.504</v>
      </c>
      <c r="I23" s="206">
        <v>0.54200000000000004</v>
      </c>
      <c r="J23" s="208">
        <v>0.29099999999999998</v>
      </c>
      <c r="K23" s="208">
        <v>0.28399999999999997</v>
      </c>
      <c r="L23" s="209">
        <v>0.32</v>
      </c>
      <c r="M23" s="208">
        <v>0.34</v>
      </c>
      <c r="N23" s="206">
        <v>0.7</v>
      </c>
      <c r="O23" s="206">
        <v>5.8000000000000003E-2</v>
      </c>
      <c r="P23" s="210">
        <v>5.1999999999999998E-2</v>
      </c>
      <c r="Q23" s="210">
        <v>5.3999999999999999E-2</v>
      </c>
      <c r="R23" s="210">
        <v>5.0999999999999997E-2</v>
      </c>
      <c r="S23" s="210">
        <v>5.1999999999999998E-2</v>
      </c>
      <c r="T23" s="211">
        <v>5.3999999999999999E-2</v>
      </c>
      <c r="U23" s="211">
        <v>5.0999999999999997E-2</v>
      </c>
      <c r="V23" s="210">
        <v>0.66900000000000004</v>
      </c>
      <c r="W23" s="207">
        <v>0.27700000000000002</v>
      </c>
      <c r="X23" s="207">
        <v>0.58499999999999996</v>
      </c>
      <c r="Y23" s="207">
        <v>0.47099999999999997</v>
      </c>
      <c r="Z23" s="212">
        <v>5.5E-2</v>
      </c>
      <c r="AA23" s="213">
        <v>450</v>
      </c>
    </row>
    <row r="24" spans="1:27" x14ac:dyDescent="0.25">
      <c r="B24" s="247"/>
      <c r="C24" s="214">
        <v>5.1999999999999998E-2</v>
      </c>
      <c r="D24" s="215">
        <v>4.3999999999999997E-2</v>
      </c>
      <c r="E24" s="215">
        <v>4.4999999999999998E-2</v>
      </c>
      <c r="F24" s="214">
        <v>4.2999999999999997E-2</v>
      </c>
      <c r="G24" s="214">
        <v>4.2000000000000003E-2</v>
      </c>
      <c r="H24" s="216">
        <v>4.2999999999999997E-2</v>
      </c>
      <c r="I24" s="216">
        <v>4.2999999999999997E-2</v>
      </c>
      <c r="J24" s="214">
        <v>4.2999999999999997E-2</v>
      </c>
      <c r="K24" s="214">
        <v>4.3999999999999997E-2</v>
      </c>
      <c r="L24" s="214">
        <v>4.2999999999999997E-2</v>
      </c>
      <c r="M24" s="214">
        <v>4.2999999999999997E-2</v>
      </c>
      <c r="N24" s="214">
        <v>5.5E-2</v>
      </c>
      <c r="O24" s="214">
        <v>0.05</v>
      </c>
      <c r="P24" s="214">
        <v>4.2999999999999997E-2</v>
      </c>
      <c r="Q24" s="214">
        <v>4.3999999999999997E-2</v>
      </c>
      <c r="R24" s="215">
        <v>4.2999999999999997E-2</v>
      </c>
      <c r="S24" s="215">
        <v>4.3999999999999997E-2</v>
      </c>
      <c r="T24" s="215">
        <v>4.5999999999999999E-2</v>
      </c>
      <c r="U24" s="215">
        <v>4.2000000000000003E-2</v>
      </c>
      <c r="V24" s="217">
        <v>4.2999999999999997E-2</v>
      </c>
      <c r="W24" s="217">
        <v>4.2999999999999997E-2</v>
      </c>
      <c r="X24" s="218">
        <v>4.3999999999999997E-2</v>
      </c>
      <c r="Y24" s="219">
        <v>4.8000000000000001E-2</v>
      </c>
      <c r="Z24" s="219">
        <v>4.2999999999999997E-2</v>
      </c>
      <c r="AA24" s="213">
        <v>650</v>
      </c>
    </row>
    <row r="25" spans="1:27" x14ac:dyDescent="0.25">
      <c r="B25" s="246" t="s">
        <v>22</v>
      </c>
      <c r="C25" s="207">
        <v>1.9159999999999999</v>
      </c>
      <c r="D25" s="207">
        <v>0.39200000000000002</v>
      </c>
      <c r="E25" s="207">
        <v>0.59399999999999997</v>
      </c>
      <c r="F25" s="207">
        <v>0.59099999999999997</v>
      </c>
      <c r="G25" s="208">
        <v>0.44900000000000001</v>
      </c>
      <c r="H25" s="207">
        <v>0.48199999999999998</v>
      </c>
      <c r="I25" s="220">
        <v>0.52600000000000002</v>
      </c>
      <c r="J25" s="208">
        <v>0.27800000000000002</v>
      </c>
      <c r="K25" s="220">
        <v>0.27500000000000002</v>
      </c>
      <c r="L25" s="209">
        <v>0.29799999999999999</v>
      </c>
      <c r="M25" s="208">
        <v>0.32900000000000001</v>
      </c>
      <c r="N25" s="209">
        <v>0.65</v>
      </c>
      <c r="O25" s="210">
        <v>6.5000000000000002E-2</v>
      </c>
      <c r="P25" s="210">
        <v>6.9000000000000006E-2</v>
      </c>
      <c r="Q25" s="210">
        <v>0.05</v>
      </c>
      <c r="R25" s="210">
        <v>6.7000000000000004E-2</v>
      </c>
      <c r="S25" s="210">
        <v>6.9000000000000006E-2</v>
      </c>
      <c r="T25" s="210">
        <v>0.13500000000000001</v>
      </c>
      <c r="U25" s="207">
        <v>5.1999999999999998E-2</v>
      </c>
      <c r="V25" s="207">
        <v>0.64300000000000002</v>
      </c>
      <c r="W25" s="207">
        <v>0.3</v>
      </c>
      <c r="X25" s="207">
        <v>0.54</v>
      </c>
      <c r="Y25" s="207">
        <v>0.69099999999999995</v>
      </c>
      <c r="Z25" s="207">
        <v>6.0999999999999999E-2</v>
      </c>
      <c r="AA25" s="213">
        <v>450</v>
      </c>
    </row>
    <row r="26" spans="1:27" x14ac:dyDescent="0.25">
      <c r="B26" s="247"/>
      <c r="C26" s="221">
        <v>4.2999999999999997E-2</v>
      </c>
      <c r="D26" s="221">
        <v>4.2999999999999997E-2</v>
      </c>
      <c r="E26" s="222">
        <v>4.3999999999999997E-2</v>
      </c>
      <c r="F26" s="222">
        <v>5.1999999999999998E-2</v>
      </c>
      <c r="G26" s="222">
        <v>5.0999999999999997E-2</v>
      </c>
      <c r="H26" s="221">
        <v>4.3999999999999997E-2</v>
      </c>
      <c r="I26" s="221">
        <v>4.3999999999999997E-2</v>
      </c>
      <c r="J26" s="222">
        <v>5.3999999999999999E-2</v>
      </c>
      <c r="K26" s="222">
        <v>4.8000000000000001E-2</v>
      </c>
      <c r="L26" s="221">
        <v>4.3999999999999997E-2</v>
      </c>
      <c r="M26" s="221">
        <v>4.5999999999999999E-2</v>
      </c>
      <c r="N26" s="222">
        <v>4.7E-2</v>
      </c>
      <c r="O26" s="222">
        <v>5.5E-2</v>
      </c>
      <c r="P26" s="222">
        <v>5.8000000000000003E-2</v>
      </c>
      <c r="Q26" s="222">
        <v>4.2999999999999997E-2</v>
      </c>
      <c r="R26" s="223">
        <v>5.5E-2</v>
      </c>
      <c r="S26" s="222">
        <v>5.1999999999999998E-2</v>
      </c>
      <c r="T26" s="222">
        <v>0.108</v>
      </c>
      <c r="U26" s="223">
        <v>4.3999999999999997E-2</v>
      </c>
      <c r="V26" s="223">
        <v>4.4999999999999998E-2</v>
      </c>
      <c r="W26" s="223">
        <v>5.7000000000000002E-2</v>
      </c>
      <c r="X26" s="223">
        <v>4.7E-2</v>
      </c>
      <c r="Y26" s="216">
        <v>4.4999999999999998E-2</v>
      </c>
      <c r="Z26" s="216">
        <v>4.4999999999999998E-2</v>
      </c>
      <c r="AA26" s="213">
        <v>650</v>
      </c>
    </row>
    <row r="27" spans="1:27" x14ac:dyDescent="0.25">
      <c r="B27" s="246" t="s">
        <v>23</v>
      </c>
      <c r="C27" s="212">
        <v>0.77100000000000002</v>
      </c>
      <c r="D27" s="207">
        <v>1.845</v>
      </c>
      <c r="E27" s="224">
        <v>0.55000000000000004</v>
      </c>
      <c r="F27" s="207">
        <v>0.61599999999999999</v>
      </c>
      <c r="G27" s="207">
        <v>0.42799999999999999</v>
      </c>
      <c r="H27" s="212">
        <v>0.47</v>
      </c>
      <c r="I27" s="225">
        <v>0.28199999999999997</v>
      </c>
      <c r="J27" s="208">
        <v>0.28299999999999997</v>
      </c>
      <c r="K27" s="208">
        <v>0.27</v>
      </c>
      <c r="L27" s="226">
        <v>0.316</v>
      </c>
      <c r="M27" s="207">
        <v>0.314</v>
      </c>
      <c r="N27" s="225">
        <v>0.64100000000000001</v>
      </c>
      <c r="O27" s="227">
        <v>6.5000000000000002E-2</v>
      </c>
      <c r="P27" s="210">
        <v>5.0999999999999997E-2</v>
      </c>
      <c r="Q27" s="210">
        <v>5.0999999999999997E-2</v>
      </c>
      <c r="R27" s="207">
        <v>5.3999999999999999E-2</v>
      </c>
      <c r="S27" s="210">
        <v>6.6000000000000003E-2</v>
      </c>
      <c r="T27" s="228">
        <v>5.6000000000000001E-2</v>
      </c>
      <c r="U27" s="227">
        <v>0.05</v>
      </c>
      <c r="V27" s="207">
        <v>0.29499999999999998</v>
      </c>
      <c r="W27" s="207">
        <v>0.49</v>
      </c>
      <c r="X27" s="207">
        <v>0.84099999999999997</v>
      </c>
      <c r="Y27" s="207">
        <v>0.13300000000000001</v>
      </c>
      <c r="Z27" s="229">
        <v>7.6999999999999999E-2</v>
      </c>
      <c r="AA27" s="213">
        <v>450</v>
      </c>
    </row>
    <row r="28" spans="1:27" x14ac:dyDescent="0.25">
      <c r="B28" s="247"/>
      <c r="C28" s="222">
        <v>4.4999999999999998E-2</v>
      </c>
      <c r="D28" s="221">
        <v>4.4999999999999998E-2</v>
      </c>
      <c r="E28" s="221">
        <v>4.3999999999999997E-2</v>
      </c>
      <c r="F28" s="221">
        <v>5.0999999999999997E-2</v>
      </c>
      <c r="G28" s="221">
        <v>4.3999999999999997E-2</v>
      </c>
      <c r="H28" s="221">
        <v>5.0999999999999997E-2</v>
      </c>
      <c r="I28" s="221">
        <v>5.0999999999999997E-2</v>
      </c>
      <c r="J28" s="221">
        <v>6.4000000000000001E-2</v>
      </c>
      <c r="K28" s="221">
        <v>4.3999999999999997E-2</v>
      </c>
      <c r="L28" s="221">
        <v>4.3999999999999997E-2</v>
      </c>
      <c r="M28" s="221">
        <v>4.3999999999999997E-2</v>
      </c>
      <c r="N28" s="221">
        <v>4.3999999999999997E-2</v>
      </c>
      <c r="O28" s="221">
        <v>5.3999999999999999E-2</v>
      </c>
      <c r="P28" s="221">
        <v>4.2999999999999997E-2</v>
      </c>
      <c r="Q28" s="221">
        <v>4.3999999999999997E-2</v>
      </c>
      <c r="R28" s="222">
        <v>4.5999999999999999E-2</v>
      </c>
      <c r="S28" s="222">
        <v>5.5E-2</v>
      </c>
      <c r="T28" s="222">
        <v>4.7E-2</v>
      </c>
      <c r="U28" s="222">
        <v>4.2000000000000003E-2</v>
      </c>
      <c r="V28" s="222">
        <v>4.2999999999999997E-2</v>
      </c>
      <c r="W28" s="222">
        <v>4.4999999999999998E-2</v>
      </c>
      <c r="X28" s="222">
        <v>0.23799999999999999</v>
      </c>
      <c r="Y28" s="223">
        <v>4.3999999999999997E-2</v>
      </c>
      <c r="Z28" s="223">
        <v>4.4999999999999998E-2</v>
      </c>
      <c r="AA28" s="213">
        <v>650</v>
      </c>
    </row>
    <row r="29" spans="1:27" x14ac:dyDescent="0.25">
      <c r="B29" s="246" t="s">
        <v>24</v>
      </c>
      <c r="C29" s="207">
        <v>0.30099999999999999</v>
      </c>
      <c r="D29" s="207">
        <v>1.748</v>
      </c>
      <c r="E29" s="224">
        <v>0.54300000000000004</v>
      </c>
      <c r="F29" s="208">
        <v>0.59099999999999997</v>
      </c>
      <c r="G29" s="207">
        <v>0.49</v>
      </c>
      <c r="H29" s="210">
        <v>0.504</v>
      </c>
      <c r="I29" s="207">
        <v>0.27100000000000002</v>
      </c>
      <c r="J29" s="220">
        <v>0.26800000000000002</v>
      </c>
      <c r="K29" s="208">
        <v>0.27500000000000002</v>
      </c>
      <c r="L29" s="226">
        <v>0.29599999999999999</v>
      </c>
      <c r="M29" s="208">
        <v>0.32400000000000001</v>
      </c>
      <c r="N29" s="207">
        <v>0.60499999999999998</v>
      </c>
      <c r="O29" s="210">
        <v>6.8000000000000005E-2</v>
      </c>
      <c r="P29" s="207">
        <v>5.0999999999999997E-2</v>
      </c>
      <c r="Q29" s="210">
        <v>5.3999999999999999E-2</v>
      </c>
      <c r="R29" s="207">
        <v>5.8999999999999997E-2</v>
      </c>
      <c r="S29" s="207">
        <v>6.8000000000000005E-2</v>
      </c>
      <c r="T29" s="210">
        <v>5.8999999999999997E-2</v>
      </c>
      <c r="U29" s="207">
        <v>5.5E-2</v>
      </c>
      <c r="V29" s="207">
        <v>0.251</v>
      </c>
      <c r="W29" s="207">
        <v>0.27100000000000002</v>
      </c>
      <c r="X29" s="207">
        <v>0.64</v>
      </c>
      <c r="Y29" s="207">
        <v>0.14299999999999999</v>
      </c>
      <c r="Z29" s="207">
        <v>0.14099999999999999</v>
      </c>
      <c r="AA29" s="213">
        <v>450</v>
      </c>
    </row>
    <row r="30" spans="1:27" x14ac:dyDescent="0.25">
      <c r="B30" s="247"/>
      <c r="C30" s="223">
        <v>4.2999999999999997E-2</v>
      </c>
      <c r="D30" s="223">
        <v>4.3999999999999997E-2</v>
      </c>
      <c r="E30" s="223">
        <v>4.5999999999999999E-2</v>
      </c>
      <c r="F30" s="223">
        <v>4.4999999999999998E-2</v>
      </c>
      <c r="G30" s="223">
        <v>4.5999999999999999E-2</v>
      </c>
      <c r="H30" s="223">
        <v>4.8000000000000001E-2</v>
      </c>
      <c r="I30" s="223">
        <v>4.5999999999999999E-2</v>
      </c>
      <c r="J30" s="216">
        <v>5.5E-2</v>
      </c>
      <c r="K30" s="223">
        <v>4.3999999999999997E-2</v>
      </c>
      <c r="L30" s="223">
        <v>4.4999999999999998E-2</v>
      </c>
      <c r="M30" s="223">
        <v>4.5999999999999999E-2</v>
      </c>
      <c r="N30" s="216">
        <v>4.5999999999999999E-2</v>
      </c>
      <c r="O30" s="216">
        <v>5.8000000000000003E-2</v>
      </c>
      <c r="P30" s="223">
        <v>4.4999999999999998E-2</v>
      </c>
      <c r="Q30" s="216">
        <v>4.5999999999999999E-2</v>
      </c>
      <c r="R30" s="216">
        <v>5.2999999999999999E-2</v>
      </c>
      <c r="S30" s="214">
        <v>5.8999999999999997E-2</v>
      </c>
      <c r="T30" s="216">
        <v>5.0999999999999997E-2</v>
      </c>
      <c r="U30" s="216">
        <v>4.7E-2</v>
      </c>
      <c r="V30" s="214">
        <v>4.8000000000000001E-2</v>
      </c>
      <c r="W30" s="214">
        <v>4.9000000000000002E-2</v>
      </c>
      <c r="X30" s="214">
        <v>4.9000000000000002E-2</v>
      </c>
      <c r="Y30" s="215">
        <v>5.3999999999999999E-2</v>
      </c>
      <c r="Z30" s="215">
        <v>5.0999999999999997E-2</v>
      </c>
      <c r="AA30" s="213">
        <v>650</v>
      </c>
    </row>
    <row r="31" spans="1:27" x14ac:dyDescent="0.25">
      <c r="B31" s="246" t="s">
        <v>25</v>
      </c>
      <c r="C31" s="224">
        <v>0.28599999999999998</v>
      </c>
      <c r="D31" s="207">
        <v>0.14499999999999999</v>
      </c>
      <c r="E31" s="226">
        <v>0.55300000000000005</v>
      </c>
      <c r="F31" s="208">
        <v>0.59099999999999997</v>
      </c>
      <c r="G31" s="209">
        <v>0.52100000000000002</v>
      </c>
      <c r="H31" s="224">
        <v>0.53200000000000003</v>
      </c>
      <c r="I31" s="209">
        <v>0.27100000000000002</v>
      </c>
      <c r="J31" s="209">
        <v>0.28299999999999997</v>
      </c>
      <c r="K31" s="220">
        <v>0.31</v>
      </c>
      <c r="L31" s="207">
        <v>0.312</v>
      </c>
      <c r="M31" s="220">
        <v>0.41899999999999998</v>
      </c>
      <c r="N31" s="209">
        <v>0.70299999999999996</v>
      </c>
      <c r="O31" s="209">
        <v>7.8E-2</v>
      </c>
      <c r="P31" s="210">
        <v>0.06</v>
      </c>
      <c r="Q31" s="207">
        <v>5.7000000000000002E-2</v>
      </c>
      <c r="R31" s="207">
        <v>6.4000000000000001E-2</v>
      </c>
      <c r="S31" s="210">
        <v>7.4999999999999997E-2</v>
      </c>
      <c r="T31" s="226">
        <v>6.8000000000000005E-2</v>
      </c>
      <c r="U31" s="209">
        <v>6.3E-2</v>
      </c>
      <c r="V31" s="207">
        <v>0.32500000000000001</v>
      </c>
      <c r="W31" s="207">
        <v>0.49</v>
      </c>
      <c r="X31" s="207">
        <v>0.64700000000000002</v>
      </c>
      <c r="Y31" s="207">
        <v>1.825</v>
      </c>
      <c r="Z31" s="209">
        <v>0.32200000000000001</v>
      </c>
      <c r="AA31" s="213">
        <v>450</v>
      </c>
    </row>
    <row r="32" spans="1:27" x14ac:dyDescent="0.25">
      <c r="B32" s="247"/>
      <c r="C32" s="223">
        <v>0.17</v>
      </c>
      <c r="D32" s="223">
        <v>5.2999999999999999E-2</v>
      </c>
      <c r="E32" s="223">
        <v>4.9000000000000002E-2</v>
      </c>
      <c r="F32" s="223">
        <v>5.3999999999999999E-2</v>
      </c>
      <c r="G32" s="223">
        <v>4.5999999999999999E-2</v>
      </c>
      <c r="H32" s="223">
        <v>5.8000000000000003E-2</v>
      </c>
      <c r="I32" s="223">
        <v>4.8000000000000001E-2</v>
      </c>
      <c r="J32" s="222">
        <v>5.8000000000000003E-2</v>
      </c>
      <c r="K32" s="222">
        <v>4.7E-2</v>
      </c>
      <c r="L32" s="222">
        <v>0.05</v>
      </c>
      <c r="M32" s="221">
        <v>4.7E-2</v>
      </c>
      <c r="N32" s="222">
        <v>5.2999999999999999E-2</v>
      </c>
      <c r="O32" s="222">
        <v>6.6000000000000003E-2</v>
      </c>
      <c r="P32" s="222">
        <v>5.3999999999999999E-2</v>
      </c>
      <c r="Q32" s="222">
        <v>5.0999999999999997E-2</v>
      </c>
      <c r="R32" s="222">
        <v>5.7000000000000002E-2</v>
      </c>
      <c r="S32" s="223">
        <v>6.4000000000000001E-2</v>
      </c>
      <c r="T32" s="223">
        <v>0.06</v>
      </c>
      <c r="U32" s="223">
        <v>5.5E-2</v>
      </c>
      <c r="V32" s="223">
        <v>4.3999999999999997E-2</v>
      </c>
      <c r="W32" s="223">
        <v>4.4999999999999998E-2</v>
      </c>
      <c r="X32" s="223">
        <v>4.4999999999999998E-2</v>
      </c>
      <c r="Y32" s="223">
        <v>4.4999999999999998E-2</v>
      </c>
      <c r="Z32" s="223">
        <v>4.7E-2</v>
      </c>
      <c r="AA32" s="213">
        <v>650</v>
      </c>
    </row>
    <row r="33" spans="2:27" x14ac:dyDescent="0.25">
      <c r="B33" s="246" t="s">
        <v>26</v>
      </c>
      <c r="C33" s="225">
        <v>9.4E-2</v>
      </c>
      <c r="D33" s="207">
        <v>0.14099999999999999</v>
      </c>
      <c r="E33" s="226">
        <v>0.56399999999999995</v>
      </c>
      <c r="F33" s="208">
        <v>0.57199999999999995</v>
      </c>
      <c r="G33" s="220">
        <v>0.45500000000000002</v>
      </c>
      <c r="H33" s="225">
        <v>0.5</v>
      </c>
      <c r="I33" s="212">
        <v>0.29799999999999999</v>
      </c>
      <c r="J33" s="209">
        <v>0.249</v>
      </c>
      <c r="K33" s="220">
        <v>0.316</v>
      </c>
      <c r="L33" s="207">
        <v>0.29699999999999999</v>
      </c>
      <c r="M33" s="220">
        <v>0.317</v>
      </c>
      <c r="N33" s="212">
        <v>0.55500000000000005</v>
      </c>
      <c r="O33" s="229">
        <v>6.7000000000000004E-2</v>
      </c>
      <c r="P33" s="210">
        <v>5.0999999999999997E-2</v>
      </c>
      <c r="Q33" s="207">
        <v>5.1999999999999998E-2</v>
      </c>
      <c r="R33" s="210">
        <v>5.7000000000000002E-2</v>
      </c>
      <c r="S33" s="210">
        <v>6.2E-2</v>
      </c>
      <c r="T33" s="227">
        <v>5.7000000000000002E-2</v>
      </c>
      <c r="U33" s="229">
        <v>0.215</v>
      </c>
      <c r="V33" s="207">
        <v>0.33</v>
      </c>
      <c r="W33" s="207">
        <v>0.496</v>
      </c>
      <c r="X33" s="207">
        <v>0.64700000000000002</v>
      </c>
      <c r="Y33" s="207">
        <v>1.825</v>
      </c>
      <c r="Z33" s="227">
        <v>0.77900000000000003</v>
      </c>
      <c r="AA33" s="213">
        <v>450</v>
      </c>
    </row>
    <row r="34" spans="2:27" x14ac:dyDescent="0.25">
      <c r="B34" s="247"/>
      <c r="C34" s="230">
        <v>5.7000000000000002E-2</v>
      </c>
      <c r="D34" s="221">
        <v>4.8000000000000001E-2</v>
      </c>
      <c r="E34" s="221">
        <v>4.7E-2</v>
      </c>
      <c r="F34" s="221">
        <v>4.8000000000000001E-2</v>
      </c>
      <c r="G34" s="221">
        <v>0.05</v>
      </c>
      <c r="H34" s="221">
        <v>5.0999999999999997E-2</v>
      </c>
      <c r="I34" s="221">
        <v>8.4000000000000005E-2</v>
      </c>
      <c r="J34" s="222">
        <v>5.2999999999999999E-2</v>
      </c>
      <c r="K34" s="222">
        <v>4.8000000000000001E-2</v>
      </c>
      <c r="L34" s="222">
        <v>4.9000000000000002E-2</v>
      </c>
      <c r="M34" s="221">
        <v>4.5999999999999999E-2</v>
      </c>
      <c r="N34" s="222">
        <v>4.7E-2</v>
      </c>
      <c r="O34" s="222">
        <v>5.8000000000000003E-2</v>
      </c>
      <c r="P34" s="222">
        <v>4.5999999999999999E-2</v>
      </c>
      <c r="Q34" s="222">
        <v>4.5999999999999999E-2</v>
      </c>
      <c r="R34" s="222">
        <v>5.0999999999999997E-2</v>
      </c>
      <c r="S34" s="222">
        <v>5.3999999999999999E-2</v>
      </c>
      <c r="T34" s="222">
        <v>5.0999999999999997E-2</v>
      </c>
      <c r="U34" s="222">
        <v>4.7E-2</v>
      </c>
      <c r="V34" s="222">
        <v>4.8000000000000001E-2</v>
      </c>
      <c r="W34" s="223">
        <v>5.1999999999999998E-2</v>
      </c>
      <c r="X34" s="223">
        <v>4.8000000000000001E-2</v>
      </c>
      <c r="Y34" s="223">
        <v>4.8000000000000001E-2</v>
      </c>
      <c r="Z34" s="223">
        <v>4.5999999999999999E-2</v>
      </c>
      <c r="AA34" s="213">
        <v>650</v>
      </c>
    </row>
    <row r="35" spans="2:27" x14ac:dyDescent="0.25">
      <c r="B35" s="246" t="s">
        <v>27</v>
      </c>
      <c r="C35" s="220">
        <v>6.6000000000000003E-2</v>
      </c>
      <c r="D35" s="208">
        <v>0.59799999999999998</v>
      </c>
      <c r="E35" s="210">
        <v>0.56599999999999995</v>
      </c>
      <c r="F35" s="207">
        <v>0.59099999999999997</v>
      </c>
      <c r="G35" s="226">
        <v>0.47499999999999998</v>
      </c>
      <c r="H35" s="220">
        <v>0.53400000000000003</v>
      </c>
      <c r="I35" s="207">
        <v>0.26900000000000002</v>
      </c>
      <c r="J35" s="220">
        <v>0.27100000000000002</v>
      </c>
      <c r="K35" s="220">
        <v>0.25900000000000001</v>
      </c>
      <c r="L35" s="224">
        <v>0.28499999999999998</v>
      </c>
      <c r="M35" s="209">
        <v>0.57999999999999996</v>
      </c>
      <c r="N35" s="207">
        <v>0.626</v>
      </c>
      <c r="O35" s="208">
        <v>9.2999999999999999E-2</v>
      </c>
      <c r="P35" s="210">
        <v>5.1999999999999998E-2</v>
      </c>
      <c r="Q35" s="210">
        <v>5.0999999999999997E-2</v>
      </c>
      <c r="R35" s="210">
        <v>5.1999999999999998E-2</v>
      </c>
      <c r="S35" s="207">
        <v>5.8999999999999997E-2</v>
      </c>
      <c r="T35" s="208">
        <v>5.7000000000000002E-2</v>
      </c>
      <c r="U35" s="208">
        <v>0.53300000000000003</v>
      </c>
      <c r="V35" s="207">
        <v>0.26300000000000001</v>
      </c>
      <c r="W35" s="207">
        <v>0.53700000000000003</v>
      </c>
      <c r="X35" s="207">
        <v>0.66400000000000003</v>
      </c>
      <c r="Y35" s="207">
        <v>0.41599999999999998</v>
      </c>
      <c r="Z35" s="208">
        <v>1.8480000000000001</v>
      </c>
      <c r="AA35" s="213">
        <v>450</v>
      </c>
    </row>
    <row r="36" spans="2:27" x14ac:dyDescent="0.25">
      <c r="B36" s="247"/>
      <c r="C36" s="231">
        <v>4.7E-2</v>
      </c>
      <c r="D36" s="230">
        <v>4.3999999999999997E-2</v>
      </c>
      <c r="E36" s="230">
        <v>4.3999999999999997E-2</v>
      </c>
      <c r="F36" s="230">
        <v>4.7E-2</v>
      </c>
      <c r="G36" s="230">
        <v>4.4999999999999998E-2</v>
      </c>
      <c r="H36" s="230">
        <v>6.4000000000000001E-2</v>
      </c>
      <c r="I36" s="230">
        <v>4.4999999999999998E-2</v>
      </c>
      <c r="J36" s="221">
        <v>0.05</v>
      </c>
      <c r="K36" s="221">
        <v>4.3999999999999997E-2</v>
      </c>
      <c r="L36" s="221">
        <v>5.6000000000000001E-2</v>
      </c>
      <c r="M36" s="221">
        <v>4.3999999999999997E-2</v>
      </c>
      <c r="N36" s="221">
        <v>4.3999999999999997E-2</v>
      </c>
      <c r="O36" s="231">
        <v>7.9000000000000001E-2</v>
      </c>
      <c r="P36" s="230">
        <v>4.4999999999999998E-2</v>
      </c>
      <c r="Q36" s="230">
        <v>4.3999999999999997E-2</v>
      </c>
      <c r="R36" s="230">
        <v>4.5999999999999999E-2</v>
      </c>
      <c r="S36" s="230">
        <v>5.0999999999999997E-2</v>
      </c>
      <c r="T36" s="230">
        <v>4.9000000000000002E-2</v>
      </c>
      <c r="U36" s="230">
        <v>4.7E-2</v>
      </c>
      <c r="V36" s="230">
        <v>4.3999999999999997E-2</v>
      </c>
      <c r="W36" s="230">
        <v>4.5999999999999999E-2</v>
      </c>
      <c r="X36" s="221">
        <v>4.4999999999999998E-2</v>
      </c>
      <c r="Y36" s="221">
        <v>4.4999999999999998E-2</v>
      </c>
      <c r="Z36" s="221">
        <v>4.3999999999999997E-2</v>
      </c>
      <c r="AA36" s="213">
        <v>650</v>
      </c>
    </row>
    <row r="37" spans="2:27" x14ac:dyDescent="0.25">
      <c r="B37" s="246" t="s">
        <v>28</v>
      </c>
      <c r="C37" s="225">
        <v>5.7000000000000002E-2</v>
      </c>
      <c r="D37" s="207">
        <v>0.54600000000000004</v>
      </c>
      <c r="E37" s="210">
        <v>0.57399999999999995</v>
      </c>
      <c r="F37" s="207">
        <v>0.57699999999999996</v>
      </c>
      <c r="G37" s="226">
        <v>0.45900000000000002</v>
      </c>
      <c r="H37" s="225">
        <v>0.49</v>
      </c>
      <c r="I37" s="212">
        <v>0.26</v>
      </c>
      <c r="J37" s="220">
        <v>0.26100000000000001</v>
      </c>
      <c r="K37" s="220">
        <v>0.30499999999999999</v>
      </c>
      <c r="L37" s="224">
        <v>0.30299999999999999</v>
      </c>
      <c r="M37" s="220">
        <v>0.61799999999999999</v>
      </c>
      <c r="N37" s="211">
        <v>0.59399999999999997</v>
      </c>
      <c r="O37" s="227">
        <v>6.6000000000000003E-2</v>
      </c>
      <c r="P37" s="210">
        <v>4.9000000000000002E-2</v>
      </c>
      <c r="Q37" s="210">
        <v>5.2999999999999999E-2</v>
      </c>
      <c r="R37" s="210">
        <v>5.5E-2</v>
      </c>
      <c r="S37" s="207">
        <v>5.3999999999999999E-2</v>
      </c>
      <c r="T37" s="227">
        <v>0.05</v>
      </c>
      <c r="U37" s="227">
        <v>0.60199999999999998</v>
      </c>
      <c r="V37" s="207">
        <v>0.55600000000000005</v>
      </c>
      <c r="W37" s="207">
        <v>0.46100000000000002</v>
      </c>
      <c r="X37" s="207">
        <v>0.622</v>
      </c>
      <c r="Y37" s="207">
        <v>0.433</v>
      </c>
      <c r="Z37" s="227">
        <v>2.718</v>
      </c>
      <c r="AA37" s="213">
        <v>450</v>
      </c>
    </row>
    <row r="38" spans="2:27" x14ac:dyDescent="0.25">
      <c r="B38" s="247"/>
      <c r="C38" s="231">
        <v>4.4999999999999998E-2</v>
      </c>
      <c r="D38" s="231">
        <v>4.3999999999999997E-2</v>
      </c>
      <c r="E38" s="231">
        <v>4.7E-2</v>
      </c>
      <c r="F38" s="231">
        <v>4.8000000000000001E-2</v>
      </c>
      <c r="G38" s="230">
        <v>4.3999999999999997E-2</v>
      </c>
      <c r="H38" s="230">
        <v>4.5999999999999999E-2</v>
      </c>
      <c r="I38" s="230">
        <v>4.4999999999999998E-2</v>
      </c>
      <c r="J38" s="230">
        <v>4.7E-2</v>
      </c>
      <c r="K38" s="230">
        <v>4.2999999999999997E-2</v>
      </c>
      <c r="L38" s="230">
        <v>5.3999999999999999E-2</v>
      </c>
      <c r="M38" s="230">
        <v>4.2999999999999997E-2</v>
      </c>
      <c r="N38" s="221">
        <v>4.3999999999999997E-2</v>
      </c>
      <c r="O38" s="230">
        <v>5.6000000000000001E-2</v>
      </c>
      <c r="P38" s="230">
        <v>4.2000000000000003E-2</v>
      </c>
      <c r="Q38" s="221">
        <v>4.2999999999999997E-2</v>
      </c>
      <c r="R38" s="221">
        <v>4.7E-2</v>
      </c>
      <c r="S38" s="221">
        <v>4.5999999999999999E-2</v>
      </c>
      <c r="T38" s="221">
        <v>4.2999999999999997E-2</v>
      </c>
      <c r="U38" s="221">
        <v>4.2000000000000003E-2</v>
      </c>
      <c r="V38" s="221">
        <v>4.1000000000000002E-2</v>
      </c>
      <c r="W38" s="221">
        <v>4.3999999999999997E-2</v>
      </c>
      <c r="X38" s="221">
        <v>4.2999999999999997E-2</v>
      </c>
      <c r="Y38" s="221">
        <v>4.3999999999999997E-2</v>
      </c>
      <c r="Z38" s="222">
        <v>4.5999999999999999E-2</v>
      </c>
      <c r="AA38" s="213">
        <v>650</v>
      </c>
    </row>
    <row r="39" spans="2:27" x14ac:dyDescent="0.25">
      <c r="B39" s="246" t="s">
        <v>737</v>
      </c>
      <c r="C39" s="207">
        <v>2.6880000000000002</v>
      </c>
      <c r="D39" s="226">
        <v>0.45400000000000001</v>
      </c>
      <c r="E39" s="208">
        <v>0.66800000000000004</v>
      </c>
      <c r="F39" s="208">
        <v>0.51200000000000001</v>
      </c>
      <c r="G39" s="220">
        <v>0.58699999999999997</v>
      </c>
      <c r="H39" s="208">
        <v>0.625</v>
      </c>
      <c r="I39" s="210">
        <v>5.1999999999999998E-2</v>
      </c>
      <c r="J39" s="220">
        <v>6.0999999999999999E-2</v>
      </c>
      <c r="K39" s="207">
        <v>5.1999999999999998E-2</v>
      </c>
      <c r="L39" s="229">
        <v>5.1999999999999998E-2</v>
      </c>
      <c r="M39" s="224">
        <v>5.2999999999999999E-2</v>
      </c>
      <c r="N39" s="210">
        <v>5.0999999999999997E-2</v>
      </c>
      <c r="O39" s="207">
        <v>0.64200000000000002</v>
      </c>
      <c r="P39" s="210">
        <v>0.61</v>
      </c>
      <c r="Q39" s="210">
        <v>0.30099999999999999</v>
      </c>
      <c r="R39" s="210">
        <v>0.30299999999999999</v>
      </c>
      <c r="S39" s="207">
        <v>0.26800000000000002</v>
      </c>
      <c r="T39" s="207">
        <v>0.26400000000000001</v>
      </c>
      <c r="U39" s="207">
        <v>0.49299999999999999</v>
      </c>
      <c r="V39" s="207">
        <v>0.47499999999999998</v>
      </c>
      <c r="W39" s="207">
        <v>0.57799999999999996</v>
      </c>
      <c r="X39" s="210">
        <v>0.622</v>
      </c>
      <c r="Y39" s="207">
        <v>0.55700000000000005</v>
      </c>
      <c r="Z39" s="207">
        <v>5.5E-2</v>
      </c>
      <c r="AA39" s="213">
        <v>450</v>
      </c>
    </row>
    <row r="40" spans="2:27" x14ac:dyDescent="0.25">
      <c r="B40" s="247"/>
      <c r="C40" s="231">
        <v>7.4999999999999997E-2</v>
      </c>
      <c r="D40" s="231">
        <v>5.2999999999999999E-2</v>
      </c>
      <c r="E40" s="231">
        <v>5.8999999999999997E-2</v>
      </c>
      <c r="F40" s="231">
        <v>6.2E-2</v>
      </c>
      <c r="G40" s="231">
        <v>4.4999999999999998E-2</v>
      </c>
      <c r="H40" s="231">
        <v>0.05</v>
      </c>
      <c r="I40" s="231">
        <v>4.2999999999999997E-2</v>
      </c>
      <c r="J40" s="230">
        <v>5.0999999999999997E-2</v>
      </c>
      <c r="K40" s="230">
        <v>4.2000000000000003E-2</v>
      </c>
      <c r="L40" s="230">
        <v>4.3999999999999997E-2</v>
      </c>
      <c r="M40" s="230">
        <v>4.4999999999999998E-2</v>
      </c>
      <c r="N40" s="230">
        <v>4.3999999999999997E-2</v>
      </c>
      <c r="O40" s="230">
        <v>5.5E-2</v>
      </c>
      <c r="P40" s="230">
        <v>0.05</v>
      </c>
      <c r="Q40" s="230">
        <v>4.2999999999999997E-2</v>
      </c>
      <c r="R40" s="230">
        <v>4.4999999999999998E-2</v>
      </c>
      <c r="S40" s="230">
        <v>4.5999999999999999E-2</v>
      </c>
      <c r="T40" s="230">
        <v>4.3999999999999997E-2</v>
      </c>
      <c r="U40" s="230">
        <v>4.2000000000000003E-2</v>
      </c>
      <c r="V40" s="221">
        <v>4.2000000000000003E-2</v>
      </c>
      <c r="W40" s="223">
        <v>4.7E-2</v>
      </c>
      <c r="X40" s="231">
        <v>7.1999999999999995E-2</v>
      </c>
      <c r="Y40" s="231">
        <v>4.2999999999999997E-2</v>
      </c>
      <c r="Z40" s="230">
        <v>4.2999999999999997E-2</v>
      </c>
      <c r="AA40" s="213">
        <v>650</v>
      </c>
    </row>
    <row r="41" spans="2:27" x14ac:dyDescent="0.25">
      <c r="B41" s="246" t="s">
        <v>738</v>
      </c>
      <c r="C41" s="208">
        <v>2.032</v>
      </c>
      <c r="D41" s="226">
        <v>0.41699999999999998</v>
      </c>
      <c r="E41" s="208">
        <v>0.64100000000000001</v>
      </c>
      <c r="F41" s="208">
        <v>0.54</v>
      </c>
      <c r="G41" s="220">
        <v>0.27300000000000002</v>
      </c>
      <c r="H41" s="220">
        <v>0.54400000000000004</v>
      </c>
      <c r="I41" s="210">
        <v>5.2999999999999999E-2</v>
      </c>
      <c r="J41" s="220">
        <v>5.7000000000000002E-2</v>
      </c>
      <c r="K41" s="207">
        <v>5.0999999999999997E-2</v>
      </c>
      <c r="L41" s="224">
        <v>5.0999999999999997E-2</v>
      </c>
      <c r="M41" s="224">
        <v>5.8000000000000003E-2</v>
      </c>
      <c r="N41" s="210">
        <v>5.0999999999999997E-2</v>
      </c>
      <c r="O41" s="207">
        <v>0.65800000000000003</v>
      </c>
      <c r="P41" s="210">
        <v>0.58099999999999996</v>
      </c>
      <c r="Q41" s="210">
        <v>0.28899999999999998</v>
      </c>
      <c r="R41" s="210">
        <v>0.255</v>
      </c>
      <c r="S41" s="207">
        <v>0.26700000000000002</v>
      </c>
      <c r="T41" s="207">
        <v>0.25600000000000001</v>
      </c>
      <c r="U41" s="210">
        <v>0.48</v>
      </c>
      <c r="V41" s="207">
        <v>0.48399999999999999</v>
      </c>
      <c r="W41" s="210">
        <v>0.58399999999999996</v>
      </c>
      <c r="X41" s="207">
        <v>0.56899999999999995</v>
      </c>
      <c r="Y41" s="207">
        <v>0.58099999999999996</v>
      </c>
      <c r="Z41" s="210">
        <v>5.8000000000000003E-2</v>
      </c>
      <c r="AA41" s="213">
        <v>450</v>
      </c>
    </row>
    <row r="42" spans="2:27" x14ac:dyDescent="0.25">
      <c r="B42" s="247"/>
      <c r="C42" s="231">
        <v>0.154</v>
      </c>
      <c r="D42" s="230">
        <v>4.3999999999999997E-2</v>
      </c>
      <c r="E42" s="230">
        <v>4.8000000000000001E-2</v>
      </c>
      <c r="F42" s="230">
        <v>4.2999999999999997E-2</v>
      </c>
      <c r="G42" s="230">
        <v>4.4999999999999998E-2</v>
      </c>
      <c r="H42" s="230">
        <v>4.3999999999999997E-2</v>
      </c>
      <c r="I42" s="230">
        <v>4.2999999999999997E-2</v>
      </c>
      <c r="J42" s="221">
        <v>4.8000000000000001E-2</v>
      </c>
      <c r="K42" s="221">
        <v>4.2999999999999997E-2</v>
      </c>
      <c r="L42" s="221">
        <v>4.2999999999999997E-2</v>
      </c>
      <c r="M42" s="221">
        <v>4.9000000000000002E-2</v>
      </c>
      <c r="N42" s="221">
        <v>4.3999999999999997E-2</v>
      </c>
      <c r="O42" s="222">
        <v>5.6000000000000001E-2</v>
      </c>
      <c r="P42" s="221">
        <v>4.2999999999999997E-2</v>
      </c>
      <c r="Q42" s="221">
        <v>4.3999999999999997E-2</v>
      </c>
      <c r="R42" s="221">
        <v>0.05</v>
      </c>
      <c r="S42" s="222">
        <v>4.7E-2</v>
      </c>
      <c r="T42" s="222">
        <v>4.4999999999999998E-2</v>
      </c>
      <c r="U42" s="223">
        <v>4.2000000000000003E-2</v>
      </c>
      <c r="V42" s="222">
        <v>4.2999999999999997E-2</v>
      </c>
      <c r="W42" s="222">
        <v>4.2999999999999997E-2</v>
      </c>
      <c r="X42" s="222">
        <v>4.3999999999999997E-2</v>
      </c>
      <c r="Y42" s="222">
        <v>4.5999999999999999E-2</v>
      </c>
      <c r="Z42" s="222">
        <v>4.2999999999999997E-2</v>
      </c>
      <c r="AA42" s="213">
        <v>650</v>
      </c>
    </row>
    <row r="43" spans="2:27" x14ac:dyDescent="0.25">
      <c r="B43" s="246" t="s">
        <v>739</v>
      </c>
      <c r="C43" s="207">
        <v>0.81</v>
      </c>
      <c r="D43" s="207">
        <v>1.853</v>
      </c>
      <c r="E43" s="207">
        <v>0.67900000000000005</v>
      </c>
      <c r="F43" s="208">
        <v>0.51</v>
      </c>
      <c r="G43" s="207">
        <v>0.29499999999999998</v>
      </c>
      <c r="H43" s="207">
        <v>0.23200000000000001</v>
      </c>
      <c r="I43" s="210">
        <v>6.5000000000000002E-2</v>
      </c>
      <c r="J43" s="208">
        <v>6.2E-2</v>
      </c>
      <c r="K43" s="208">
        <v>6.7000000000000004E-2</v>
      </c>
      <c r="L43" s="220">
        <v>5.1999999999999998E-2</v>
      </c>
      <c r="M43" s="220">
        <v>5.0999999999999997E-2</v>
      </c>
      <c r="N43" s="210">
        <v>0.05</v>
      </c>
      <c r="O43" s="210">
        <v>0.624</v>
      </c>
      <c r="P43" s="207">
        <v>0.30399999999999999</v>
      </c>
      <c r="Q43" s="210">
        <v>0.30299999999999999</v>
      </c>
      <c r="R43" s="210">
        <v>0.316</v>
      </c>
      <c r="S43" s="210">
        <v>0.248</v>
      </c>
      <c r="T43" s="210">
        <v>0.248</v>
      </c>
      <c r="U43" s="210">
        <v>0.48899999999999999</v>
      </c>
      <c r="V43" s="207">
        <v>0.45400000000000001</v>
      </c>
      <c r="W43" s="210">
        <v>0.56999999999999995</v>
      </c>
      <c r="X43" s="207">
        <v>0.57399999999999995</v>
      </c>
      <c r="Y43" s="207">
        <v>0.13900000000000001</v>
      </c>
      <c r="Z43" s="210">
        <v>9.6000000000000002E-2</v>
      </c>
      <c r="AA43" s="213">
        <v>450</v>
      </c>
    </row>
    <row r="44" spans="2:27" x14ac:dyDescent="0.25">
      <c r="B44" s="247"/>
      <c r="C44" s="230">
        <v>4.9000000000000002E-2</v>
      </c>
      <c r="D44" s="230">
        <v>4.4999999999999998E-2</v>
      </c>
      <c r="E44" s="221">
        <v>4.4999999999999998E-2</v>
      </c>
      <c r="F44" s="223">
        <v>4.8000000000000001E-2</v>
      </c>
      <c r="G44" s="230">
        <v>4.7E-2</v>
      </c>
      <c r="H44" s="230">
        <v>4.4999999999999998E-2</v>
      </c>
      <c r="I44" s="230">
        <v>0.05</v>
      </c>
      <c r="J44" s="221">
        <v>5.0999999999999997E-2</v>
      </c>
      <c r="K44" s="221">
        <v>5.0999999999999997E-2</v>
      </c>
      <c r="L44" s="221">
        <v>4.2999999999999997E-2</v>
      </c>
      <c r="M44" s="221">
        <v>4.2000000000000003E-2</v>
      </c>
      <c r="N44" s="221">
        <v>4.2999999999999997E-2</v>
      </c>
      <c r="O44" s="222">
        <v>5.0999999999999997E-2</v>
      </c>
      <c r="P44" s="221">
        <v>4.2999999999999997E-2</v>
      </c>
      <c r="Q44" s="221">
        <v>4.2999999999999997E-2</v>
      </c>
      <c r="R44" s="221">
        <v>4.7E-2</v>
      </c>
      <c r="S44" s="222">
        <v>4.4999999999999998E-2</v>
      </c>
      <c r="T44" s="221">
        <v>4.3999999999999997E-2</v>
      </c>
      <c r="U44" s="221">
        <v>4.2000000000000003E-2</v>
      </c>
      <c r="V44" s="221">
        <v>4.2999999999999997E-2</v>
      </c>
      <c r="W44" s="222">
        <v>4.2999999999999997E-2</v>
      </c>
      <c r="X44" s="222">
        <v>4.2999999999999997E-2</v>
      </c>
      <c r="Y44" s="222">
        <v>4.2999999999999997E-2</v>
      </c>
      <c r="Z44" s="230">
        <v>5.8999999999999997E-2</v>
      </c>
      <c r="AA44" s="213">
        <v>650</v>
      </c>
    </row>
    <row r="45" spans="2:27" x14ac:dyDescent="0.25">
      <c r="B45" s="246" t="s">
        <v>740</v>
      </c>
      <c r="C45" s="220">
        <v>0.32200000000000001</v>
      </c>
      <c r="D45" s="207">
        <v>1.8069999999999999</v>
      </c>
      <c r="E45" s="207">
        <v>0.64700000000000002</v>
      </c>
      <c r="F45" s="208">
        <v>0.51900000000000002</v>
      </c>
      <c r="G45" s="208">
        <v>0.34799999999999998</v>
      </c>
      <c r="H45" s="220">
        <v>6.2E-2</v>
      </c>
      <c r="I45" s="207">
        <v>5.6000000000000001E-2</v>
      </c>
      <c r="J45" s="220">
        <v>6.0999999999999999E-2</v>
      </c>
      <c r="K45" s="208">
        <v>5.2999999999999999E-2</v>
      </c>
      <c r="L45" s="220">
        <v>5.3999999999999999E-2</v>
      </c>
      <c r="M45" s="220">
        <v>5.8000000000000003E-2</v>
      </c>
      <c r="N45" s="207">
        <v>5.0999999999999997E-2</v>
      </c>
      <c r="O45" s="207">
        <v>0.63600000000000001</v>
      </c>
      <c r="P45" s="207">
        <v>0.313</v>
      </c>
      <c r="Q45" s="207">
        <v>0.31900000000000001</v>
      </c>
      <c r="R45" s="207">
        <v>0.32200000000000001</v>
      </c>
      <c r="S45" s="207">
        <v>0.27800000000000002</v>
      </c>
      <c r="T45" s="207">
        <v>0.26200000000000001</v>
      </c>
      <c r="U45" s="207">
        <v>0.50600000000000001</v>
      </c>
      <c r="V45" s="207">
        <v>0.498</v>
      </c>
      <c r="W45" s="207">
        <v>0.59199999999999997</v>
      </c>
      <c r="X45" s="207">
        <v>0.57399999999999995</v>
      </c>
      <c r="Y45" s="207">
        <v>0.13800000000000001</v>
      </c>
      <c r="Z45" s="207">
        <v>0.13700000000000001</v>
      </c>
      <c r="AA45" s="213">
        <v>450</v>
      </c>
    </row>
    <row r="46" spans="2:27" x14ac:dyDescent="0.25">
      <c r="B46" s="247"/>
      <c r="C46" s="230">
        <v>4.9000000000000002E-2</v>
      </c>
      <c r="D46" s="221">
        <v>4.4999999999999998E-2</v>
      </c>
      <c r="E46" s="222">
        <v>5.2999999999999999E-2</v>
      </c>
      <c r="F46" s="222">
        <v>5.8999999999999997E-2</v>
      </c>
      <c r="G46" s="222">
        <v>5.8000000000000003E-2</v>
      </c>
      <c r="H46" s="223">
        <v>4.8000000000000001E-2</v>
      </c>
      <c r="I46" s="223">
        <v>4.8000000000000001E-2</v>
      </c>
      <c r="J46" s="223">
        <v>5.1999999999999998E-2</v>
      </c>
      <c r="K46" s="223">
        <v>4.5999999999999999E-2</v>
      </c>
      <c r="L46" s="223">
        <v>4.7E-2</v>
      </c>
      <c r="M46" s="223">
        <v>0.05</v>
      </c>
      <c r="N46" s="223">
        <v>4.8000000000000001E-2</v>
      </c>
      <c r="O46" s="216">
        <v>0.06</v>
      </c>
      <c r="P46" s="216">
        <v>4.8000000000000001E-2</v>
      </c>
      <c r="Q46" s="216">
        <v>0.05</v>
      </c>
      <c r="R46" s="223">
        <v>0.06</v>
      </c>
      <c r="S46" s="216">
        <v>5.2999999999999999E-2</v>
      </c>
      <c r="T46" s="223">
        <v>4.5999999999999999E-2</v>
      </c>
      <c r="U46" s="216">
        <v>4.5999999999999999E-2</v>
      </c>
      <c r="V46" s="223">
        <v>4.3999999999999997E-2</v>
      </c>
      <c r="W46" s="223">
        <v>4.5999999999999999E-2</v>
      </c>
      <c r="X46" s="223">
        <v>5.5E-2</v>
      </c>
      <c r="Y46" s="223">
        <v>4.4999999999999998E-2</v>
      </c>
      <c r="Z46" s="223">
        <v>4.5999999999999999E-2</v>
      </c>
      <c r="AA46" s="213">
        <v>650</v>
      </c>
    </row>
    <row r="47" spans="2:27" x14ac:dyDescent="0.25">
      <c r="B47" s="246" t="s">
        <v>741</v>
      </c>
      <c r="C47" s="210">
        <v>0.183</v>
      </c>
      <c r="D47" s="207">
        <v>0.13700000000000001</v>
      </c>
      <c r="E47" s="207">
        <v>0.66100000000000003</v>
      </c>
      <c r="F47" s="207">
        <v>0.30299999999999999</v>
      </c>
      <c r="G47" s="208">
        <v>0.26600000000000001</v>
      </c>
      <c r="H47" s="210">
        <v>6.9000000000000006E-2</v>
      </c>
      <c r="I47" s="210">
        <v>5.8000000000000003E-2</v>
      </c>
      <c r="J47" s="209">
        <v>7.3999999999999996E-2</v>
      </c>
      <c r="K47" s="208">
        <v>5.8000000000000003E-2</v>
      </c>
      <c r="L47" s="208">
        <v>7.0999999999999994E-2</v>
      </c>
      <c r="M47" s="220">
        <v>6.6000000000000003E-2</v>
      </c>
      <c r="N47" s="210">
        <v>6.8000000000000005E-2</v>
      </c>
      <c r="O47" s="210">
        <v>0.60799999999999998</v>
      </c>
      <c r="P47" s="210">
        <v>0.308</v>
      </c>
      <c r="Q47" s="210">
        <v>0.311</v>
      </c>
      <c r="R47" s="210">
        <v>0.28999999999999998</v>
      </c>
      <c r="S47" s="210">
        <v>0.26500000000000001</v>
      </c>
      <c r="T47" s="210">
        <v>0.28199999999999997</v>
      </c>
      <c r="U47" s="210">
        <v>0.51300000000000001</v>
      </c>
      <c r="V47" s="207">
        <v>0.52100000000000002</v>
      </c>
      <c r="W47" s="207">
        <v>0.58399999999999996</v>
      </c>
      <c r="X47" s="210">
        <v>0.56100000000000005</v>
      </c>
      <c r="Y47" s="210">
        <v>1.853</v>
      </c>
      <c r="Z47" s="210">
        <v>0.32100000000000001</v>
      </c>
      <c r="AA47" s="213">
        <v>450</v>
      </c>
    </row>
    <row r="48" spans="2:27" x14ac:dyDescent="0.25">
      <c r="B48" s="247"/>
      <c r="C48" s="230">
        <v>8.6999999999999994E-2</v>
      </c>
      <c r="D48" s="230">
        <v>4.4999999999999998E-2</v>
      </c>
      <c r="E48" s="221">
        <v>4.9000000000000002E-2</v>
      </c>
      <c r="F48" s="221">
        <v>5.5E-2</v>
      </c>
      <c r="G48" s="221">
        <v>4.7E-2</v>
      </c>
      <c r="H48" s="221">
        <v>5.1999999999999998E-2</v>
      </c>
      <c r="I48" s="221">
        <v>4.7E-2</v>
      </c>
      <c r="J48" s="221">
        <v>0.06</v>
      </c>
      <c r="K48" s="221">
        <v>0.05</v>
      </c>
      <c r="L48" s="222">
        <v>4.9000000000000002E-2</v>
      </c>
      <c r="M48" s="222">
        <v>5.6000000000000001E-2</v>
      </c>
      <c r="N48" s="221">
        <v>5.3999999999999999E-2</v>
      </c>
      <c r="O48" s="222">
        <v>5.0999999999999997E-2</v>
      </c>
      <c r="P48" s="222">
        <v>4.5999999999999999E-2</v>
      </c>
      <c r="Q48" s="222">
        <v>0.05</v>
      </c>
      <c r="R48" s="222">
        <v>5.7000000000000002E-2</v>
      </c>
      <c r="S48" s="222">
        <v>4.5999999999999999E-2</v>
      </c>
      <c r="T48" s="222">
        <v>5.3999999999999999E-2</v>
      </c>
      <c r="U48" s="221">
        <v>4.2999999999999997E-2</v>
      </c>
      <c r="V48" s="221">
        <v>4.5999999999999999E-2</v>
      </c>
      <c r="W48" s="222">
        <v>4.3999999999999997E-2</v>
      </c>
      <c r="X48" s="222">
        <v>6.4000000000000001E-2</v>
      </c>
      <c r="Y48" s="221">
        <v>4.2999999999999997E-2</v>
      </c>
      <c r="Z48" s="222">
        <v>4.4999999999999998E-2</v>
      </c>
      <c r="AA48" s="213">
        <v>650</v>
      </c>
    </row>
    <row r="49" spans="2:27" x14ac:dyDescent="0.25">
      <c r="B49" s="246" t="s">
        <v>742</v>
      </c>
      <c r="C49" s="210">
        <v>7.9000000000000001E-2</v>
      </c>
      <c r="D49" s="207">
        <v>0.14099999999999999</v>
      </c>
      <c r="E49" s="207">
        <v>0.65400000000000003</v>
      </c>
      <c r="F49" s="207">
        <v>0.53500000000000003</v>
      </c>
      <c r="G49" s="208">
        <v>0.32600000000000001</v>
      </c>
      <c r="H49" s="207">
        <v>7.2999999999999995E-2</v>
      </c>
      <c r="I49" s="207">
        <v>6.4000000000000001E-2</v>
      </c>
      <c r="J49" s="209">
        <v>6.3E-2</v>
      </c>
      <c r="K49" s="208">
        <v>5.5E-2</v>
      </c>
      <c r="L49" s="208">
        <v>5.5E-2</v>
      </c>
      <c r="M49" s="220">
        <v>5.5E-2</v>
      </c>
      <c r="N49" s="207">
        <v>5.2999999999999999E-2</v>
      </c>
      <c r="O49" s="210">
        <v>0.65800000000000003</v>
      </c>
      <c r="P49" s="207">
        <v>0.314</v>
      </c>
      <c r="Q49" s="207">
        <v>0.33</v>
      </c>
      <c r="R49" s="210">
        <v>0.28599999999999998</v>
      </c>
      <c r="S49" s="210">
        <v>0.28199999999999997</v>
      </c>
      <c r="T49" s="210">
        <v>0.26600000000000001</v>
      </c>
      <c r="U49" s="210">
        <v>0.45400000000000001</v>
      </c>
      <c r="V49" s="207">
        <v>0.45200000000000001</v>
      </c>
      <c r="W49" s="207">
        <v>0.61</v>
      </c>
      <c r="X49" s="210">
        <v>0.54600000000000004</v>
      </c>
      <c r="Y49" s="210">
        <v>1.8580000000000001</v>
      </c>
      <c r="Z49" s="207">
        <v>0.8</v>
      </c>
      <c r="AA49" s="213">
        <v>450</v>
      </c>
    </row>
    <row r="50" spans="2:27" x14ac:dyDescent="0.25">
      <c r="B50" s="247"/>
      <c r="C50" s="231">
        <v>4.3999999999999997E-2</v>
      </c>
      <c r="D50" s="230">
        <v>4.5999999999999999E-2</v>
      </c>
      <c r="E50" s="230">
        <v>4.2999999999999997E-2</v>
      </c>
      <c r="F50" s="230">
        <v>4.8000000000000001E-2</v>
      </c>
      <c r="G50" s="221">
        <v>5.5E-2</v>
      </c>
      <c r="H50" s="222">
        <v>5.5E-2</v>
      </c>
      <c r="I50" s="221">
        <v>0.05</v>
      </c>
      <c r="J50" s="222">
        <v>5.1999999999999998E-2</v>
      </c>
      <c r="K50" s="222">
        <v>4.5999999999999999E-2</v>
      </c>
      <c r="L50" s="222">
        <v>4.7E-2</v>
      </c>
      <c r="M50" s="222">
        <v>4.7E-2</v>
      </c>
      <c r="N50" s="222">
        <v>4.7E-2</v>
      </c>
      <c r="O50" s="222">
        <v>6.2E-2</v>
      </c>
      <c r="P50" s="223">
        <v>4.9000000000000002E-2</v>
      </c>
      <c r="Q50" s="223">
        <v>4.8000000000000001E-2</v>
      </c>
      <c r="R50" s="222">
        <v>6.0999999999999999E-2</v>
      </c>
      <c r="S50" s="223">
        <v>4.7E-2</v>
      </c>
      <c r="T50" s="222">
        <v>4.7E-2</v>
      </c>
      <c r="U50" s="222">
        <v>4.5999999999999999E-2</v>
      </c>
      <c r="V50" s="222">
        <v>4.7E-2</v>
      </c>
      <c r="W50" s="223">
        <v>4.8000000000000001E-2</v>
      </c>
      <c r="X50" s="222">
        <v>4.8000000000000001E-2</v>
      </c>
      <c r="Y50" s="222">
        <v>4.4999999999999998E-2</v>
      </c>
      <c r="Z50" s="222">
        <v>4.8000000000000001E-2</v>
      </c>
      <c r="AA50" s="213">
        <v>650</v>
      </c>
    </row>
    <row r="51" spans="2:27" x14ac:dyDescent="0.25">
      <c r="B51" s="246" t="s">
        <v>743</v>
      </c>
      <c r="C51" s="210">
        <v>6.9000000000000006E-2</v>
      </c>
      <c r="D51" s="207">
        <v>0.66300000000000003</v>
      </c>
      <c r="E51" s="207">
        <v>0.56200000000000006</v>
      </c>
      <c r="F51" s="220">
        <v>0.27900000000000003</v>
      </c>
      <c r="G51" s="208">
        <v>0.69599999999999995</v>
      </c>
      <c r="H51" s="210">
        <v>7.1999999999999995E-2</v>
      </c>
      <c r="I51" s="210">
        <v>7.2999999999999995E-2</v>
      </c>
      <c r="J51" s="220">
        <v>6.9000000000000006E-2</v>
      </c>
      <c r="K51" s="208">
        <v>5.7000000000000002E-2</v>
      </c>
      <c r="L51" s="226">
        <v>0.06</v>
      </c>
      <c r="M51" s="208">
        <v>5.6000000000000001E-2</v>
      </c>
      <c r="N51" s="210">
        <v>5.3999999999999999E-2</v>
      </c>
      <c r="O51" s="210">
        <v>0.69799999999999995</v>
      </c>
      <c r="P51" s="210">
        <v>0.32200000000000001</v>
      </c>
      <c r="Q51" s="210">
        <v>0.307</v>
      </c>
      <c r="R51" s="207">
        <v>0.28100000000000003</v>
      </c>
      <c r="S51" s="210">
        <v>0.26800000000000002</v>
      </c>
      <c r="T51" s="210">
        <v>0.50900000000000001</v>
      </c>
      <c r="U51" s="210">
        <v>0.52200000000000002</v>
      </c>
      <c r="V51" s="210">
        <v>0.503</v>
      </c>
      <c r="W51" s="210">
        <v>0.57699999999999996</v>
      </c>
      <c r="X51" s="207">
        <v>0.57899999999999996</v>
      </c>
      <c r="Y51" s="207">
        <v>0.41599999999999998</v>
      </c>
      <c r="Z51" s="210">
        <v>1.877</v>
      </c>
      <c r="AA51" s="213">
        <v>450</v>
      </c>
    </row>
    <row r="52" spans="2:27" x14ac:dyDescent="0.25">
      <c r="B52" s="247"/>
      <c r="C52" s="231">
        <v>4.8000000000000001E-2</v>
      </c>
      <c r="D52" s="231">
        <v>4.2999999999999997E-2</v>
      </c>
      <c r="E52" s="231">
        <v>4.4999999999999998E-2</v>
      </c>
      <c r="F52" s="223">
        <v>4.2999999999999997E-2</v>
      </c>
      <c r="G52" s="230">
        <v>4.3999999999999997E-2</v>
      </c>
      <c r="H52" s="230">
        <v>5.5E-2</v>
      </c>
      <c r="I52" s="214">
        <v>5.7000000000000002E-2</v>
      </c>
      <c r="J52" s="230">
        <v>5.8999999999999997E-2</v>
      </c>
      <c r="K52" s="230">
        <v>4.7E-2</v>
      </c>
      <c r="L52" s="230">
        <v>4.8000000000000001E-2</v>
      </c>
      <c r="M52" s="230">
        <v>4.5999999999999999E-2</v>
      </c>
      <c r="N52" s="230">
        <v>4.4999999999999998E-2</v>
      </c>
      <c r="O52" s="230">
        <v>5.2999999999999999E-2</v>
      </c>
      <c r="P52" s="230">
        <v>4.4999999999999998E-2</v>
      </c>
      <c r="Q52" s="230">
        <v>4.4999999999999998E-2</v>
      </c>
      <c r="R52" s="230">
        <v>5.6000000000000001E-2</v>
      </c>
      <c r="S52" s="230">
        <v>4.5999999999999999E-2</v>
      </c>
      <c r="T52" s="230">
        <v>4.3999999999999997E-2</v>
      </c>
      <c r="U52" s="221">
        <v>4.8000000000000001E-2</v>
      </c>
      <c r="V52" s="230">
        <v>4.9000000000000002E-2</v>
      </c>
      <c r="W52" s="230">
        <v>4.8000000000000001E-2</v>
      </c>
      <c r="X52" s="230">
        <v>0.05</v>
      </c>
      <c r="Y52" s="231">
        <v>4.7E-2</v>
      </c>
      <c r="Z52" s="231">
        <v>4.2999999999999997E-2</v>
      </c>
      <c r="AA52" s="213">
        <v>650</v>
      </c>
    </row>
    <row r="53" spans="2:27" x14ac:dyDescent="0.25">
      <c r="B53" s="246" t="s">
        <v>744</v>
      </c>
      <c r="C53" s="207">
        <v>7.8E-2</v>
      </c>
      <c r="D53" s="208">
        <v>0.47099999999999997</v>
      </c>
      <c r="E53" s="208">
        <v>0.58799999999999997</v>
      </c>
      <c r="F53" s="220">
        <v>0.27100000000000002</v>
      </c>
      <c r="G53" s="209">
        <v>0.86599999999999999</v>
      </c>
      <c r="H53" s="207">
        <v>5.2999999999999999E-2</v>
      </c>
      <c r="I53" s="208">
        <v>5.5E-2</v>
      </c>
      <c r="J53" s="209">
        <v>7.6999999999999999E-2</v>
      </c>
      <c r="K53" s="208">
        <v>0.06</v>
      </c>
      <c r="L53" s="224">
        <v>5.5E-2</v>
      </c>
      <c r="M53" s="220">
        <v>6.9000000000000006E-2</v>
      </c>
      <c r="N53" s="208">
        <v>6.0999999999999999E-2</v>
      </c>
      <c r="O53" s="210">
        <v>0.76300000000000001</v>
      </c>
      <c r="P53" s="210">
        <v>0.35299999999999998</v>
      </c>
      <c r="Q53" s="210">
        <v>0.35299999999999998</v>
      </c>
      <c r="R53" s="207">
        <v>0.308</v>
      </c>
      <c r="S53" s="210">
        <v>0.307</v>
      </c>
      <c r="T53" s="210">
        <v>0.52500000000000002</v>
      </c>
      <c r="U53" s="207">
        <v>0.57099999999999995</v>
      </c>
      <c r="V53" s="207">
        <v>0.48299999999999998</v>
      </c>
      <c r="W53" s="207">
        <v>0.621</v>
      </c>
      <c r="X53" s="207">
        <v>0.52500000000000002</v>
      </c>
      <c r="Y53" s="207">
        <v>0.436</v>
      </c>
      <c r="Z53" s="210">
        <v>2.726</v>
      </c>
      <c r="AA53" s="213">
        <v>450</v>
      </c>
    </row>
    <row r="54" spans="2:27" x14ac:dyDescent="0.25">
      <c r="B54" s="247"/>
      <c r="C54" s="214">
        <v>6.4000000000000001E-2</v>
      </c>
      <c r="D54" s="222">
        <v>5.5E-2</v>
      </c>
      <c r="E54" s="230">
        <v>7.1999999999999995E-2</v>
      </c>
      <c r="F54" s="223">
        <v>4.3999999999999997E-2</v>
      </c>
      <c r="G54" s="232">
        <v>0.193</v>
      </c>
      <c r="H54" s="217">
        <v>4.5999999999999999E-2</v>
      </c>
      <c r="I54" s="217">
        <v>4.5999999999999999E-2</v>
      </c>
      <c r="J54" s="216">
        <v>6.5000000000000002E-2</v>
      </c>
      <c r="K54" s="216">
        <v>0.05</v>
      </c>
      <c r="L54" s="223">
        <v>4.4999999999999998E-2</v>
      </c>
      <c r="M54" s="214">
        <v>5.3999999999999999E-2</v>
      </c>
      <c r="N54" s="222">
        <v>4.9000000000000002E-2</v>
      </c>
      <c r="O54" s="221">
        <v>7.0000000000000007E-2</v>
      </c>
      <c r="P54" s="223">
        <v>5.8000000000000003E-2</v>
      </c>
      <c r="Q54" s="222">
        <v>5.2999999999999999E-2</v>
      </c>
      <c r="R54" s="223">
        <v>7.0000000000000007E-2</v>
      </c>
      <c r="S54" s="222">
        <v>7.3999999999999996E-2</v>
      </c>
      <c r="T54" s="222">
        <v>7.2999999999999995E-2</v>
      </c>
      <c r="U54" s="215">
        <v>7.0000000000000007E-2</v>
      </c>
      <c r="V54" s="222">
        <v>4.9000000000000002E-2</v>
      </c>
      <c r="W54" s="222">
        <v>6.7000000000000004E-2</v>
      </c>
      <c r="X54" s="222">
        <v>0.28499999999999998</v>
      </c>
      <c r="Y54" s="222">
        <v>4.7E-2</v>
      </c>
      <c r="Z54" s="221">
        <v>4.5999999999999999E-2</v>
      </c>
      <c r="AA54" s="213">
        <v>650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2ECFA-B9ED-4014-8313-40E30B2D45A1}">
  <sheetPr codeName="Sheet19"/>
  <dimension ref="A1:BD139"/>
  <sheetViews>
    <sheetView topLeftCell="Y23" zoomScale="60" zoomScaleNormal="60" workbookViewId="0">
      <selection activeCell="AD28" sqref="AD28:BA43"/>
    </sheetView>
  </sheetViews>
  <sheetFormatPr defaultRowHeight="15" x14ac:dyDescent="0.25"/>
  <cols>
    <col min="1" max="16384" width="9.140625" style="122"/>
  </cols>
  <sheetData>
    <row r="1" spans="1:53" x14ac:dyDescent="0.25">
      <c r="AM1" s="26"/>
      <c r="AN1" s="26"/>
      <c r="AO1" s="26"/>
      <c r="AP1" s="26"/>
      <c r="AQ1" s="26"/>
      <c r="AR1" s="26"/>
      <c r="AS1" s="26"/>
      <c r="AT1" s="26"/>
      <c r="AU1" s="26"/>
      <c r="AV1" s="26"/>
      <c r="AW1" s="26"/>
      <c r="AX1" s="26"/>
      <c r="AY1" s="26"/>
    </row>
    <row r="2" spans="1:53" x14ac:dyDescent="0.25">
      <c r="AD2" s="863" t="s">
        <v>745</v>
      </c>
      <c r="AE2" s="863"/>
      <c r="AF2" s="863"/>
      <c r="AG2" s="863"/>
      <c r="AH2" s="863"/>
      <c r="AM2" s="26"/>
      <c r="AN2" s="26"/>
      <c r="AO2" s="26"/>
      <c r="AP2" s="354"/>
      <c r="AQ2" s="354"/>
      <c r="AR2" s="354"/>
      <c r="AS2" s="354"/>
      <c r="AT2" s="354"/>
      <c r="AU2" s="354"/>
      <c r="AV2" s="354"/>
      <c r="AW2" s="354"/>
      <c r="AX2" s="26"/>
      <c r="AY2" s="26"/>
    </row>
    <row r="3" spans="1:53" x14ac:dyDescent="0.25">
      <c r="AD3" s="361">
        <v>1</v>
      </c>
      <c r="AE3" s="361">
        <v>2</v>
      </c>
      <c r="AF3" s="361">
        <v>3</v>
      </c>
      <c r="AG3" s="361">
        <v>4</v>
      </c>
      <c r="AH3" s="361">
        <v>5</v>
      </c>
      <c r="AI3" s="361">
        <v>6</v>
      </c>
      <c r="AJ3" s="361">
        <v>7</v>
      </c>
      <c r="AK3" s="361">
        <v>8</v>
      </c>
      <c r="AL3" s="361">
        <v>9</v>
      </c>
      <c r="AM3" s="362">
        <v>10</v>
      </c>
      <c r="AN3" s="362">
        <v>11</v>
      </c>
      <c r="AO3" s="362">
        <v>12</v>
      </c>
      <c r="AP3" s="363">
        <v>13</v>
      </c>
      <c r="AQ3" s="363">
        <v>14</v>
      </c>
      <c r="AR3" s="363">
        <v>15</v>
      </c>
      <c r="AS3" s="363">
        <v>16</v>
      </c>
      <c r="AT3" s="363">
        <v>17</v>
      </c>
      <c r="AU3" s="363">
        <v>18</v>
      </c>
      <c r="AV3" s="363">
        <v>19</v>
      </c>
      <c r="AW3" s="363">
        <v>20</v>
      </c>
      <c r="AX3" s="362">
        <v>21</v>
      </c>
      <c r="AY3" s="362">
        <v>22</v>
      </c>
      <c r="AZ3" s="361">
        <v>23</v>
      </c>
      <c r="BA3" s="361">
        <v>24</v>
      </c>
    </row>
    <row r="4" spans="1:53" x14ac:dyDescent="0.25">
      <c r="AC4" s="253">
        <v>1</v>
      </c>
      <c r="AD4" s="352">
        <f t="shared" ref="AD4:BA4" si="0">D28-D29</f>
        <v>2.6560000000000001</v>
      </c>
      <c r="AE4" s="352">
        <f t="shared" si="0"/>
        <v>0.39</v>
      </c>
      <c r="AF4" s="352">
        <f t="shared" si="0"/>
        <v>0.22800000000000004</v>
      </c>
      <c r="AG4" s="352">
        <f t="shared" si="0"/>
        <v>0.57499999999999996</v>
      </c>
      <c r="AH4" s="352">
        <f t="shared" si="0"/>
        <v>0.46600000000000003</v>
      </c>
      <c r="AI4" s="352">
        <f t="shared" si="0"/>
        <v>0.46100000000000002</v>
      </c>
      <c r="AJ4" s="352">
        <f t="shared" si="0"/>
        <v>0.49900000000000005</v>
      </c>
      <c r="AK4" s="352">
        <f t="shared" si="0"/>
        <v>0.248</v>
      </c>
      <c r="AL4" s="352">
        <f t="shared" si="0"/>
        <v>0.24</v>
      </c>
      <c r="AM4" s="352">
        <f t="shared" si="0"/>
        <v>0.27700000000000002</v>
      </c>
      <c r="AN4" s="352">
        <f t="shared" si="0"/>
        <v>0.29700000000000004</v>
      </c>
      <c r="AO4" s="352">
        <f t="shared" si="0"/>
        <v>0.64499999999999991</v>
      </c>
      <c r="AP4" s="347">
        <f t="shared" si="0"/>
        <v>8.0000000000000002E-3</v>
      </c>
      <c r="AQ4" s="347">
        <f t="shared" si="0"/>
        <v>9.0000000000000011E-3</v>
      </c>
      <c r="AR4" s="347">
        <f t="shared" si="0"/>
        <v>1.0000000000000002E-2</v>
      </c>
      <c r="AS4" s="347">
        <f t="shared" si="0"/>
        <v>8.0000000000000002E-3</v>
      </c>
      <c r="AT4" s="347">
        <f t="shared" si="0"/>
        <v>8.0000000000000002E-3</v>
      </c>
      <c r="AU4" s="347">
        <f t="shared" si="0"/>
        <v>8.0000000000000002E-3</v>
      </c>
      <c r="AV4" s="347">
        <f t="shared" si="0"/>
        <v>8.9999999999999941E-3</v>
      </c>
      <c r="AW4" s="347">
        <f t="shared" si="0"/>
        <v>0.626</v>
      </c>
      <c r="AX4" s="347">
        <f t="shared" si="0"/>
        <v>0.23400000000000004</v>
      </c>
      <c r="AY4" s="347">
        <f t="shared" si="0"/>
        <v>0.54099999999999993</v>
      </c>
      <c r="AZ4" s="347">
        <f t="shared" si="0"/>
        <v>0.42299999999999999</v>
      </c>
      <c r="BA4" s="347">
        <f t="shared" si="0"/>
        <v>1.2000000000000004E-2</v>
      </c>
    </row>
    <row r="5" spans="1:53" x14ac:dyDescent="0.25">
      <c r="AC5" s="253">
        <v>2</v>
      </c>
      <c r="AD5" s="352">
        <f t="shared" ref="AD5:BA5" si="1">D30-D31</f>
        <v>1.873</v>
      </c>
      <c r="AE5" s="352">
        <f t="shared" si="1"/>
        <v>0.34900000000000003</v>
      </c>
      <c r="AF5" s="352">
        <f t="shared" si="1"/>
        <v>0.54999999999999993</v>
      </c>
      <c r="AG5" s="352">
        <f t="shared" si="1"/>
        <v>0.53899999999999992</v>
      </c>
      <c r="AH5" s="352">
        <f t="shared" si="1"/>
        <v>0.39800000000000002</v>
      </c>
      <c r="AI5" s="352">
        <f t="shared" si="1"/>
        <v>0.438</v>
      </c>
      <c r="AJ5" s="352">
        <f t="shared" si="1"/>
        <v>0.48200000000000004</v>
      </c>
      <c r="AK5" s="352">
        <f t="shared" si="1"/>
        <v>0.22400000000000003</v>
      </c>
      <c r="AL5" s="352">
        <f t="shared" si="1"/>
        <v>0.22700000000000004</v>
      </c>
      <c r="AM5" s="352">
        <f t="shared" si="1"/>
        <v>0.254</v>
      </c>
      <c r="AN5" s="352">
        <f t="shared" si="1"/>
        <v>0.28300000000000003</v>
      </c>
      <c r="AO5" s="352">
        <f t="shared" si="1"/>
        <v>0.60299999999999998</v>
      </c>
      <c r="AP5" s="347">
        <f t="shared" si="1"/>
        <v>1.0000000000000002E-2</v>
      </c>
      <c r="AQ5" s="347">
        <f t="shared" si="1"/>
        <v>1.1000000000000003E-2</v>
      </c>
      <c r="AR5" s="347">
        <f t="shared" si="1"/>
        <v>7.0000000000000062E-3</v>
      </c>
      <c r="AS5" s="347">
        <f t="shared" si="1"/>
        <v>1.2000000000000004E-2</v>
      </c>
      <c r="AT5" s="347">
        <f t="shared" si="1"/>
        <v>1.7000000000000008E-2</v>
      </c>
      <c r="AU5" s="347">
        <f t="shared" si="1"/>
        <v>2.700000000000001E-2</v>
      </c>
      <c r="AV5" s="347">
        <f t="shared" si="1"/>
        <v>8.0000000000000002E-3</v>
      </c>
      <c r="AW5" s="347">
        <f t="shared" si="1"/>
        <v>0.59799999999999998</v>
      </c>
      <c r="AX5" s="347">
        <f t="shared" si="1"/>
        <v>0.24299999999999999</v>
      </c>
      <c r="AY5" s="347">
        <f t="shared" si="1"/>
        <v>0.49300000000000005</v>
      </c>
      <c r="AZ5" s="347">
        <f t="shared" si="1"/>
        <v>0.64599999999999991</v>
      </c>
      <c r="BA5" s="347">
        <f t="shared" si="1"/>
        <v>1.6E-2</v>
      </c>
    </row>
    <row r="6" spans="1:53" x14ac:dyDescent="0.25">
      <c r="A6" s="233"/>
      <c r="B6" s="233"/>
      <c r="AC6" s="359">
        <v>3</v>
      </c>
      <c r="AD6" s="352">
        <f t="shared" ref="AD6:BA6" si="2">D32-D33</f>
        <v>0.72599999999999998</v>
      </c>
      <c r="AE6" s="352">
        <f t="shared" si="2"/>
        <v>1.8</v>
      </c>
      <c r="AF6" s="352">
        <f t="shared" si="2"/>
        <v>0.50600000000000001</v>
      </c>
      <c r="AG6" s="352">
        <f t="shared" si="2"/>
        <v>0.56499999999999995</v>
      </c>
      <c r="AH6" s="352">
        <f t="shared" si="2"/>
        <v>0.38400000000000001</v>
      </c>
      <c r="AI6" s="352">
        <f t="shared" si="2"/>
        <v>0.41899999999999998</v>
      </c>
      <c r="AJ6" s="352">
        <f t="shared" si="2"/>
        <v>0.23099999999999998</v>
      </c>
      <c r="AK6" s="352">
        <f t="shared" si="2"/>
        <v>0.21899999999999997</v>
      </c>
      <c r="AL6" s="352">
        <f t="shared" si="2"/>
        <v>0.22600000000000003</v>
      </c>
      <c r="AM6" s="352">
        <f t="shared" si="2"/>
        <v>0.27200000000000002</v>
      </c>
      <c r="AN6" s="352">
        <f t="shared" si="2"/>
        <v>0.27</v>
      </c>
      <c r="AO6" s="352">
        <f t="shared" si="2"/>
        <v>0.59699999999999998</v>
      </c>
      <c r="AP6" s="347">
        <f t="shared" si="2"/>
        <v>1.1000000000000003E-2</v>
      </c>
      <c r="AQ6" s="347">
        <f t="shared" si="2"/>
        <v>8.0000000000000002E-3</v>
      </c>
      <c r="AR6" s="347">
        <f t="shared" si="2"/>
        <v>6.9999999999999993E-3</v>
      </c>
      <c r="AS6" s="347">
        <f t="shared" si="2"/>
        <v>8.0000000000000002E-3</v>
      </c>
      <c r="AT6" s="347">
        <f t="shared" si="2"/>
        <v>1.1000000000000003E-2</v>
      </c>
      <c r="AU6" s="347">
        <f t="shared" si="2"/>
        <v>9.0000000000000011E-3</v>
      </c>
      <c r="AV6" s="347">
        <f t="shared" si="2"/>
        <v>8.0000000000000002E-3</v>
      </c>
      <c r="AW6" s="347">
        <f t="shared" si="2"/>
        <v>0.252</v>
      </c>
      <c r="AX6" s="347">
        <f t="shared" si="2"/>
        <v>0.44500000000000001</v>
      </c>
      <c r="AY6" s="347">
        <f t="shared" si="2"/>
        <v>0.60299999999999998</v>
      </c>
      <c r="AZ6" s="347">
        <f t="shared" si="2"/>
        <v>8.900000000000001E-2</v>
      </c>
      <c r="BA6" s="347">
        <f t="shared" si="2"/>
        <v>3.2000000000000001E-2</v>
      </c>
    </row>
    <row r="7" spans="1:53" x14ac:dyDescent="0.25">
      <c r="A7" s="233"/>
      <c r="B7" s="233"/>
      <c r="AC7" s="359">
        <v>4</v>
      </c>
      <c r="AD7" s="352">
        <f t="shared" ref="AD7:BA7" si="3">D34-D35</f>
        <v>0.25800000000000001</v>
      </c>
      <c r="AE7" s="352">
        <f t="shared" si="3"/>
        <v>1.704</v>
      </c>
      <c r="AF7" s="352">
        <f t="shared" si="3"/>
        <v>0.49700000000000005</v>
      </c>
      <c r="AG7" s="352">
        <f t="shared" si="3"/>
        <v>0.54599999999999993</v>
      </c>
      <c r="AH7" s="352">
        <f t="shared" si="3"/>
        <v>0.44400000000000001</v>
      </c>
      <c r="AI7" s="352">
        <f t="shared" si="3"/>
        <v>0.45600000000000002</v>
      </c>
      <c r="AJ7" s="352">
        <f t="shared" si="3"/>
        <v>0.22500000000000003</v>
      </c>
      <c r="AK7" s="352">
        <f t="shared" si="3"/>
        <v>0.21300000000000002</v>
      </c>
      <c r="AL7" s="352">
        <f t="shared" si="3"/>
        <v>0.23100000000000004</v>
      </c>
      <c r="AM7" s="352">
        <f t="shared" si="3"/>
        <v>0.251</v>
      </c>
      <c r="AN7" s="352">
        <f t="shared" si="3"/>
        <v>0.27800000000000002</v>
      </c>
      <c r="AO7" s="352">
        <f t="shared" si="3"/>
        <v>0.55899999999999994</v>
      </c>
      <c r="AP7" s="347">
        <f t="shared" si="3"/>
        <v>1.0000000000000002E-2</v>
      </c>
      <c r="AQ7" s="347">
        <f t="shared" si="3"/>
        <v>5.9999999999999984E-3</v>
      </c>
      <c r="AR7" s="347">
        <f t="shared" si="3"/>
        <v>8.0000000000000002E-3</v>
      </c>
      <c r="AS7" s="347">
        <f t="shared" si="3"/>
        <v>5.9999999999999984E-3</v>
      </c>
      <c r="AT7" s="347">
        <f t="shared" si="3"/>
        <v>9.000000000000008E-3</v>
      </c>
      <c r="AU7" s="347">
        <f t="shared" si="3"/>
        <v>8.0000000000000002E-3</v>
      </c>
      <c r="AV7" s="347">
        <f t="shared" si="3"/>
        <v>8.0000000000000002E-3</v>
      </c>
      <c r="AW7" s="347">
        <f t="shared" si="3"/>
        <v>0.20300000000000001</v>
      </c>
      <c r="AX7" s="347">
        <f t="shared" si="3"/>
        <v>0.22200000000000003</v>
      </c>
      <c r="AY7" s="347">
        <f t="shared" si="3"/>
        <v>0.59099999999999997</v>
      </c>
      <c r="AZ7" s="347">
        <f t="shared" si="3"/>
        <v>8.8999999999999996E-2</v>
      </c>
      <c r="BA7" s="347">
        <f t="shared" si="3"/>
        <v>0.09</v>
      </c>
    </row>
    <row r="8" spans="1:53" x14ac:dyDescent="0.25">
      <c r="A8" s="233"/>
      <c r="B8" s="233"/>
      <c r="AC8" s="234">
        <v>5</v>
      </c>
      <c r="AD8" s="352">
        <f t="shared" ref="AD8:BA8" si="4">D36-D37</f>
        <v>0.11599999999999996</v>
      </c>
      <c r="AE8" s="352">
        <f t="shared" si="4"/>
        <v>9.1999999999999998E-2</v>
      </c>
      <c r="AF8" s="352">
        <f t="shared" si="4"/>
        <v>0.504</v>
      </c>
      <c r="AG8" s="352">
        <f t="shared" si="4"/>
        <v>0.53699999999999992</v>
      </c>
      <c r="AH8" s="352">
        <f t="shared" si="4"/>
        <v>0.47500000000000003</v>
      </c>
      <c r="AI8" s="352">
        <f t="shared" si="4"/>
        <v>0.47400000000000003</v>
      </c>
      <c r="AJ8" s="352">
        <f t="shared" si="4"/>
        <v>0.22300000000000003</v>
      </c>
      <c r="AK8" s="352">
        <f t="shared" si="4"/>
        <v>0.22499999999999998</v>
      </c>
      <c r="AL8" s="352">
        <f t="shared" si="4"/>
        <v>0.26300000000000001</v>
      </c>
      <c r="AM8" s="352">
        <f t="shared" si="4"/>
        <v>0.26200000000000001</v>
      </c>
      <c r="AN8" s="352">
        <f t="shared" si="4"/>
        <v>0.372</v>
      </c>
      <c r="AO8" s="352">
        <f t="shared" si="4"/>
        <v>0.64999999999999991</v>
      </c>
      <c r="AP8" s="347">
        <f t="shared" si="4"/>
        <v>1.1999999999999997E-2</v>
      </c>
      <c r="AQ8" s="347">
        <f t="shared" si="4"/>
        <v>5.9999999999999984E-3</v>
      </c>
      <c r="AR8" s="347">
        <f t="shared" si="4"/>
        <v>6.0000000000000053E-3</v>
      </c>
      <c r="AS8" s="347">
        <f t="shared" si="4"/>
        <v>6.9999999999999993E-3</v>
      </c>
      <c r="AT8" s="347">
        <f t="shared" si="4"/>
        <v>1.0999999999999996E-2</v>
      </c>
      <c r="AU8" s="347">
        <f t="shared" si="4"/>
        <v>8.0000000000000071E-3</v>
      </c>
      <c r="AV8" s="347">
        <f t="shared" si="4"/>
        <v>8.0000000000000002E-3</v>
      </c>
      <c r="AW8" s="347">
        <f t="shared" si="4"/>
        <v>0.28100000000000003</v>
      </c>
      <c r="AX8" s="347">
        <f t="shared" si="4"/>
        <v>0.44500000000000001</v>
      </c>
      <c r="AY8" s="347">
        <f t="shared" si="4"/>
        <v>0.60199999999999998</v>
      </c>
      <c r="AZ8" s="347">
        <f t="shared" si="4"/>
        <v>1.78</v>
      </c>
      <c r="BA8" s="347">
        <f t="shared" si="4"/>
        <v>0.27500000000000002</v>
      </c>
    </row>
    <row r="9" spans="1:53" ht="15" customHeight="1" x14ac:dyDescent="0.25">
      <c r="A9" s="233"/>
      <c r="B9" s="233"/>
      <c r="AC9" s="234">
        <v>6</v>
      </c>
      <c r="AD9" s="352">
        <f t="shared" ref="AD9:BA9" si="5">D38-D39</f>
        <v>3.6999999999999998E-2</v>
      </c>
      <c r="AE9" s="352">
        <f t="shared" si="5"/>
        <v>9.2999999999999985E-2</v>
      </c>
      <c r="AF9" s="352">
        <f t="shared" si="5"/>
        <v>0.5169999999999999</v>
      </c>
      <c r="AG9" s="352">
        <f t="shared" si="5"/>
        <v>0.52399999999999991</v>
      </c>
      <c r="AH9" s="352">
        <f t="shared" si="5"/>
        <v>0.40500000000000003</v>
      </c>
      <c r="AI9" s="352">
        <f t="shared" si="5"/>
        <v>0.44900000000000001</v>
      </c>
      <c r="AJ9" s="352">
        <f t="shared" si="5"/>
        <v>0.21399999999999997</v>
      </c>
      <c r="AK9" s="352">
        <f t="shared" si="5"/>
        <v>0.19600000000000001</v>
      </c>
      <c r="AL9" s="352">
        <f t="shared" si="5"/>
        <v>0.26800000000000002</v>
      </c>
      <c r="AM9" s="352">
        <f t="shared" si="5"/>
        <v>0.248</v>
      </c>
      <c r="AN9" s="352">
        <f t="shared" si="5"/>
        <v>0.27100000000000002</v>
      </c>
      <c r="AO9" s="352">
        <f t="shared" si="5"/>
        <v>0.50800000000000001</v>
      </c>
      <c r="AP9" s="347">
        <f t="shared" si="5"/>
        <v>9.0000000000000011E-3</v>
      </c>
      <c r="AQ9" s="347">
        <f t="shared" si="5"/>
        <v>4.9999999999999975E-3</v>
      </c>
      <c r="AR9" s="347">
        <f t="shared" si="5"/>
        <v>5.9999999999999984E-3</v>
      </c>
      <c r="AS9" s="347">
        <f t="shared" si="5"/>
        <v>6.0000000000000053E-3</v>
      </c>
      <c r="AT9" s="347">
        <f t="shared" si="5"/>
        <v>8.0000000000000002E-3</v>
      </c>
      <c r="AU9" s="347">
        <f t="shared" si="5"/>
        <v>6.0000000000000053E-3</v>
      </c>
      <c r="AV9" s="347">
        <f t="shared" si="5"/>
        <v>0.16799999999999998</v>
      </c>
      <c r="AW9" s="347">
        <f t="shared" si="5"/>
        <v>0.28200000000000003</v>
      </c>
      <c r="AX9" s="347">
        <f t="shared" si="5"/>
        <v>0.44400000000000001</v>
      </c>
      <c r="AY9" s="347">
        <f t="shared" si="5"/>
        <v>0.59899999999999998</v>
      </c>
      <c r="AZ9" s="347">
        <f t="shared" si="5"/>
        <v>1.7769999999999999</v>
      </c>
      <c r="BA9" s="347">
        <f t="shared" si="5"/>
        <v>0.73299999999999998</v>
      </c>
    </row>
    <row r="10" spans="1:53" ht="15" customHeight="1" x14ac:dyDescent="0.25">
      <c r="A10" s="233"/>
      <c r="B10" s="233"/>
      <c r="AC10" s="234">
        <v>7</v>
      </c>
      <c r="AD10" s="352">
        <f t="shared" ref="AD10:BA10" si="6">D40-D41</f>
        <v>1.9000000000000003E-2</v>
      </c>
      <c r="AE10" s="352">
        <f t="shared" si="6"/>
        <v>0.55399999999999994</v>
      </c>
      <c r="AF10" s="352">
        <f t="shared" si="6"/>
        <v>0.52199999999999991</v>
      </c>
      <c r="AG10" s="352">
        <f t="shared" si="6"/>
        <v>0.54399999999999993</v>
      </c>
      <c r="AH10" s="352">
        <f t="shared" si="6"/>
        <v>0.43</v>
      </c>
      <c r="AI10" s="352">
        <f t="shared" si="6"/>
        <v>0.47000000000000003</v>
      </c>
      <c r="AJ10" s="352">
        <f t="shared" si="6"/>
        <v>0.22400000000000003</v>
      </c>
      <c r="AK10" s="352">
        <f t="shared" si="6"/>
        <v>0.22100000000000003</v>
      </c>
      <c r="AL10" s="352">
        <f t="shared" si="6"/>
        <v>0.21500000000000002</v>
      </c>
      <c r="AM10" s="352">
        <f t="shared" si="6"/>
        <v>0.22899999999999998</v>
      </c>
      <c r="AN10" s="352">
        <f t="shared" si="6"/>
        <v>0.53599999999999992</v>
      </c>
      <c r="AO10" s="352">
        <f t="shared" si="6"/>
        <v>0.58199999999999996</v>
      </c>
      <c r="AP10" s="347">
        <f t="shared" si="6"/>
        <v>1.3999999999999999E-2</v>
      </c>
      <c r="AQ10" s="347">
        <f t="shared" si="6"/>
        <v>6.9999999999999993E-3</v>
      </c>
      <c r="AR10" s="347">
        <f t="shared" si="6"/>
        <v>6.9999999999999993E-3</v>
      </c>
      <c r="AS10" s="347">
        <f t="shared" si="6"/>
        <v>5.9999999999999984E-3</v>
      </c>
      <c r="AT10" s="347">
        <f t="shared" si="6"/>
        <v>8.0000000000000002E-3</v>
      </c>
      <c r="AU10" s="347">
        <f t="shared" si="6"/>
        <v>8.0000000000000002E-3</v>
      </c>
      <c r="AV10" s="347">
        <f t="shared" si="6"/>
        <v>0.48600000000000004</v>
      </c>
      <c r="AW10" s="347">
        <f t="shared" si="6"/>
        <v>0.21900000000000003</v>
      </c>
      <c r="AX10" s="347">
        <f t="shared" si="6"/>
        <v>0.49100000000000005</v>
      </c>
      <c r="AY10" s="347">
        <f t="shared" si="6"/>
        <v>0.61899999999999999</v>
      </c>
      <c r="AZ10" s="347">
        <f t="shared" si="6"/>
        <v>0.371</v>
      </c>
      <c r="BA10" s="347">
        <f t="shared" si="6"/>
        <v>1.804</v>
      </c>
    </row>
    <row r="11" spans="1:53" ht="15" customHeight="1" x14ac:dyDescent="0.25">
      <c r="A11" s="233"/>
      <c r="B11" s="233"/>
      <c r="AC11" s="234">
        <v>8</v>
      </c>
      <c r="AD11" s="352">
        <f t="shared" ref="AD11:BA11" si="7">D42-D43</f>
        <v>1.2000000000000004E-2</v>
      </c>
      <c r="AE11" s="352">
        <f t="shared" si="7"/>
        <v>0.502</v>
      </c>
      <c r="AF11" s="352">
        <f t="shared" si="7"/>
        <v>0.52699999999999991</v>
      </c>
      <c r="AG11" s="352">
        <f t="shared" si="7"/>
        <v>0.52899999999999991</v>
      </c>
      <c r="AH11" s="352">
        <f t="shared" si="7"/>
        <v>0.41500000000000004</v>
      </c>
      <c r="AI11" s="352">
        <f t="shared" si="7"/>
        <v>0.44400000000000001</v>
      </c>
      <c r="AJ11" s="352">
        <f t="shared" si="7"/>
        <v>0.21500000000000002</v>
      </c>
      <c r="AK11" s="352">
        <f t="shared" si="7"/>
        <v>0.21400000000000002</v>
      </c>
      <c r="AL11" s="352">
        <f t="shared" si="7"/>
        <v>0.26200000000000001</v>
      </c>
      <c r="AM11" s="352">
        <f t="shared" si="7"/>
        <v>0.249</v>
      </c>
      <c r="AN11" s="352">
        <f t="shared" si="7"/>
        <v>0.57499999999999996</v>
      </c>
      <c r="AO11" s="352">
        <f t="shared" si="7"/>
        <v>0.54999999999999993</v>
      </c>
      <c r="AP11" s="347">
        <f t="shared" si="7"/>
        <v>1.0000000000000002E-2</v>
      </c>
      <c r="AQ11" s="347">
        <f t="shared" si="7"/>
        <v>6.9999999999999993E-3</v>
      </c>
      <c r="AR11" s="347">
        <f t="shared" si="7"/>
        <v>1.0000000000000002E-2</v>
      </c>
      <c r="AS11" s="347">
        <f t="shared" si="7"/>
        <v>8.0000000000000002E-3</v>
      </c>
      <c r="AT11" s="347">
        <f t="shared" si="7"/>
        <v>8.0000000000000002E-3</v>
      </c>
      <c r="AU11" s="347">
        <f t="shared" si="7"/>
        <v>7.0000000000000062E-3</v>
      </c>
      <c r="AV11" s="347">
        <f t="shared" si="7"/>
        <v>0.55999999999999994</v>
      </c>
      <c r="AW11" s="347">
        <f t="shared" si="7"/>
        <v>0.51500000000000001</v>
      </c>
      <c r="AX11" s="347">
        <f t="shared" si="7"/>
        <v>0.41700000000000004</v>
      </c>
      <c r="AY11" s="347">
        <f t="shared" si="7"/>
        <v>0.57899999999999996</v>
      </c>
      <c r="AZ11" s="347">
        <f t="shared" si="7"/>
        <v>0.38900000000000001</v>
      </c>
      <c r="BA11" s="347">
        <f t="shared" si="7"/>
        <v>2.6720000000000002</v>
      </c>
    </row>
    <row r="12" spans="1:53" ht="15" customHeight="1" x14ac:dyDescent="0.25">
      <c r="A12" s="233"/>
      <c r="B12" s="233"/>
      <c r="AC12" s="234">
        <v>9</v>
      </c>
      <c r="AD12" s="347">
        <f t="shared" ref="AD12:BA12" si="8">D44-D45</f>
        <v>2.613</v>
      </c>
      <c r="AE12" s="347">
        <f t="shared" si="8"/>
        <v>0.40100000000000002</v>
      </c>
      <c r="AF12" s="347">
        <f t="shared" si="8"/>
        <v>0.60899999999999999</v>
      </c>
      <c r="AG12" s="347">
        <f t="shared" si="8"/>
        <v>0.45</v>
      </c>
      <c r="AH12" s="347">
        <f t="shared" si="8"/>
        <v>0.54199999999999993</v>
      </c>
      <c r="AI12" s="347">
        <f t="shared" si="8"/>
        <v>0.57499999999999996</v>
      </c>
      <c r="AJ12" s="347">
        <f t="shared" si="8"/>
        <v>9.0000000000000011E-3</v>
      </c>
      <c r="AK12" s="347">
        <f t="shared" si="8"/>
        <v>1.0000000000000002E-2</v>
      </c>
      <c r="AL12" s="347">
        <f t="shared" si="8"/>
        <v>9.999999999999995E-3</v>
      </c>
      <c r="AM12" s="347">
        <f t="shared" si="8"/>
        <v>8.0000000000000002E-3</v>
      </c>
      <c r="AN12" s="347">
        <f t="shared" si="8"/>
        <v>8.0000000000000002E-3</v>
      </c>
      <c r="AO12" s="347">
        <f t="shared" si="8"/>
        <v>6.9999999999999993E-3</v>
      </c>
      <c r="AP12" s="352">
        <f t="shared" si="8"/>
        <v>0.58699999999999997</v>
      </c>
      <c r="AQ12" s="352">
        <f t="shared" si="8"/>
        <v>0.55999999999999994</v>
      </c>
      <c r="AR12" s="352">
        <f t="shared" si="8"/>
        <v>0.25800000000000001</v>
      </c>
      <c r="AS12" s="352">
        <f t="shared" si="8"/>
        <v>0.25800000000000001</v>
      </c>
      <c r="AT12" s="352">
        <f t="shared" si="8"/>
        <v>0.22200000000000003</v>
      </c>
      <c r="AU12" s="352">
        <f t="shared" si="8"/>
        <v>0.22000000000000003</v>
      </c>
      <c r="AV12" s="352">
        <f t="shared" si="8"/>
        <v>0.45100000000000001</v>
      </c>
      <c r="AW12" s="352">
        <f t="shared" si="8"/>
        <v>0.433</v>
      </c>
      <c r="AX12" s="352">
        <f t="shared" si="8"/>
        <v>0.53099999999999992</v>
      </c>
      <c r="AY12" s="352">
        <f t="shared" si="8"/>
        <v>0.55000000000000004</v>
      </c>
      <c r="AZ12" s="352">
        <f t="shared" si="8"/>
        <v>0.51400000000000001</v>
      </c>
      <c r="BA12" s="352">
        <f t="shared" si="8"/>
        <v>1.2000000000000004E-2</v>
      </c>
    </row>
    <row r="13" spans="1:53" x14ac:dyDescent="0.25">
      <c r="A13" s="233"/>
      <c r="B13" s="233"/>
      <c r="AC13" s="234">
        <v>10</v>
      </c>
      <c r="AD13" s="347">
        <f t="shared" ref="AD13:BA13" si="9">D46-D47</f>
        <v>1.8780000000000001</v>
      </c>
      <c r="AE13" s="347">
        <f t="shared" si="9"/>
        <v>0.373</v>
      </c>
      <c r="AF13" s="347">
        <f t="shared" si="9"/>
        <v>0.59299999999999997</v>
      </c>
      <c r="AG13" s="347">
        <f t="shared" si="9"/>
        <v>0.49700000000000005</v>
      </c>
      <c r="AH13" s="347">
        <f t="shared" si="9"/>
        <v>0.22800000000000004</v>
      </c>
      <c r="AI13" s="347">
        <f t="shared" si="9"/>
        <v>0.5</v>
      </c>
      <c r="AJ13" s="347">
        <f t="shared" si="9"/>
        <v>1.0000000000000002E-2</v>
      </c>
      <c r="AK13" s="347">
        <f t="shared" si="9"/>
        <v>9.0000000000000011E-3</v>
      </c>
      <c r="AL13" s="347">
        <f t="shared" si="9"/>
        <v>8.0000000000000002E-3</v>
      </c>
      <c r="AM13" s="347">
        <f t="shared" si="9"/>
        <v>8.0000000000000002E-3</v>
      </c>
      <c r="AN13" s="347">
        <f t="shared" si="9"/>
        <v>9.0000000000000011E-3</v>
      </c>
      <c r="AO13" s="347">
        <f t="shared" si="9"/>
        <v>6.9999999999999993E-3</v>
      </c>
      <c r="AP13" s="352">
        <f t="shared" si="9"/>
        <v>0.60199999999999998</v>
      </c>
      <c r="AQ13" s="352">
        <f t="shared" si="9"/>
        <v>0.53799999999999992</v>
      </c>
      <c r="AR13" s="352">
        <f t="shared" si="9"/>
        <v>0.245</v>
      </c>
      <c r="AS13" s="352">
        <f t="shared" si="9"/>
        <v>0.20500000000000002</v>
      </c>
      <c r="AT13" s="352">
        <f t="shared" si="9"/>
        <v>0.22000000000000003</v>
      </c>
      <c r="AU13" s="352">
        <f t="shared" si="9"/>
        <v>0.21100000000000002</v>
      </c>
      <c r="AV13" s="352">
        <f t="shared" si="9"/>
        <v>0.438</v>
      </c>
      <c r="AW13" s="352">
        <f t="shared" si="9"/>
        <v>0.441</v>
      </c>
      <c r="AX13" s="352">
        <f t="shared" si="9"/>
        <v>0.54099999999999993</v>
      </c>
      <c r="AY13" s="352">
        <f t="shared" si="9"/>
        <v>0.52499999999999991</v>
      </c>
      <c r="AZ13" s="352">
        <f t="shared" si="9"/>
        <v>0.53499999999999992</v>
      </c>
      <c r="BA13" s="352">
        <f t="shared" si="9"/>
        <v>1.5000000000000006E-2</v>
      </c>
    </row>
    <row r="14" spans="1:53" x14ac:dyDescent="0.25">
      <c r="A14" s="233"/>
      <c r="B14" s="233"/>
      <c r="AC14" s="234">
        <v>11</v>
      </c>
      <c r="AD14" s="347">
        <f t="shared" ref="AD14:BA14" si="10">D48-D49</f>
        <v>0.76100000000000001</v>
      </c>
      <c r="AE14" s="347">
        <f t="shared" si="10"/>
        <v>1.8080000000000001</v>
      </c>
      <c r="AF14" s="347">
        <f t="shared" si="10"/>
        <v>0.63400000000000001</v>
      </c>
      <c r="AG14" s="347">
        <f t="shared" si="10"/>
        <v>0.46200000000000002</v>
      </c>
      <c r="AH14" s="347">
        <f t="shared" si="10"/>
        <v>0.248</v>
      </c>
      <c r="AI14" s="347">
        <f t="shared" si="10"/>
        <v>0.187</v>
      </c>
      <c r="AJ14" s="347">
        <f t="shared" si="10"/>
        <v>1.4999999999999999E-2</v>
      </c>
      <c r="AK14" s="347">
        <f t="shared" si="10"/>
        <v>1.1000000000000003E-2</v>
      </c>
      <c r="AL14" s="347">
        <f t="shared" si="10"/>
        <v>1.6000000000000007E-2</v>
      </c>
      <c r="AM14" s="347">
        <f t="shared" si="10"/>
        <v>9.0000000000000011E-3</v>
      </c>
      <c r="AN14" s="347">
        <f t="shared" si="10"/>
        <v>8.9999999999999941E-3</v>
      </c>
      <c r="AO14" s="347">
        <f t="shared" si="10"/>
        <v>7.0000000000000062E-3</v>
      </c>
      <c r="AP14" s="352">
        <f t="shared" si="10"/>
        <v>0.57299999999999995</v>
      </c>
      <c r="AQ14" s="352">
        <f t="shared" si="10"/>
        <v>0.26100000000000001</v>
      </c>
      <c r="AR14" s="352">
        <f t="shared" si="10"/>
        <v>0.26</v>
      </c>
      <c r="AS14" s="352">
        <f t="shared" si="10"/>
        <v>0.26900000000000002</v>
      </c>
      <c r="AT14" s="352">
        <f t="shared" si="10"/>
        <v>0.20300000000000001</v>
      </c>
      <c r="AU14" s="352">
        <f t="shared" si="10"/>
        <v>0.20400000000000001</v>
      </c>
      <c r="AV14" s="352">
        <f t="shared" si="10"/>
        <v>0.44700000000000001</v>
      </c>
      <c r="AW14" s="352">
        <f t="shared" si="10"/>
        <v>0.41100000000000003</v>
      </c>
      <c r="AX14" s="352">
        <f t="shared" si="10"/>
        <v>0.52699999999999991</v>
      </c>
      <c r="AY14" s="352">
        <f t="shared" si="10"/>
        <v>0.53099999999999992</v>
      </c>
      <c r="AZ14" s="352">
        <f t="shared" si="10"/>
        <v>9.6000000000000016E-2</v>
      </c>
      <c r="BA14" s="352">
        <f t="shared" si="10"/>
        <v>3.7000000000000005E-2</v>
      </c>
    </row>
    <row r="15" spans="1:53" x14ac:dyDescent="0.25">
      <c r="A15" s="233"/>
      <c r="B15" s="233"/>
      <c r="AC15" s="234">
        <v>12</v>
      </c>
      <c r="AD15" s="347">
        <f t="shared" ref="AD15:BA15" si="11">D50-D51</f>
        <v>0.27300000000000002</v>
      </c>
      <c r="AE15" s="347">
        <f t="shared" si="11"/>
        <v>1.762</v>
      </c>
      <c r="AF15" s="347">
        <f t="shared" si="11"/>
        <v>0.59399999999999997</v>
      </c>
      <c r="AG15" s="347">
        <f t="shared" si="11"/>
        <v>0.46</v>
      </c>
      <c r="AH15" s="347">
        <f t="shared" si="11"/>
        <v>0.28999999999999998</v>
      </c>
      <c r="AI15" s="347">
        <f t="shared" si="11"/>
        <v>1.3999999999999999E-2</v>
      </c>
      <c r="AJ15" s="347">
        <f t="shared" si="11"/>
        <v>8.0000000000000002E-3</v>
      </c>
      <c r="AK15" s="347">
        <f t="shared" si="11"/>
        <v>9.0000000000000011E-3</v>
      </c>
      <c r="AL15" s="347">
        <f t="shared" si="11"/>
        <v>6.9999999999999993E-3</v>
      </c>
      <c r="AM15" s="347">
        <f t="shared" si="11"/>
        <v>6.9999999999999993E-3</v>
      </c>
      <c r="AN15" s="347">
        <f t="shared" si="11"/>
        <v>8.0000000000000002E-3</v>
      </c>
      <c r="AO15" s="347">
        <f t="shared" si="11"/>
        <v>2.9999999999999957E-3</v>
      </c>
      <c r="AP15" s="352">
        <f t="shared" si="11"/>
        <v>0.57600000000000007</v>
      </c>
      <c r="AQ15" s="352">
        <f t="shared" si="11"/>
        <v>0.26500000000000001</v>
      </c>
      <c r="AR15" s="352">
        <f t="shared" si="11"/>
        <v>0.26900000000000002</v>
      </c>
      <c r="AS15" s="352">
        <f t="shared" si="11"/>
        <v>0.26200000000000001</v>
      </c>
      <c r="AT15" s="352">
        <f t="shared" si="11"/>
        <v>0.22500000000000003</v>
      </c>
      <c r="AU15" s="352">
        <f t="shared" si="11"/>
        <v>0.21600000000000003</v>
      </c>
      <c r="AV15" s="352">
        <f t="shared" si="11"/>
        <v>0.46</v>
      </c>
      <c r="AW15" s="352">
        <f t="shared" si="11"/>
        <v>0.45400000000000001</v>
      </c>
      <c r="AX15" s="352">
        <f t="shared" si="11"/>
        <v>0.54599999999999993</v>
      </c>
      <c r="AY15" s="352">
        <f t="shared" si="11"/>
        <v>0.51899999999999991</v>
      </c>
      <c r="AZ15" s="352">
        <f t="shared" si="11"/>
        <v>9.3000000000000013E-2</v>
      </c>
      <c r="BA15" s="352">
        <f t="shared" si="11"/>
        <v>9.1000000000000011E-2</v>
      </c>
    </row>
    <row r="16" spans="1:53" x14ac:dyDescent="0.25">
      <c r="A16" s="233"/>
      <c r="B16" s="233"/>
      <c r="AC16" s="234">
        <v>13</v>
      </c>
      <c r="AD16" s="347">
        <f t="shared" ref="AD16:BA16" si="12">D52-D53</f>
        <v>9.6000000000000002E-2</v>
      </c>
      <c r="AE16" s="347">
        <f t="shared" si="12"/>
        <v>9.2000000000000012E-2</v>
      </c>
      <c r="AF16" s="347">
        <f t="shared" si="12"/>
        <v>0.61199999999999999</v>
      </c>
      <c r="AG16" s="347">
        <f t="shared" si="12"/>
        <v>0.248</v>
      </c>
      <c r="AH16" s="347">
        <f t="shared" si="12"/>
        <v>0.21900000000000003</v>
      </c>
      <c r="AI16" s="347">
        <f t="shared" si="12"/>
        <v>1.7000000000000008E-2</v>
      </c>
      <c r="AJ16" s="347">
        <f t="shared" si="12"/>
        <v>1.1000000000000003E-2</v>
      </c>
      <c r="AK16" s="347">
        <f t="shared" si="12"/>
        <v>1.3999999999999999E-2</v>
      </c>
      <c r="AL16" s="347">
        <f t="shared" si="12"/>
        <v>8.0000000000000002E-3</v>
      </c>
      <c r="AM16" s="347">
        <f t="shared" si="12"/>
        <v>2.1999999999999992E-2</v>
      </c>
      <c r="AN16" s="347">
        <f t="shared" si="12"/>
        <v>1.0000000000000002E-2</v>
      </c>
      <c r="AO16" s="347">
        <f t="shared" si="12"/>
        <v>1.4000000000000005E-2</v>
      </c>
      <c r="AP16" s="352">
        <f t="shared" si="12"/>
        <v>0.55699999999999994</v>
      </c>
      <c r="AQ16" s="352">
        <f t="shared" si="12"/>
        <v>0.26200000000000001</v>
      </c>
      <c r="AR16" s="352">
        <f t="shared" si="12"/>
        <v>0.26100000000000001</v>
      </c>
      <c r="AS16" s="352">
        <f t="shared" si="12"/>
        <v>0.23299999999999998</v>
      </c>
      <c r="AT16" s="352">
        <f t="shared" si="12"/>
        <v>0.21900000000000003</v>
      </c>
      <c r="AU16" s="352">
        <f t="shared" si="12"/>
        <v>0.22799999999999998</v>
      </c>
      <c r="AV16" s="352">
        <f t="shared" si="12"/>
        <v>0.47000000000000003</v>
      </c>
      <c r="AW16" s="352">
        <f t="shared" si="12"/>
        <v>0.47500000000000003</v>
      </c>
      <c r="AX16" s="352">
        <f t="shared" si="12"/>
        <v>0.53999999999999992</v>
      </c>
      <c r="AY16" s="352">
        <f t="shared" si="12"/>
        <v>0.49700000000000005</v>
      </c>
      <c r="AZ16" s="352">
        <f t="shared" si="12"/>
        <v>1.81</v>
      </c>
      <c r="BA16" s="352">
        <f t="shared" si="12"/>
        <v>0.27600000000000002</v>
      </c>
    </row>
    <row r="17" spans="1:53" x14ac:dyDescent="0.25">
      <c r="A17" s="233"/>
      <c r="B17" s="233"/>
      <c r="AC17" s="234">
        <v>14</v>
      </c>
      <c r="AD17" s="347">
        <f t="shared" ref="AD17:BA17" si="13">D54-D55</f>
        <v>3.5000000000000003E-2</v>
      </c>
      <c r="AE17" s="347">
        <f t="shared" si="13"/>
        <v>9.4999999999999987E-2</v>
      </c>
      <c r="AF17" s="347">
        <f t="shared" si="13"/>
        <v>0.61099999999999999</v>
      </c>
      <c r="AG17" s="347">
        <f t="shared" si="13"/>
        <v>0.48700000000000004</v>
      </c>
      <c r="AH17" s="347">
        <f t="shared" si="13"/>
        <v>0.27100000000000002</v>
      </c>
      <c r="AI17" s="347">
        <f t="shared" si="13"/>
        <v>1.7999999999999995E-2</v>
      </c>
      <c r="AJ17" s="347">
        <f t="shared" si="13"/>
        <v>1.3999999999999999E-2</v>
      </c>
      <c r="AK17" s="347">
        <f t="shared" si="13"/>
        <v>1.1000000000000003E-2</v>
      </c>
      <c r="AL17" s="347">
        <f t="shared" si="13"/>
        <v>9.0000000000000011E-3</v>
      </c>
      <c r="AM17" s="347">
        <f t="shared" si="13"/>
        <v>8.0000000000000002E-3</v>
      </c>
      <c r="AN17" s="347">
        <f t="shared" si="13"/>
        <v>8.0000000000000002E-3</v>
      </c>
      <c r="AO17" s="347">
        <f t="shared" si="13"/>
        <v>5.9999999999999984E-3</v>
      </c>
      <c r="AP17" s="352">
        <f t="shared" si="13"/>
        <v>0.59600000000000009</v>
      </c>
      <c r="AQ17" s="352">
        <f t="shared" si="13"/>
        <v>0.26500000000000001</v>
      </c>
      <c r="AR17" s="352">
        <f t="shared" si="13"/>
        <v>0.28200000000000003</v>
      </c>
      <c r="AS17" s="352">
        <f t="shared" si="13"/>
        <v>0.22499999999999998</v>
      </c>
      <c r="AT17" s="352">
        <f t="shared" si="13"/>
        <v>0.23499999999999999</v>
      </c>
      <c r="AU17" s="352">
        <f t="shared" si="13"/>
        <v>0.21900000000000003</v>
      </c>
      <c r="AV17" s="352">
        <f t="shared" si="13"/>
        <v>0.40800000000000003</v>
      </c>
      <c r="AW17" s="352">
        <f t="shared" si="13"/>
        <v>0.40500000000000003</v>
      </c>
      <c r="AX17" s="352">
        <f t="shared" si="13"/>
        <v>0.56199999999999994</v>
      </c>
      <c r="AY17" s="352">
        <f t="shared" si="13"/>
        <v>0.49800000000000005</v>
      </c>
      <c r="AZ17" s="352">
        <f t="shared" si="13"/>
        <v>1.8130000000000002</v>
      </c>
      <c r="BA17" s="352">
        <f t="shared" si="13"/>
        <v>0.752</v>
      </c>
    </row>
    <row r="18" spans="1:53" x14ac:dyDescent="0.25">
      <c r="A18" s="233"/>
      <c r="B18" s="233"/>
      <c r="AC18" s="234">
        <v>15</v>
      </c>
      <c r="AD18" s="347">
        <f t="shared" ref="AD18:BA18" si="14">D56-D57</f>
        <v>2.1000000000000005E-2</v>
      </c>
      <c r="AE18" s="347">
        <f t="shared" si="14"/>
        <v>0.62</v>
      </c>
      <c r="AF18" s="347">
        <f t="shared" si="14"/>
        <v>0.51700000000000002</v>
      </c>
      <c r="AG18" s="347">
        <f t="shared" si="14"/>
        <v>0.23600000000000004</v>
      </c>
      <c r="AH18" s="347">
        <f t="shared" si="14"/>
        <v>0.65199999999999991</v>
      </c>
      <c r="AI18" s="347">
        <f t="shared" si="14"/>
        <v>1.6999999999999994E-2</v>
      </c>
      <c r="AJ18" s="347">
        <f t="shared" si="14"/>
        <v>1.5999999999999993E-2</v>
      </c>
      <c r="AK18" s="347">
        <f t="shared" si="14"/>
        <v>1.0000000000000009E-2</v>
      </c>
      <c r="AL18" s="347">
        <f t="shared" si="14"/>
        <v>1.0000000000000002E-2</v>
      </c>
      <c r="AM18" s="347">
        <f t="shared" si="14"/>
        <v>1.1999999999999997E-2</v>
      </c>
      <c r="AN18" s="347">
        <f t="shared" si="14"/>
        <v>1.0000000000000002E-2</v>
      </c>
      <c r="AO18" s="347">
        <f t="shared" si="14"/>
        <v>9.0000000000000011E-3</v>
      </c>
      <c r="AP18" s="352">
        <f t="shared" si="14"/>
        <v>0.64499999999999991</v>
      </c>
      <c r="AQ18" s="352">
        <f t="shared" si="14"/>
        <v>0.27700000000000002</v>
      </c>
      <c r="AR18" s="352">
        <f t="shared" si="14"/>
        <v>0.26200000000000001</v>
      </c>
      <c r="AS18" s="352">
        <f t="shared" si="14"/>
        <v>0.22500000000000003</v>
      </c>
      <c r="AT18" s="352">
        <f t="shared" si="14"/>
        <v>0.22200000000000003</v>
      </c>
      <c r="AU18" s="352">
        <f t="shared" si="14"/>
        <v>0.46500000000000002</v>
      </c>
      <c r="AV18" s="352">
        <f t="shared" si="14"/>
        <v>0.47400000000000003</v>
      </c>
      <c r="AW18" s="352">
        <f t="shared" si="14"/>
        <v>0.45400000000000001</v>
      </c>
      <c r="AX18" s="352">
        <f t="shared" si="14"/>
        <v>0.52899999999999991</v>
      </c>
      <c r="AY18" s="352">
        <f t="shared" si="14"/>
        <v>0.52899999999999991</v>
      </c>
      <c r="AZ18" s="352">
        <f t="shared" si="14"/>
        <v>0.36899999999999999</v>
      </c>
      <c r="BA18" s="352">
        <f t="shared" si="14"/>
        <v>1.8340000000000001</v>
      </c>
    </row>
    <row r="19" spans="1:53" x14ac:dyDescent="0.25">
      <c r="A19" s="233"/>
      <c r="B19" s="233"/>
      <c r="AC19" s="234">
        <v>16</v>
      </c>
      <c r="AD19" s="347">
        <f t="shared" ref="AD19:BA19" si="15">D58-D59</f>
        <v>1.3999999999999999E-2</v>
      </c>
      <c r="AE19" s="347">
        <f t="shared" si="15"/>
        <v>0.41599999999999998</v>
      </c>
      <c r="AF19" s="347">
        <f t="shared" si="15"/>
        <v>0.51600000000000001</v>
      </c>
      <c r="AG19" s="347">
        <f t="shared" si="15"/>
        <v>0.22700000000000004</v>
      </c>
      <c r="AH19" s="347">
        <f t="shared" si="15"/>
        <v>0.67300000000000004</v>
      </c>
      <c r="AI19" s="347">
        <f t="shared" si="15"/>
        <v>6.9999999999999993E-3</v>
      </c>
      <c r="AJ19" s="347">
        <f t="shared" si="15"/>
        <v>9.0000000000000011E-3</v>
      </c>
      <c r="AK19" s="347">
        <f t="shared" si="15"/>
        <v>1.1999999999999997E-2</v>
      </c>
      <c r="AL19" s="347">
        <f t="shared" si="15"/>
        <v>9.999999999999995E-3</v>
      </c>
      <c r="AM19" s="347">
        <f t="shared" si="15"/>
        <v>1.0000000000000002E-2</v>
      </c>
      <c r="AN19" s="347">
        <f t="shared" si="15"/>
        <v>1.5000000000000006E-2</v>
      </c>
      <c r="AO19" s="347">
        <f t="shared" si="15"/>
        <v>1.1999999999999997E-2</v>
      </c>
      <c r="AP19" s="352">
        <f t="shared" si="15"/>
        <v>0.69300000000000006</v>
      </c>
      <c r="AQ19" s="352">
        <f t="shared" si="15"/>
        <v>0.29499999999999998</v>
      </c>
      <c r="AR19" s="352">
        <f t="shared" si="15"/>
        <v>0.3</v>
      </c>
      <c r="AS19" s="352">
        <f t="shared" si="15"/>
        <v>0.23799999999999999</v>
      </c>
      <c r="AT19" s="352">
        <f t="shared" si="15"/>
        <v>0.23299999999999998</v>
      </c>
      <c r="AU19" s="352">
        <f t="shared" si="15"/>
        <v>0.45200000000000001</v>
      </c>
      <c r="AV19" s="352">
        <f t="shared" si="15"/>
        <v>0.50099999999999989</v>
      </c>
      <c r="AW19" s="352">
        <f t="shared" si="15"/>
        <v>0.434</v>
      </c>
      <c r="AX19" s="352">
        <f t="shared" si="15"/>
        <v>0.55400000000000005</v>
      </c>
      <c r="AY19" s="352">
        <f t="shared" si="15"/>
        <v>0.24000000000000005</v>
      </c>
      <c r="AZ19" s="352">
        <f t="shared" si="15"/>
        <v>0.38900000000000001</v>
      </c>
      <c r="BA19" s="352">
        <f t="shared" si="15"/>
        <v>2.68</v>
      </c>
    </row>
    <row r="20" spans="1:53" x14ac:dyDescent="0.25">
      <c r="A20" s="233"/>
      <c r="B20" s="233"/>
      <c r="AC20" s="234"/>
      <c r="AD20" s="234"/>
      <c r="AE20" s="234"/>
      <c r="AF20" s="234"/>
      <c r="AG20" s="234"/>
      <c r="AH20" s="234"/>
      <c r="AI20" s="234"/>
      <c r="AJ20" s="234"/>
      <c r="AK20" s="234"/>
      <c r="AL20" s="234"/>
      <c r="AM20" s="234"/>
      <c r="AN20" s="234"/>
      <c r="AO20" s="234"/>
      <c r="AP20" s="234"/>
      <c r="AQ20" s="234"/>
      <c r="AR20" s="234"/>
      <c r="AS20" s="234"/>
      <c r="AT20" s="234"/>
      <c r="AU20" s="234"/>
      <c r="AV20" s="234"/>
      <c r="AW20" s="234"/>
      <c r="AX20" s="234"/>
      <c r="AY20" s="234"/>
      <c r="AZ20" s="234"/>
      <c r="BA20" s="234"/>
    </row>
    <row r="21" spans="1:53" x14ac:dyDescent="0.25">
      <c r="A21" s="233"/>
      <c r="B21" s="233"/>
      <c r="AC21" s="234"/>
      <c r="AD21" s="234"/>
      <c r="AE21" s="234"/>
      <c r="AF21" s="234"/>
      <c r="AG21" s="234"/>
      <c r="AH21" s="234"/>
      <c r="AI21" s="234"/>
      <c r="AJ21" s="234"/>
      <c r="AK21" s="234"/>
      <c r="AL21" s="234"/>
      <c r="AM21" s="234"/>
      <c r="AN21" s="234"/>
      <c r="AO21" s="234"/>
      <c r="AP21" s="234"/>
      <c r="AQ21" s="234"/>
      <c r="AR21" s="234"/>
      <c r="AS21" s="234"/>
      <c r="AT21" s="234"/>
      <c r="AU21" s="234"/>
      <c r="AV21" s="234"/>
      <c r="AW21" s="234"/>
      <c r="AX21" s="234"/>
      <c r="AY21" s="234"/>
      <c r="AZ21" s="234"/>
      <c r="BA21" s="234"/>
    </row>
    <row r="22" spans="1:53" x14ac:dyDescent="0.25">
      <c r="A22" s="233"/>
      <c r="B22" s="233"/>
      <c r="AC22" s="234"/>
      <c r="AD22" s="234"/>
      <c r="AE22" s="234"/>
      <c r="AF22" s="234"/>
      <c r="AG22" s="234"/>
      <c r="AH22" s="234"/>
      <c r="AI22" s="234"/>
      <c r="AJ22" s="234"/>
      <c r="AK22" s="234"/>
      <c r="AL22" s="234"/>
      <c r="AM22" s="234"/>
      <c r="AN22" s="234"/>
      <c r="AO22" s="234"/>
      <c r="AP22" s="234"/>
      <c r="AQ22" s="234"/>
      <c r="AR22" s="234"/>
      <c r="AS22" s="234"/>
      <c r="AT22" s="234"/>
      <c r="AU22" s="234"/>
      <c r="AV22" s="234"/>
      <c r="AW22" s="234"/>
      <c r="AX22" s="234"/>
      <c r="AY22" s="234"/>
      <c r="AZ22" s="234"/>
      <c r="BA22" s="234"/>
    </row>
    <row r="23" spans="1:53" x14ac:dyDescent="0.25">
      <c r="A23" s="233"/>
      <c r="B23" s="233"/>
      <c r="AC23" s="234"/>
      <c r="AD23" s="234"/>
      <c r="AE23" s="234"/>
      <c r="AF23" s="234"/>
      <c r="AG23" s="234"/>
      <c r="AH23" s="234"/>
      <c r="AI23" s="234"/>
      <c r="AJ23" s="234"/>
      <c r="AK23" s="234"/>
      <c r="AL23" s="234"/>
      <c r="AM23" s="234"/>
      <c r="AN23" s="234"/>
      <c r="AO23" s="234"/>
      <c r="AP23" s="234"/>
      <c r="AQ23" s="234"/>
      <c r="AR23" s="234"/>
      <c r="AS23" s="234"/>
      <c r="AT23" s="234"/>
      <c r="AU23" s="234"/>
      <c r="AV23" s="234"/>
      <c r="AW23" s="234"/>
      <c r="AX23" s="234"/>
      <c r="AY23" s="234"/>
      <c r="AZ23" s="234"/>
      <c r="BA23" s="234"/>
    </row>
    <row r="24" spans="1:53" x14ac:dyDescent="0.25">
      <c r="AC24" s="234"/>
      <c r="AD24" s="234"/>
      <c r="AE24" s="234"/>
      <c r="AF24" s="234"/>
      <c r="AG24" s="234"/>
      <c r="AH24" s="234"/>
      <c r="AI24" s="234"/>
      <c r="AJ24" s="234"/>
      <c r="AK24" s="234"/>
      <c r="AL24" s="234"/>
      <c r="AM24" s="234"/>
      <c r="AN24" s="234"/>
      <c r="AO24" s="234"/>
      <c r="AP24" s="234"/>
      <c r="AQ24" s="234"/>
      <c r="AR24" s="234"/>
      <c r="AS24" s="234"/>
      <c r="AT24" s="234"/>
      <c r="AU24" s="234"/>
      <c r="AV24" s="234"/>
      <c r="AW24" s="234"/>
      <c r="AX24" s="234"/>
      <c r="AY24" s="234"/>
      <c r="AZ24" s="234"/>
      <c r="BA24" s="234"/>
    </row>
    <row r="25" spans="1:53" x14ac:dyDescent="0.25">
      <c r="AC25" s="353"/>
      <c r="AD25" s="353"/>
      <c r="AE25" s="353"/>
      <c r="AF25" s="353"/>
      <c r="AG25" s="353"/>
      <c r="AH25" s="353"/>
      <c r="AI25" s="353"/>
      <c r="AJ25" s="353"/>
      <c r="AK25" s="353"/>
      <c r="AL25" s="353"/>
      <c r="AM25" s="353"/>
      <c r="AN25" s="353"/>
      <c r="AO25" s="353"/>
      <c r="AP25" s="353"/>
      <c r="AQ25" s="353"/>
      <c r="AR25" s="353"/>
      <c r="AS25" s="353"/>
      <c r="AT25" s="353"/>
      <c r="AU25" s="353"/>
      <c r="AV25" s="353"/>
      <c r="AW25" s="353"/>
      <c r="AX25" s="353"/>
      <c r="AY25" s="353"/>
      <c r="AZ25" s="353"/>
      <c r="BA25" s="353"/>
    </row>
    <row r="26" spans="1:53" x14ac:dyDescent="0.25">
      <c r="AC26" s="235"/>
      <c r="AD26" s="863" t="s">
        <v>996</v>
      </c>
      <c r="AE26" s="863"/>
      <c r="AF26" s="863"/>
      <c r="AG26" s="863"/>
      <c r="AH26" s="863"/>
      <c r="AI26" s="235"/>
      <c r="AJ26" s="235"/>
      <c r="AK26" s="235"/>
      <c r="AL26" s="235"/>
      <c r="AM26" s="235"/>
      <c r="AN26" s="235"/>
      <c r="AO26" s="235"/>
      <c r="AP26" s="235"/>
      <c r="AQ26" s="235"/>
      <c r="AR26" s="235"/>
      <c r="AS26" s="235"/>
      <c r="AT26" s="235"/>
      <c r="AU26" s="235"/>
      <c r="AV26" s="235"/>
      <c r="AW26" s="235"/>
      <c r="AX26" s="235"/>
      <c r="AY26" s="235"/>
      <c r="AZ26" s="235"/>
      <c r="BA26" s="235"/>
    </row>
    <row r="27" spans="1:53" x14ac:dyDescent="0.25">
      <c r="D27" s="235">
        <v>1</v>
      </c>
      <c r="E27" s="235">
        <v>2</v>
      </c>
      <c r="F27" s="235">
        <v>3</v>
      </c>
      <c r="G27" s="235">
        <v>4</v>
      </c>
      <c r="H27" s="235">
        <v>5</v>
      </c>
      <c r="I27" s="235">
        <v>6</v>
      </c>
      <c r="J27" s="235">
        <v>7</v>
      </c>
      <c r="K27" s="235">
        <v>8</v>
      </c>
      <c r="L27" s="235">
        <v>9</v>
      </c>
      <c r="M27" s="235">
        <v>10</v>
      </c>
      <c r="N27" s="235">
        <v>11</v>
      </c>
      <c r="O27" s="235">
        <v>12</v>
      </c>
      <c r="P27" s="235">
        <v>13</v>
      </c>
      <c r="Q27" s="235">
        <v>14</v>
      </c>
      <c r="R27" s="235">
        <v>15</v>
      </c>
      <c r="S27" s="235">
        <v>16</v>
      </c>
      <c r="T27" s="235">
        <v>17</v>
      </c>
      <c r="U27" s="235">
        <v>18</v>
      </c>
      <c r="V27" s="235">
        <v>19</v>
      </c>
      <c r="W27" s="235">
        <v>20</v>
      </c>
      <c r="X27" s="235">
        <v>21</v>
      </c>
      <c r="Y27" s="235">
        <v>22</v>
      </c>
      <c r="Z27" s="235">
        <v>23</v>
      </c>
      <c r="AA27" s="235">
        <v>24</v>
      </c>
      <c r="AB27" s="235"/>
      <c r="AC27" s="235"/>
      <c r="AD27" s="235">
        <v>1</v>
      </c>
      <c r="AE27" s="235">
        <v>2</v>
      </c>
      <c r="AF27" s="235">
        <v>3</v>
      </c>
      <c r="AG27" s="235">
        <v>4</v>
      </c>
      <c r="AH27" s="235">
        <v>5</v>
      </c>
      <c r="AI27" s="235">
        <v>6</v>
      </c>
      <c r="AJ27" s="235">
        <v>7</v>
      </c>
      <c r="AK27" s="235">
        <v>8</v>
      </c>
      <c r="AL27" s="235">
        <v>9</v>
      </c>
      <c r="AM27" s="235">
        <v>10</v>
      </c>
      <c r="AN27" s="235">
        <v>11</v>
      </c>
      <c r="AO27" s="235">
        <v>12</v>
      </c>
      <c r="AP27" s="235">
        <v>13</v>
      </c>
      <c r="AQ27" s="235">
        <v>14</v>
      </c>
      <c r="AR27" s="235">
        <v>15</v>
      </c>
      <c r="AS27" s="235">
        <v>16</v>
      </c>
      <c r="AT27" s="235">
        <v>17</v>
      </c>
      <c r="AU27" s="235">
        <v>18</v>
      </c>
      <c r="AV27" s="235">
        <v>19</v>
      </c>
      <c r="AW27" s="235">
        <v>20</v>
      </c>
      <c r="AX27" s="235">
        <v>21</v>
      </c>
      <c r="AY27" s="235">
        <v>22</v>
      </c>
      <c r="AZ27" s="235">
        <v>23</v>
      </c>
      <c r="BA27" s="235">
        <v>24</v>
      </c>
    </row>
    <row r="28" spans="1:53" x14ac:dyDescent="0.25">
      <c r="A28" s="236"/>
      <c r="B28" s="237">
        <v>450</v>
      </c>
      <c r="C28" s="238">
        <v>1</v>
      </c>
      <c r="D28" s="206">
        <v>2.7080000000000002</v>
      </c>
      <c r="E28" s="207">
        <v>0.434</v>
      </c>
      <c r="F28" s="207">
        <v>0.27300000000000002</v>
      </c>
      <c r="G28" s="207">
        <v>0.61799999999999999</v>
      </c>
      <c r="H28" s="207">
        <v>0.50800000000000001</v>
      </c>
      <c r="I28" s="206">
        <v>0.504</v>
      </c>
      <c r="J28" s="206">
        <v>0.54200000000000004</v>
      </c>
      <c r="K28" s="208">
        <v>0.29099999999999998</v>
      </c>
      <c r="L28" s="208">
        <v>0.28399999999999997</v>
      </c>
      <c r="M28" s="209">
        <v>0.32</v>
      </c>
      <c r="N28" s="208">
        <v>0.34</v>
      </c>
      <c r="O28" s="206">
        <v>0.7</v>
      </c>
      <c r="P28" s="206">
        <v>5.8000000000000003E-2</v>
      </c>
      <c r="Q28" s="210">
        <v>5.1999999999999998E-2</v>
      </c>
      <c r="R28" s="210">
        <v>5.3999999999999999E-2</v>
      </c>
      <c r="S28" s="210">
        <v>5.0999999999999997E-2</v>
      </c>
      <c r="T28" s="210">
        <v>5.1999999999999998E-2</v>
      </c>
      <c r="U28" s="211">
        <v>5.3999999999999999E-2</v>
      </c>
      <c r="V28" s="211">
        <v>5.0999999999999997E-2</v>
      </c>
      <c r="W28" s="210">
        <v>0.66900000000000004</v>
      </c>
      <c r="X28" s="207">
        <v>0.27700000000000002</v>
      </c>
      <c r="Y28" s="207">
        <v>0.58499999999999996</v>
      </c>
      <c r="Z28" s="207">
        <v>0.47099999999999997</v>
      </c>
      <c r="AA28" s="212">
        <v>5.5E-2</v>
      </c>
      <c r="AB28" s="239"/>
      <c r="AC28" s="358">
        <v>1</v>
      </c>
      <c r="AD28" s="352">
        <v>2.6560000000000001</v>
      </c>
      <c r="AE28" s="352">
        <v>0.39</v>
      </c>
      <c r="AF28" s="352">
        <v>0.22800000000000004</v>
      </c>
      <c r="AG28" s="352">
        <v>0.57499999999999996</v>
      </c>
      <c r="AH28" s="352">
        <v>0.46600000000000003</v>
      </c>
      <c r="AI28" s="352">
        <v>0.46100000000000002</v>
      </c>
      <c r="AJ28" s="352">
        <v>0.49900000000000005</v>
      </c>
      <c r="AK28" s="352">
        <v>0.248</v>
      </c>
      <c r="AL28" s="352">
        <v>0.24</v>
      </c>
      <c r="AM28" s="352">
        <v>0.27700000000000002</v>
      </c>
      <c r="AN28" s="352">
        <v>0.29700000000000004</v>
      </c>
      <c r="AO28" s="352">
        <v>0.64499999999999991</v>
      </c>
      <c r="AP28" s="347">
        <v>8.0000000000000002E-3</v>
      </c>
      <c r="AQ28" s="347">
        <v>9.0000000000000011E-3</v>
      </c>
      <c r="AR28" s="347">
        <v>1.0000000000000002E-2</v>
      </c>
      <c r="AS28" s="347">
        <v>8.0000000000000002E-3</v>
      </c>
      <c r="AT28" s="347">
        <v>8.0000000000000002E-3</v>
      </c>
      <c r="AU28" s="347">
        <v>8.0000000000000002E-3</v>
      </c>
      <c r="AV28" s="347">
        <v>8.9999999999999941E-3</v>
      </c>
      <c r="AW28" s="347">
        <v>0.626</v>
      </c>
      <c r="AX28" s="347">
        <v>0.23400000000000004</v>
      </c>
      <c r="AY28" s="347">
        <v>0.54099999999999993</v>
      </c>
      <c r="AZ28" s="347">
        <v>0.42299999999999999</v>
      </c>
      <c r="BA28" s="347">
        <v>1.2000000000000004E-2</v>
      </c>
    </row>
    <row r="29" spans="1:53" x14ac:dyDescent="0.25">
      <c r="A29" s="236"/>
      <c r="B29" s="237">
        <v>630</v>
      </c>
      <c r="C29" s="238">
        <v>1</v>
      </c>
      <c r="D29" s="214">
        <v>5.1999999999999998E-2</v>
      </c>
      <c r="E29" s="215">
        <v>4.3999999999999997E-2</v>
      </c>
      <c r="F29" s="215">
        <v>4.4999999999999998E-2</v>
      </c>
      <c r="G29" s="214">
        <v>4.2999999999999997E-2</v>
      </c>
      <c r="H29" s="214">
        <v>4.2000000000000003E-2</v>
      </c>
      <c r="I29" s="216">
        <v>4.2999999999999997E-2</v>
      </c>
      <c r="J29" s="216">
        <v>4.2999999999999997E-2</v>
      </c>
      <c r="K29" s="214">
        <v>4.2999999999999997E-2</v>
      </c>
      <c r="L29" s="214">
        <v>4.3999999999999997E-2</v>
      </c>
      <c r="M29" s="214">
        <v>4.2999999999999997E-2</v>
      </c>
      <c r="N29" s="214">
        <v>4.2999999999999997E-2</v>
      </c>
      <c r="O29" s="214">
        <v>5.5E-2</v>
      </c>
      <c r="P29" s="214">
        <v>0.05</v>
      </c>
      <c r="Q29" s="214">
        <v>4.2999999999999997E-2</v>
      </c>
      <c r="R29" s="214">
        <v>4.3999999999999997E-2</v>
      </c>
      <c r="S29" s="215">
        <v>4.2999999999999997E-2</v>
      </c>
      <c r="T29" s="215">
        <v>4.3999999999999997E-2</v>
      </c>
      <c r="U29" s="215">
        <v>4.5999999999999999E-2</v>
      </c>
      <c r="V29" s="215">
        <v>4.2000000000000003E-2</v>
      </c>
      <c r="W29" s="217">
        <v>4.2999999999999997E-2</v>
      </c>
      <c r="X29" s="217">
        <v>4.2999999999999997E-2</v>
      </c>
      <c r="Y29" s="218">
        <v>4.3999999999999997E-2</v>
      </c>
      <c r="Z29" s="219">
        <v>4.8000000000000001E-2</v>
      </c>
      <c r="AA29" s="219">
        <v>4.2999999999999997E-2</v>
      </c>
      <c r="AB29" s="239"/>
      <c r="AC29" s="358">
        <v>2</v>
      </c>
      <c r="AD29" s="352">
        <v>1.873</v>
      </c>
      <c r="AE29" s="352">
        <v>0.34900000000000003</v>
      </c>
      <c r="AF29" s="352">
        <v>0.54999999999999993</v>
      </c>
      <c r="AG29" s="352">
        <v>0.53899999999999992</v>
      </c>
      <c r="AH29" s="352">
        <v>0.39800000000000002</v>
      </c>
      <c r="AI29" s="352">
        <v>0.438</v>
      </c>
      <c r="AJ29" s="352">
        <v>0.48200000000000004</v>
      </c>
      <c r="AK29" s="352">
        <v>0.22400000000000003</v>
      </c>
      <c r="AL29" s="352">
        <v>0.22700000000000004</v>
      </c>
      <c r="AM29" s="352">
        <v>0.254</v>
      </c>
      <c r="AN29" s="352">
        <v>0.28300000000000003</v>
      </c>
      <c r="AO29" s="352">
        <v>0.60299999999999998</v>
      </c>
      <c r="AP29" s="347">
        <v>1.0000000000000002E-2</v>
      </c>
      <c r="AQ29" s="347">
        <v>1.1000000000000003E-2</v>
      </c>
      <c r="AR29" s="347">
        <v>7.0000000000000062E-3</v>
      </c>
      <c r="AS29" s="347">
        <v>1.2000000000000004E-2</v>
      </c>
      <c r="AT29" s="347">
        <v>1.7000000000000008E-2</v>
      </c>
      <c r="AU29" s="347">
        <v>2.700000000000001E-2</v>
      </c>
      <c r="AV29" s="347">
        <v>8.0000000000000002E-3</v>
      </c>
      <c r="AW29" s="347">
        <v>0.59799999999999998</v>
      </c>
      <c r="AX29" s="347">
        <v>0.24299999999999999</v>
      </c>
      <c r="AY29" s="347">
        <v>0.49300000000000005</v>
      </c>
      <c r="AZ29" s="347">
        <v>0.64599999999999991</v>
      </c>
      <c r="BA29" s="347">
        <v>1.6E-2</v>
      </c>
    </row>
    <row r="30" spans="1:53" x14ac:dyDescent="0.25">
      <c r="A30" s="239"/>
      <c r="B30" s="239"/>
      <c r="C30" s="238">
        <v>2</v>
      </c>
      <c r="D30" s="207">
        <v>1.9159999999999999</v>
      </c>
      <c r="E30" s="207">
        <v>0.39200000000000002</v>
      </c>
      <c r="F30" s="207">
        <v>0.59399999999999997</v>
      </c>
      <c r="G30" s="207">
        <v>0.59099999999999997</v>
      </c>
      <c r="H30" s="208">
        <v>0.44900000000000001</v>
      </c>
      <c r="I30" s="207">
        <v>0.48199999999999998</v>
      </c>
      <c r="J30" s="220">
        <v>0.52600000000000002</v>
      </c>
      <c r="K30" s="208">
        <v>0.27800000000000002</v>
      </c>
      <c r="L30" s="220">
        <v>0.27500000000000002</v>
      </c>
      <c r="M30" s="209">
        <v>0.29799999999999999</v>
      </c>
      <c r="N30" s="208">
        <v>0.32900000000000001</v>
      </c>
      <c r="O30" s="209">
        <v>0.65</v>
      </c>
      <c r="P30" s="210">
        <v>6.5000000000000002E-2</v>
      </c>
      <c r="Q30" s="210">
        <v>6.9000000000000006E-2</v>
      </c>
      <c r="R30" s="210">
        <v>0.05</v>
      </c>
      <c r="S30" s="210">
        <v>6.7000000000000004E-2</v>
      </c>
      <c r="T30" s="210">
        <v>6.9000000000000006E-2</v>
      </c>
      <c r="U30" s="210">
        <v>0.13500000000000001</v>
      </c>
      <c r="V30" s="207">
        <v>5.1999999999999998E-2</v>
      </c>
      <c r="W30" s="207">
        <v>0.64300000000000002</v>
      </c>
      <c r="X30" s="207">
        <v>0.3</v>
      </c>
      <c r="Y30" s="207">
        <v>0.54</v>
      </c>
      <c r="Z30" s="207">
        <v>0.69099999999999995</v>
      </c>
      <c r="AA30" s="207">
        <v>6.0999999999999999E-2</v>
      </c>
      <c r="AB30" s="239"/>
      <c r="AC30" s="358">
        <v>3</v>
      </c>
      <c r="AD30" s="352">
        <v>0.72599999999999998</v>
      </c>
      <c r="AE30" s="352">
        <v>1.8</v>
      </c>
      <c r="AF30" s="352">
        <v>0.50600000000000001</v>
      </c>
      <c r="AG30" s="352">
        <v>0.56499999999999995</v>
      </c>
      <c r="AH30" s="352">
        <v>0.38400000000000001</v>
      </c>
      <c r="AI30" s="352">
        <v>0.41899999999999998</v>
      </c>
      <c r="AJ30" s="352">
        <v>0.23099999999999998</v>
      </c>
      <c r="AK30" s="352">
        <v>0.21899999999999997</v>
      </c>
      <c r="AL30" s="352">
        <v>0.22600000000000003</v>
      </c>
      <c r="AM30" s="352">
        <v>0.27200000000000002</v>
      </c>
      <c r="AN30" s="352">
        <v>0.27</v>
      </c>
      <c r="AO30" s="352">
        <v>0.59699999999999998</v>
      </c>
      <c r="AP30" s="347">
        <v>1.1000000000000003E-2</v>
      </c>
      <c r="AQ30" s="347">
        <v>8.0000000000000002E-3</v>
      </c>
      <c r="AR30" s="347">
        <v>6.9999999999999993E-3</v>
      </c>
      <c r="AS30" s="347">
        <v>8.0000000000000002E-3</v>
      </c>
      <c r="AT30" s="347">
        <v>1.1000000000000003E-2</v>
      </c>
      <c r="AU30" s="347">
        <v>9.0000000000000011E-3</v>
      </c>
      <c r="AV30" s="347">
        <v>8.0000000000000002E-3</v>
      </c>
      <c r="AW30" s="347">
        <v>0.252</v>
      </c>
      <c r="AX30" s="347">
        <v>0.44500000000000001</v>
      </c>
      <c r="AY30" s="347">
        <v>0.60299999999999998</v>
      </c>
      <c r="AZ30" s="347">
        <v>8.900000000000001E-2</v>
      </c>
      <c r="BA30" s="347">
        <v>3.2000000000000001E-2</v>
      </c>
    </row>
    <row r="31" spans="1:53" x14ac:dyDescent="0.25">
      <c r="A31" s="239"/>
      <c r="B31" s="239"/>
      <c r="C31" s="238">
        <v>2</v>
      </c>
      <c r="D31" s="221">
        <v>4.2999999999999997E-2</v>
      </c>
      <c r="E31" s="221">
        <v>4.2999999999999997E-2</v>
      </c>
      <c r="F31" s="222">
        <v>4.3999999999999997E-2</v>
      </c>
      <c r="G31" s="222">
        <v>5.1999999999999998E-2</v>
      </c>
      <c r="H31" s="222">
        <v>5.0999999999999997E-2</v>
      </c>
      <c r="I31" s="221">
        <v>4.3999999999999997E-2</v>
      </c>
      <c r="J31" s="221">
        <v>4.3999999999999997E-2</v>
      </c>
      <c r="K31" s="222">
        <v>5.3999999999999999E-2</v>
      </c>
      <c r="L31" s="222">
        <v>4.8000000000000001E-2</v>
      </c>
      <c r="M31" s="221">
        <v>4.3999999999999997E-2</v>
      </c>
      <c r="N31" s="221">
        <v>4.5999999999999999E-2</v>
      </c>
      <c r="O31" s="222">
        <v>4.7E-2</v>
      </c>
      <c r="P31" s="222">
        <v>5.5E-2</v>
      </c>
      <c r="Q31" s="222">
        <v>5.8000000000000003E-2</v>
      </c>
      <c r="R31" s="222">
        <v>4.2999999999999997E-2</v>
      </c>
      <c r="S31" s="223">
        <v>5.5E-2</v>
      </c>
      <c r="T31" s="222">
        <v>5.1999999999999998E-2</v>
      </c>
      <c r="U31" s="222">
        <v>0.108</v>
      </c>
      <c r="V31" s="223">
        <v>4.3999999999999997E-2</v>
      </c>
      <c r="W31" s="223">
        <v>4.4999999999999998E-2</v>
      </c>
      <c r="X31" s="223">
        <v>5.7000000000000002E-2</v>
      </c>
      <c r="Y31" s="223">
        <v>4.7E-2</v>
      </c>
      <c r="Z31" s="216">
        <v>4.4999999999999998E-2</v>
      </c>
      <c r="AA31" s="216">
        <v>4.4999999999999998E-2</v>
      </c>
      <c r="AB31" s="239"/>
      <c r="AC31" s="358">
        <v>4</v>
      </c>
      <c r="AD31" s="352">
        <v>0.25800000000000001</v>
      </c>
      <c r="AE31" s="352">
        <v>1.704</v>
      </c>
      <c r="AF31" s="352">
        <v>0.49700000000000005</v>
      </c>
      <c r="AG31" s="352">
        <v>0.54599999999999993</v>
      </c>
      <c r="AH31" s="352">
        <v>0.44400000000000001</v>
      </c>
      <c r="AI31" s="352">
        <v>0.45600000000000002</v>
      </c>
      <c r="AJ31" s="352">
        <v>0.22500000000000003</v>
      </c>
      <c r="AK31" s="352">
        <v>0.21300000000000002</v>
      </c>
      <c r="AL31" s="352">
        <v>0.23100000000000004</v>
      </c>
      <c r="AM31" s="352">
        <v>0.251</v>
      </c>
      <c r="AN31" s="352">
        <v>0.27800000000000002</v>
      </c>
      <c r="AO31" s="352">
        <v>0.55899999999999994</v>
      </c>
      <c r="AP31" s="347">
        <v>1.0000000000000002E-2</v>
      </c>
      <c r="AQ31" s="347">
        <v>5.9999999999999984E-3</v>
      </c>
      <c r="AR31" s="347">
        <v>8.0000000000000002E-3</v>
      </c>
      <c r="AS31" s="347">
        <v>5.9999999999999984E-3</v>
      </c>
      <c r="AT31" s="347">
        <v>9.000000000000008E-3</v>
      </c>
      <c r="AU31" s="347">
        <v>8.0000000000000002E-3</v>
      </c>
      <c r="AV31" s="347">
        <v>8.0000000000000002E-3</v>
      </c>
      <c r="AW31" s="347">
        <v>0.20300000000000001</v>
      </c>
      <c r="AX31" s="347">
        <v>0.22200000000000003</v>
      </c>
      <c r="AY31" s="347">
        <v>0.59099999999999997</v>
      </c>
      <c r="AZ31" s="347">
        <v>8.8999999999999996E-2</v>
      </c>
      <c r="BA31" s="347">
        <v>0.09</v>
      </c>
    </row>
    <row r="32" spans="1:53" x14ac:dyDescent="0.25">
      <c r="A32" s="239"/>
      <c r="B32" s="239"/>
      <c r="C32" s="238">
        <v>3</v>
      </c>
      <c r="D32" s="212">
        <v>0.77100000000000002</v>
      </c>
      <c r="E32" s="207">
        <v>1.845</v>
      </c>
      <c r="F32" s="224">
        <v>0.55000000000000004</v>
      </c>
      <c r="G32" s="207">
        <v>0.61599999999999999</v>
      </c>
      <c r="H32" s="207">
        <v>0.42799999999999999</v>
      </c>
      <c r="I32" s="212">
        <v>0.47</v>
      </c>
      <c r="J32" s="225">
        <v>0.28199999999999997</v>
      </c>
      <c r="K32" s="208">
        <v>0.28299999999999997</v>
      </c>
      <c r="L32" s="208">
        <v>0.27</v>
      </c>
      <c r="M32" s="226">
        <v>0.316</v>
      </c>
      <c r="N32" s="207">
        <v>0.314</v>
      </c>
      <c r="O32" s="225">
        <v>0.64100000000000001</v>
      </c>
      <c r="P32" s="227">
        <v>6.5000000000000002E-2</v>
      </c>
      <c r="Q32" s="210">
        <v>5.0999999999999997E-2</v>
      </c>
      <c r="R32" s="210">
        <v>5.0999999999999997E-2</v>
      </c>
      <c r="S32" s="207">
        <v>5.3999999999999999E-2</v>
      </c>
      <c r="T32" s="210">
        <v>6.6000000000000003E-2</v>
      </c>
      <c r="U32" s="228">
        <v>5.6000000000000001E-2</v>
      </c>
      <c r="V32" s="227">
        <v>0.05</v>
      </c>
      <c r="W32" s="207">
        <v>0.29499999999999998</v>
      </c>
      <c r="X32" s="207">
        <v>0.49</v>
      </c>
      <c r="Y32" s="207">
        <v>0.84099999999999997</v>
      </c>
      <c r="Z32" s="207">
        <v>0.13300000000000001</v>
      </c>
      <c r="AA32" s="229">
        <v>7.6999999999999999E-2</v>
      </c>
      <c r="AB32" s="239"/>
      <c r="AC32" s="358">
        <v>5</v>
      </c>
      <c r="AD32" s="352">
        <v>0.11599999999999996</v>
      </c>
      <c r="AE32" s="352">
        <v>9.1999999999999998E-2</v>
      </c>
      <c r="AF32" s="352">
        <v>0.504</v>
      </c>
      <c r="AG32" s="352">
        <v>0.53699999999999992</v>
      </c>
      <c r="AH32" s="352">
        <v>0.47500000000000003</v>
      </c>
      <c r="AI32" s="352">
        <v>0.47400000000000003</v>
      </c>
      <c r="AJ32" s="352">
        <v>0.22300000000000003</v>
      </c>
      <c r="AK32" s="352">
        <v>0.22499999999999998</v>
      </c>
      <c r="AL32" s="352">
        <v>0.26300000000000001</v>
      </c>
      <c r="AM32" s="352">
        <v>0.26200000000000001</v>
      </c>
      <c r="AN32" s="352">
        <v>0.372</v>
      </c>
      <c r="AO32" s="352">
        <v>0.64999999999999991</v>
      </c>
      <c r="AP32" s="347">
        <v>1.1999999999999997E-2</v>
      </c>
      <c r="AQ32" s="347">
        <v>5.9999999999999984E-3</v>
      </c>
      <c r="AR32" s="347">
        <v>6.0000000000000053E-3</v>
      </c>
      <c r="AS32" s="347">
        <v>6.9999999999999993E-3</v>
      </c>
      <c r="AT32" s="347">
        <v>1.0999999999999996E-2</v>
      </c>
      <c r="AU32" s="347">
        <v>8.0000000000000071E-3</v>
      </c>
      <c r="AV32" s="347">
        <v>8.0000000000000002E-3</v>
      </c>
      <c r="AW32" s="347">
        <v>0.28100000000000003</v>
      </c>
      <c r="AX32" s="347">
        <v>0.44500000000000001</v>
      </c>
      <c r="AY32" s="347">
        <v>0.60199999999999998</v>
      </c>
      <c r="AZ32" s="347">
        <v>1.78</v>
      </c>
      <c r="BA32" s="347">
        <v>0.27500000000000002</v>
      </c>
    </row>
    <row r="33" spans="1:56" x14ac:dyDescent="0.25">
      <c r="A33" s="239"/>
      <c r="B33" s="239"/>
      <c r="C33" s="238">
        <v>3</v>
      </c>
      <c r="D33" s="222">
        <v>4.4999999999999998E-2</v>
      </c>
      <c r="E33" s="221">
        <v>4.4999999999999998E-2</v>
      </c>
      <c r="F33" s="221">
        <v>4.3999999999999997E-2</v>
      </c>
      <c r="G33" s="221">
        <v>5.0999999999999997E-2</v>
      </c>
      <c r="H33" s="221">
        <v>4.3999999999999997E-2</v>
      </c>
      <c r="I33" s="221">
        <v>5.0999999999999997E-2</v>
      </c>
      <c r="J33" s="221">
        <v>5.0999999999999997E-2</v>
      </c>
      <c r="K33" s="221">
        <v>6.4000000000000001E-2</v>
      </c>
      <c r="L33" s="221">
        <v>4.3999999999999997E-2</v>
      </c>
      <c r="M33" s="221">
        <v>4.3999999999999997E-2</v>
      </c>
      <c r="N33" s="221">
        <v>4.3999999999999997E-2</v>
      </c>
      <c r="O33" s="221">
        <v>4.3999999999999997E-2</v>
      </c>
      <c r="P33" s="221">
        <v>5.3999999999999999E-2</v>
      </c>
      <c r="Q33" s="221">
        <v>4.2999999999999997E-2</v>
      </c>
      <c r="R33" s="221">
        <v>4.3999999999999997E-2</v>
      </c>
      <c r="S33" s="222">
        <v>4.5999999999999999E-2</v>
      </c>
      <c r="T33" s="222">
        <v>5.5E-2</v>
      </c>
      <c r="U33" s="222">
        <v>4.7E-2</v>
      </c>
      <c r="V33" s="222">
        <v>4.2000000000000003E-2</v>
      </c>
      <c r="W33" s="222">
        <v>4.2999999999999997E-2</v>
      </c>
      <c r="X33" s="222">
        <v>4.4999999999999998E-2</v>
      </c>
      <c r="Y33" s="222">
        <v>0.23799999999999999</v>
      </c>
      <c r="Z33" s="223">
        <v>4.3999999999999997E-2</v>
      </c>
      <c r="AA33" s="223">
        <v>4.4999999999999998E-2</v>
      </c>
      <c r="AB33" s="239"/>
      <c r="AC33" s="358">
        <v>6</v>
      </c>
      <c r="AD33" s="352">
        <v>3.6999999999999998E-2</v>
      </c>
      <c r="AE33" s="352">
        <v>9.2999999999999985E-2</v>
      </c>
      <c r="AF33" s="352">
        <v>0.5169999999999999</v>
      </c>
      <c r="AG33" s="352">
        <v>0.52399999999999991</v>
      </c>
      <c r="AH33" s="352">
        <v>0.40500000000000003</v>
      </c>
      <c r="AI33" s="352">
        <v>0.44900000000000001</v>
      </c>
      <c r="AJ33" s="352">
        <v>0.21399999999999997</v>
      </c>
      <c r="AK33" s="352">
        <v>0.19600000000000001</v>
      </c>
      <c r="AL33" s="352">
        <v>0.26800000000000002</v>
      </c>
      <c r="AM33" s="352">
        <v>0.248</v>
      </c>
      <c r="AN33" s="352">
        <v>0.27100000000000002</v>
      </c>
      <c r="AO33" s="352">
        <v>0.50800000000000001</v>
      </c>
      <c r="AP33" s="347">
        <v>9.0000000000000011E-3</v>
      </c>
      <c r="AQ33" s="347">
        <v>4.9999999999999975E-3</v>
      </c>
      <c r="AR33" s="347">
        <v>5.9999999999999984E-3</v>
      </c>
      <c r="AS33" s="347">
        <v>6.0000000000000053E-3</v>
      </c>
      <c r="AT33" s="347">
        <v>8.0000000000000002E-3</v>
      </c>
      <c r="AU33" s="347">
        <v>6.0000000000000053E-3</v>
      </c>
      <c r="AV33" s="347">
        <v>0.16799999999999998</v>
      </c>
      <c r="AW33" s="347">
        <v>0.28200000000000003</v>
      </c>
      <c r="AX33" s="347">
        <v>0.44400000000000001</v>
      </c>
      <c r="AY33" s="347">
        <v>0.59899999999999998</v>
      </c>
      <c r="AZ33" s="347">
        <v>1.7769999999999999</v>
      </c>
      <c r="BA33" s="347">
        <v>0.73299999999999998</v>
      </c>
    </row>
    <row r="34" spans="1:56" x14ac:dyDescent="0.25">
      <c r="A34" s="239"/>
      <c r="B34" s="239"/>
      <c r="C34" s="238">
        <v>4</v>
      </c>
      <c r="D34" s="207">
        <v>0.30099999999999999</v>
      </c>
      <c r="E34" s="207">
        <v>1.748</v>
      </c>
      <c r="F34" s="224">
        <v>0.54300000000000004</v>
      </c>
      <c r="G34" s="208">
        <v>0.59099999999999997</v>
      </c>
      <c r="H34" s="207">
        <v>0.49</v>
      </c>
      <c r="I34" s="210">
        <v>0.504</v>
      </c>
      <c r="J34" s="207">
        <v>0.27100000000000002</v>
      </c>
      <c r="K34" s="220">
        <v>0.26800000000000002</v>
      </c>
      <c r="L34" s="208">
        <v>0.27500000000000002</v>
      </c>
      <c r="M34" s="226">
        <v>0.29599999999999999</v>
      </c>
      <c r="N34" s="208">
        <v>0.32400000000000001</v>
      </c>
      <c r="O34" s="207">
        <v>0.60499999999999998</v>
      </c>
      <c r="P34" s="210">
        <v>6.8000000000000005E-2</v>
      </c>
      <c r="Q34" s="207">
        <v>5.0999999999999997E-2</v>
      </c>
      <c r="R34" s="210">
        <v>5.3999999999999999E-2</v>
      </c>
      <c r="S34" s="207">
        <v>5.8999999999999997E-2</v>
      </c>
      <c r="T34" s="207">
        <v>6.8000000000000005E-2</v>
      </c>
      <c r="U34" s="210">
        <v>5.8999999999999997E-2</v>
      </c>
      <c r="V34" s="207">
        <v>5.5E-2</v>
      </c>
      <c r="W34" s="207">
        <v>0.251</v>
      </c>
      <c r="X34" s="207">
        <v>0.27100000000000002</v>
      </c>
      <c r="Y34" s="207">
        <v>0.64</v>
      </c>
      <c r="Z34" s="207">
        <v>0.14299999999999999</v>
      </c>
      <c r="AA34" s="207">
        <v>0.14099999999999999</v>
      </c>
      <c r="AB34" s="239"/>
      <c r="AC34" s="358">
        <v>7</v>
      </c>
      <c r="AD34" s="352">
        <v>1.9000000000000003E-2</v>
      </c>
      <c r="AE34" s="352">
        <v>0.55399999999999994</v>
      </c>
      <c r="AF34" s="352">
        <v>0.52199999999999991</v>
      </c>
      <c r="AG34" s="352">
        <v>0.54399999999999993</v>
      </c>
      <c r="AH34" s="352">
        <v>0.43</v>
      </c>
      <c r="AI34" s="352">
        <v>0.47000000000000003</v>
      </c>
      <c r="AJ34" s="352">
        <v>0.22400000000000003</v>
      </c>
      <c r="AK34" s="352">
        <v>0.22100000000000003</v>
      </c>
      <c r="AL34" s="352">
        <v>0.21500000000000002</v>
      </c>
      <c r="AM34" s="352">
        <v>0.22899999999999998</v>
      </c>
      <c r="AN34" s="352">
        <v>0.53599999999999992</v>
      </c>
      <c r="AO34" s="352">
        <v>0.58199999999999996</v>
      </c>
      <c r="AP34" s="347">
        <v>1.3999999999999999E-2</v>
      </c>
      <c r="AQ34" s="347">
        <v>6.9999999999999993E-3</v>
      </c>
      <c r="AR34" s="347">
        <v>6.9999999999999993E-3</v>
      </c>
      <c r="AS34" s="347">
        <v>5.9999999999999984E-3</v>
      </c>
      <c r="AT34" s="347">
        <v>8.0000000000000002E-3</v>
      </c>
      <c r="AU34" s="347">
        <v>8.0000000000000002E-3</v>
      </c>
      <c r="AV34" s="347">
        <v>0.48600000000000004</v>
      </c>
      <c r="AW34" s="347">
        <v>0.21900000000000003</v>
      </c>
      <c r="AX34" s="347">
        <v>0.49100000000000005</v>
      </c>
      <c r="AY34" s="347">
        <v>0.61899999999999999</v>
      </c>
      <c r="AZ34" s="347">
        <v>0.371</v>
      </c>
      <c r="BA34" s="347">
        <v>1.804</v>
      </c>
    </row>
    <row r="35" spans="1:56" x14ac:dyDescent="0.25">
      <c r="A35" s="239"/>
      <c r="B35" s="239"/>
      <c r="C35" s="238">
        <v>4</v>
      </c>
      <c r="D35" s="223">
        <v>4.2999999999999997E-2</v>
      </c>
      <c r="E35" s="223">
        <v>4.3999999999999997E-2</v>
      </c>
      <c r="F35" s="223">
        <v>4.5999999999999999E-2</v>
      </c>
      <c r="G35" s="223">
        <v>4.4999999999999998E-2</v>
      </c>
      <c r="H35" s="223">
        <v>4.5999999999999999E-2</v>
      </c>
      <c r="I35" s="223">
        <v>4.8000000000000001E-2</v>
      </c>
      <c r="J35" s="223">
        <v>4.5999999999999999E-2</v>
      </c>
      <c r="K35" s="216">
        <v>5.5E-2</v>
      </c>
      <c r="L35" s="223">
        <v>4.3999999999999997E-2</v>
      </c>
      <c r="M35" s="223">
        <v>4.4999999999999998E-2</v>
      </c>
      <c r="N35" s="223">
        <v>4.5999999999999999E-2</v>
      </c>
      <c r="O35" s="216">
        <v>4.5999999999999999E-2</v>
      </c>
      <c r="P35" s="216">
        <v>5.8000000000000003E-2</v>
      </c>
      <c r="Q35" s="223">
        <v>4.4999999999999998E-2</v>
      </c>
      <c r="R35" s="216">
        <v>4.5999999999999999E-2</v>
      </c>
      <c r="S35" s="216">
        <v>5.2999999999999999E-2</v>
      </c>
      <c r="T35" s="214">
        <v>5.8999999999999997E-2</v>
      </c>
      <c r="U35" s="216">
        <v>5.0999999999999997E-2</v>
      </c>
      <c r="V35" s="216">
        <v>4.7E-2</v>
      </c>
      <c r="W35" s="214">
        <v>4.8000000000000001E-2</v>
      </c>
      <c r="X35" s="214">
        <v>4.9000000000000002E-2</v>
      </c>
      <c r="Y35" s="214">
        <v>4.9000000000000002E-2</v>
      </c>
      <c r="Z35" s="215">
        <v>5.3999999999999999E-2</v>
      </c>
      <c r="AA35" s="215">
        <v>5.0999999999999997E-2</v>
      </c>
      <c r="AB35" s="239"/>
      <c r="AC35" s="358">
        <v>8</v>
      </c>
      <c r="AD35" s="352">
        <v>1.2000000000000004E-2</v>
      </c>
      <c r="AE35" s="352">
        <v>0.502</v>
      </c>
      <c r="AF35" s="352">
        <v>0.52699999999999991</v>
      </c>
      <c r="AG35" s="352">
        <v>0.52899999999999991</v>
      </c>
      <c r="AH35" s="352">
        <v>0.41500000000000004</v>
      </c>
      <c r="AI35" s="352">
        <v>0.44400000000000001</v>
      </c>
      <c r="AJ35" s="352">
        <v>0.21500000000000002</v>
      </c>
      <c r="AK35" s="352">
        <v>0.21400000000000002</v>
      </c>
      <c r="AL35" s="352">
        <v>0.26200000000000001</v>
      </c>
      <c r="AM35" s="352">
        <v>0.249</v>
      </c>
      <c r="AN35" s="352">
        <v>0.57499999999999996</v>
      </c>
      <c r="AO35" s="352">
        <v>0.54999999999999993</v>
      </c>
      <c r="AP35" s="347">
        <v>1.0000000000000002E-2</v>
      </c>
      <c r="AQ35" s="347">
        <v>6.9999999999999993E-3</v>
      </c>
      <c r="AR35" s="347">
        <v>1.0000000000000002E-2</v>
      </c>
      <c r="AS35" s="347">
        <v>8.0000000000000002E-3</v>
      </c>
      <c r="AT35" s="347">
        <v>8.0000000000000002E-3</v>
      </c>
      <c r="AU35" s="347">
        <v>7.0000000000000062E-3</v>
      </c>
      <c r="AV35" s="347">
        <v>0.55999999999999994</v>
      </c>
      <c r="AW35" s="347">
        <v>0.51500000000000001</v>
      </c>
      <c r="AX35" s="347">
        <v>0.41700000000000004</v>
      </c>
      <c r="AY35" s="347">
        <v>0.57899999999999996</v>
      </c>
      <c r="AZ35" s="347">
        <v>0.38900000000000001</v>
      </c>
      <c r="BA35" s="347">
        <v>2.6720000000000002</v>
      </c>
    </row>
    <row r="36" spans="1:56" x14ac:dyDescent="0.25">
      <c r="A36" s="239"/>
      <c r="B36" s="239"/>
      <c r="C36" s="238">
        <v>5</v>
      </c>
      <c r="D36" s="224">
        <v>0.28599999999999998</v>
      </c>
      <c r="E36" s="207">
        <v>0.14499999999999999</v>
      </c>
      <c r="F36" s="226">
        <v>0.55300000000000005</v>
      </c>
      <c r="G36" s="208">
        <v>0.59099999999999997</v>
      </c>
      <c r="H36" s="209">
        <v>0.52100000000000002</v>
      </c>
      <c r="I36" s="224">
        <v>0.53200000000000003</v>
      </c>
      <c r="J36" s="209">
        <v>0.27100000000000002</v>
      </c>
      <c r="K36" s="209">
        <v>0.28299999999999997</v>
      </c>
      <c r="L36" s="220">
        <v>0.31</v>
      </c>
      <c r="M36" s="207">
        <v>0.312</v>
      </c>
      <c r="N36" s="220">
        <v>0.41899999999999998</v>
      </c>
      <c r="O36" s="209">
        <v>0.70299999999999996</v>
      </c>
      <c r="P36" s="209">
        <v>7.8E-2</v>
      </c>
      <c r="Q36" s="210">
        <v>0.06</v>
      </c>
      <c r="R36" s="207">
        <v>5.7000000000000002E-2</v>
      </c>
      <c r="S36" s="207">
        <v>6.4000000000000001E-2</v>
      </c>
      <c r="T36" s="210">
        <v>7.4999999999999997E-2</v>
      </c>
      <c r="U36" s="226">
        <v>6.8000000000000005E-2</v>
      </c>
      <c r="V36" s="209">
        <v>6.3E-2</v>
      </c>
      <c r="W36" s="207">
        <v>0.32500000000000001</v>
      </c>
      <c r="X36" s="207">
        <v>0.49</v>
      </c>
      <c r="Y36" s="207">
        <v>0.64700000000000002</v>
      </c>
      <c r="Z36" s="207">
        <v>1.825</v>
      </c>
      <c r="AA36" s="209">
        <v>0.32200000000000001</v>
      </c>
      <c r="AB36" s="239"/>
      <c r="AC36" s="358">
        <v>9</v>
      </c>
      <c r="AD36" s="347">
        <v>2.613</v>
      </c>
      <c r="AE36" s="347">
        <v>0.40100000000000002</v>
      </c>
      <c r="AF36" s="347">
        <v>0.60899999999999999</v>
      </c>
      <c r="AG36" s="347">
        <v>0.45</v>
      </c>
      <c r="AH36" s="347">
        <v>0.54199999999999993</v>
      </c>
      <c r="AI36" s="347">
        <v>0.57499999999999996</v>
      </c>
      <c r="AJ36" s="347">
        <v>9.0000000000000011E-3</v>
      </c>
      <c r="AK36" s="347">
        <v>1.0000000000000002E-2</v>
      </c>
      <c r="AL36" s="347">
        <v>9.999999999999995E-3</v>
      </c>
      <c r="AM36" s="347">
        <v>8.0000000000000002E-3</v>
      </c>
      <c r="AN36" s="347">
        <v>8.0000000000000002E-3</v>
      </c>
      <c r="AO36" s="347">
        <v>6.9999999999999993E-3</v>
      </c>
      <c r="AP36" s="352">
        <v>0.58699999999999997</v>
      </c>
      <c r="AQ36" s="352">
        <v>0.55999999999999994</v>
      </c>
      <c r="AR36" s="352">
        <v>0.25800000000000001</v>
      </c>
      <c r="AS36" s="352">
        <v>0.25800000000000001</v>
      </c>
      <c r="AT36" s="352">
        <v>0.22200000000000003</v>
      </c>
      <c r="AU36" s="352">
        <v>0.22000000000000003</v>
      </c>
      <c r="AV36" s="352">
        <v>0.45100000000000001</v>
      </c>
      <c r="AW36" s="352">
        <v>0.433</v>
      </c>
      <c r="AX36" s="352">
        <v>0.53099999999999992</v>
      </c>
      <c r="AY36" s="352">
        <v>0.55000000000000004</v>
      </c>
      <c r="AZ36" s="352">
        <v>0.51400000000000001</v>
      </c>
      <c r="BA36" s="352">
        <v>1.2000000000000004E-2</v>
      </c>
    </row>
    <row r="37" spans="1:56" x14ac:dyDescent="0.25">
      <c r="A37" s="239"/>
      <c r="B37" s="239"/>
      <c r="C37" s="238">
        <v>5</v>
      </c>
      <c r="D37" s="223">
        <v>0.17</v>
      </c>
      <c r="E37" s="223">
        <v>5.2999999999999999E-2</v>
      </c>
      <c r="F37" s="223">
        <v>4.9000000000000002E-2</v>
      </c>
      <c r="G37" s="223">
        <v>5.3999999999999999E-2</v>
      </c>
      <c r="H37" s="223">
        <v>4.5999999999999999E-2</v>
      </c>
      <c r="I37" s="223">
        <v>5.8000000000000003E-2</v>
      </c>
      <c r="J37" s="223">
        <v>4.8000000000000001E-2</v>
      </c>
      <c r="K37" s="222">
        <v>5.8000000000000003E-2</v>
      </c>
      <c r="L37" s="222">
        <v>4.7E-2</v>
      </c>
      <c r="M37" s="222">
        <v>0.05</v>
      </c>
      <c r="N37" s="221">
        <v>4.7E-2</v>
      </c>
      <c r="O37" s="222">
        <v>5.2999999999999999E-2</v>
      </c>
      <c r="P37" s="222">
        <v>6.6000000000000003E-2</v>
      </c>
      <c r="Q37" s="222">
        <v>5.3999999999999999E-2</v>
      </c>
      <c r="R37" s="222">
        <v>5.0999999999999997E-2</v>
      </c>
      <c r="S37" s="222">
        <v>5.7000000000000002E-2</v>
      </c>
      <c r="T37" s="223">
        <v>6.4000000000000001E-2</v>
      </c>
      <c r="U37" s="223">
        <v>0.06</v>
      </c>
      <c r="V37" s="223">
        <v>5.5E-2</v>
      </c>
      <c r="W37" s="223">
        <v>4.3999999999999997E-2</v>
      </c>
      <c r="X37" s="223">
        <v>4.4999999999999998E-2</v>
      </c>
      <c r="Y37" s="223">
        <v>4.4999999999999998E-2</v>
      </c>
      <c r="Z37" s="223">
        <v>4.4999999999999998E-2</v>
      </c>
      <c r="AA37" s="223">
        <v>4.7E-2</v>
      </c>
      <c r="AB37" s="239"/>
      <c r="AC37" s="358">
        <v>10</v>
      </c>
      <c r="AD37" s="347">
        <v>1.8780000000000001</v>
      </c>
      <c r="AE37" s="347">
        <v>0.373</v>
      </c>
      <c r="AF37" s="347">
        <v>0.59299999999999997</v>
      </c>
      <c r="AG37" s="347">
        <v>0.49700000000000005</v>
      </c>
      <c r="AH37" s="347">
        <v>0.22800000000000004</v>
      </c>
      <c r="AI37" s="347">
        <v>0.5</v>
      </c>
      <c r="AJ37" s="347">
        <v>1.0000000000000002E-2</v>
      </c>
      <c r="AK37" s="347">
        <v>9.0000000000000011E-3</v>
      </c>
      <c r="AL37" s="347">
        <v>8.0000000000000002E-3</v>
      </c>
      <c r="AM37" s="347">
        <v>8.0000000000000002E-3</v>
      </c>
      <c r="AN37" s="347">
        <v>9.0000000000000011E-3</v>
      </c>
      <c r="AO37" s="347">
        <v>6.9999999999999993E-3</v>
      </c>
      <c r="AP37" s="352">
        <v>0.60199999999999998</v>
      </c>
      <c r="AQ37" s="352">
        <v>0.53799999999999992</v>
      </c>
      <c r="AR37" s="352">
        <v>0.245</v>
      </c>
      <c r="AS37" s="352">
        <v>0.20500000000000002</v>
      </c>
      <c r="AT37" s="352">
        <v>0.22000000000000003</v>
      </c>
      <c r="AU37" s="352">
        <v>0.21100000000000002</v>
      </c>
      <c r="AV37" s="352">
        <v>0.438</v>
      </c>
      <c r="AW37" s="352">
        <v>0.441</v>
      </c>
      <c r="AX37" s="352">
        <v>0.54099999999999993</v>
      </c>
      <c r="AY37" s="352">
        <v>0.52499999999999991</v>
      </c>
      <c r="AZ37" s="352">
        <v>0.53499999999999992</v>
      </c>
      <c r="BA37" s="352">
        <v>1.5000000000000006E-2</v>
      </c>
    </row>
    <row r="38" spans="1:56" x14ac:dyDescent="0.25">
      <c r="A38" s="239"/>
      <c r="B38" s="239"/>
      <c r="C38" s="238">
        <v>6</v>
      </c>
      <c r="D38" s="225">
        <v>9.4E-2</v>
      </c>
      <c r="E38" s="207">
        <v>0.14099999999999999</v>
      </c>
      <c r="F38" s="226">
        <v>0.56399999999999995</v>
      </c>
      <c r="G38" s="208">
        <v>0.57199999999999995</v>
      </c>
      <c r="H38" s="220">
        <v>0.45500000000000002</v>
      </c>
      <c r="I38" s="225">
        <v>0.5</v>
      </c>
      <c r="J38" s="212">
        <v>0.29799999999999999</v>
      </c>
      <c r="K38" s="209">
        <v>0.249</v>
      </c>
      <c r="L38" s="220">
        <v>0.316</v>
      </c>
      <c r="M38" s="207">
        <v>0.29699999999999999</v>
      </c>
      <c r="N38" s="220">
        <v>0.317</v>
      </c>
      <c r="O38" s="212">
        <v>0.55500000000000005</v>
      </c>
      <c r="P38" s="229">
        <v>6.7000000000000004E-2</v>
      </c>
      <c r="Q38" s="210">
        <v>5.0999999999999997E-2</v>
      </c>
      <c r="R38" s="207">
        <v>5.1999999999999998E-2</v>
      </c>
      <c r="S38" s="210">
        <v>5.7000000000000002E-2</v>
      </c>
      <c r="T38" s="210">
        <v>6.2E-2</v>
      </c>
      <c r="U38" s="227">
        <v>5.7000000000000002E-2</v>
      </c>
      <c r="V38" s="229">
        <v>0.215</v>
      </c>
      <c r="W38" s="207">
        <v>0.33</v>
      </c>
      <c r="X38" s="207">
        <v>0.496</v>
      </c>
      <c r="Y38" s="207">
        <v>0.64700000000000002</v>
      </c>
      <c r="Z38" s="207">
        <v>1.825</v>
      </c>
      <c r="AA38" s="227">
        <v>0.77900000000000003</v>
      </c>
      <c r="AB38" s="239"/>
      <c r="AC38" s="358">
        <v>11</v>
      </c>
      <c r="AD38" s="347">
        <v>0.76100000000000001</v>
      </c>
      <c r="AE38" s="347">
        <v>1.8080000000000001</v>
      </c>
      <c r="AF38" s="347">
        <v>0.63400000000000001</v>
      </c>
      <c r="AG38" s="347">
        <v>0.46200000000000002</v>
      </c>
      <c r="AH38" s="347">
        <v>0.248</v>
      </c>
      <c r="AI38" s="347">
        <v>0.187</v>
      </c>
      <c r="AJ38" s="347">
        <v>1.4999999999999999E-2</v>
      </c>
      <c r="AK38" s="347">
        <v>1.1000000000000003E-2</v>
      </c>
      <c r="AL38" s="347">
        <v>1.6000000000000007E-2</v>
      </c>
      <c r="AM38" s="347">
        <v>9.0000000000000011E-3</v>
      </c>
      <c r="AN38" s="347">
        <v>8.9999999999999941E-3</v>
      </c>
      <c r="AO38" s="347">
        <v>7.0000000000000062E-3</v>
      </c>
      <c r="AP38" s="352">
        <v>0.57299999999999995</v>
      </c>
      <c r="AQ38" s="352">
        <v>0.26100000000000001</v>
      </c>
      <c r="AR38" s="352">
        <v>0.26</v>
      </c>
      <c r="AS38" s="352">
        <v>0.26900000000000002</v>
      </c>
      <c r="AT38" s="352">
        <v>0.20300000000000001</v>
      </c>
      <c r="AU38" s="352">
        <v>0.20400000000000001</v>
      </c>
      <c r="AV38" s="352">
        <v>0.44700000000000001</v>
      </c>
      <c r="AW38" s="352">
        <v>0.41100000000000003</v>
      </c>
      <c r="AX38" s="352">
        <v>0.52699999999999991</v>
      </c>
      <c r="AY38" s="352">
        <v>0.53099999999999992</v>
      </c>
      <c r="AZ38" s="352">
        <v>9.6000000000000016E-2</v>
      </c>
      <c r="BA38" s="352">
        <v>3.7000000000000005E-2</v>
      </c>
    </row>
    <row r="39" spans="1:56" x14ac:dyDescent="0.25">
      <c r="A39" s="239"/>
      <c r="B39" s="239"/>
      <c r="C39" s="238">
        <v>6</v>
      </c>
      <c r="D39" s="230">
        <v>5.7000000000000002E-2</v>
      </c>
      <c r="E39" s="221">
        <v>4.8000000000000001E-2</v>
      </c>
      <c r="F39" s="221">
        <v>4.7E-2</v>
      </c>
      <c r="G39" s="221">
        <v>4.8000000000000001E-2</v>
      </c>
      <c r="H39" s="221">
        <v>0.05</v>
      </c>
      <c r="I39" s="221">
        <v>5.0999999999999997E-2</v>
      </c>
      <c r="J39" s="221">
        <v>8.4000000000000005E-2</v>
      </c>
      <c r="K39" s="222">
        <v>5.2999999999999999E-2</v>
      </c>
      <c r="L39" s="222">
        <v>4.8000000000000001E-2</v>
      </c>
      <c r="M39" s="222">
        <v>4.9000000000000002E-2</v>
      </c>
      <c r="N39" s="221">
        <v>4.5999999999999999E-2</v>
      </c>
      <c r="O39" s="222">
        <v>4.7E-2</v>
      </c>
      <c r="P39" s="222">
        <v>5.8000000000000003E-2</v>
      </c>
      <c r="Q39" s="222">
        <v>4.5999999999999999E-2</v>
      </c>
      <c r="R39" s="222">
        <v>4.5999999999999999E-2</v>
      </c>
      <c r="S39" s="222">
        <v>5.0999999999999997E-2</v>
      </c>
      <c r="T39" s="222">
        <v>5.3999999999999999E-2</v>
      </c>
      <c r="U39" s="222">
        <v>5.0999999999999997E-2</v>
      </c>
      <c r="V39" s="222">
        <v>4.7E-2</v>
      </c>
      <c r="W39" s="222">
        <v>4.8000000000000001E-2</v>
      </c>
      <c r="X39" s="223">
        <v>5.1999999999999998E-2</v>
      </c>
      <c r="Y39" s="223">
        <v>4.8000000000000001E-2</v>
      </c>
      <c r="Z39" s="223">
        <v>4.8000000000000001E-2</v>
      </c>
      <c r="AA39" s="223">
        <v>4.5999999999999999E-2</v>
      </c>
      <c r="AB39" s="239"/>
      <c r="AC39" s="358">
        <v>12</v>
      </c>
      <c r="AD39" s="347">
        <v>0.27300000000000002</v>
      </c>
      <c r="AE39" s="347">
        <v>1.762</v>
      </c>
      <c r="AF39" s="347">
        <v>0.59399999999999997</v>
      </c>
      <c r="AG39" s="347">
        <v>0.46</v>
      </c>
      <c r="AH39" s="347">
        <v>0.28999999999999998</v>
      </c>
      <c r="AI39" s="347">
        <v>1.3999999999999999E-2</v>
      </c>
      <c r="AJ39" s="347">
        <v>8.0000000000000002E-3</v>
      </c>
      <c r="AK39" s="347">
        <v>9.0000000000000011E-3</v>
      </c>
      <c r="AL39" s="347">
        <v>6.9999999999999993E-3</v>
      </c>
      <c r="AM39" s="347">
        <v>6.9999999999999993E-3</v>
      </c>
      <c r="AN39" s="347">
        <v>8.0000000000000002E-3</v>
      </c>
      <c r="AO39" s="347">
        <v>2.9999999999999957E-3</v>
      </c>
      <c r="AP39" s="352">
        <v>0.57600000000000007</v>
      </c>
      <c r="AQ39" s="352">
        <v>0.26500000000000001</v>
      </c>
      <c r="AR39" s="352">
        <v>0.26900000000000002</v>
      </c>
      <c r="AS39" s="352">
        <v>0.26200000000000001</v>
      </c>
      <c r="AT39" s="352">
        <v>0.22500000000000003</v>
      </c>
      <c r="AU39" s="352">
        <v>0.21600000000000003</v>
      </c>
      <c r="AV39" s="352">
        <v>0.46</v>
      </c>
      <c r="AW39" s="352">
        <v>0.45400000000000001</v>
      </c>
      <c r="AX39" s="352">
        <v>0.54599999999999993</v>
      </c>
      <c r="AY39" s="352">
        <v>0.51899999999999991</v>
      </c>
      <c r="AZ39" s="352">
        <v>9.3000000000000013E-2</v>
      </c>
      <c r="BA39" s="352">
        <v>9.1000000000000011E-2</v>
      </c>
    </row>
    <row r="40" spans="1:56" x14ac:dyDescent="0.25">
      <c r="A40" s="239"/>
      <c r="B40" s="239"/>
      <c r="C40" s="238">
        <v>7</v>
      </c>
      <c r="D40" s="220">
        <v>6.6000000000000003E-2</v>
      </c>
      <c r="E40" s="208">
        <v>0.59799999999999998</v>
      </c>
      <c r="F40" s="210">
        <v>0.56599999999999995</v>
      </c>
      <c r="G40" s="207">
        <v>0.59099999999999997</v>
      </c>
      <c r="H40" s="226">
        <v>0.47499999999999998</v>
      </c>
      <c r="I40" s="220">
        <v>0.53400000000000003</v>
      </c>
      <c r="J40" s="207">
        <v>0.26900000000000002</v>
      </c>
      <c r="K40" s="220">
        <v>0.27100000000000002</v>
      </c>
      <c r="L40" s="220">
        <v>0.25900000000000001</v>
      </c>
      <c r="M40" s="224">
        <v>0.28499999999999998</v>
      </c>
      <c r="N40" s="209">
        <v>0.57999999999999996</v>
      </c>
      <c r="O40" s="207">
        <v>0.626</v>
      </c>
      <c r="P40" s="208">
        <v>9.2999999999999999E-2</v>
      </c>
      <c r="Q40" s="210">
        <v>5.1999999999999998E-2</v>
      </c>
      <c r="R40" s="210">
        <v>5.0999999999999997E-2</v>
      </c>
      <c r="S40" s="210">
        <v>5.1999999999999998E-2</v>
      </c>
      <c r="T40" s="207">
        <v>5.8999999999999997E-2</v>
      </c>
      <c r="U40" s="208">
        <v>5.7000000000000002E-2</v>
      </c>
      <c r="V40" s="208">
        <v>0.53300000000000003</v>
      </c>
      <c r="W40" s="207">
        <v>0.26300000000000001</v>
      </c>
      <c r="X40" s="207">
        <v>0.53700000000000003</v>
      </c>
      <c r="Y40" s="207">
        <v>0.66400000000000003</v>
      </c>
      <c r="Z40" s="207">
        <v>0.41599999999999998</v>
      </c>
      <c r="AA40" s="208">
        <v>1.8480000000000001</v>
      </c>
      <c r="AB40" s="239"/>
      <c r="AC40" s="358">
        <v>13</v>
      </c>
      <c r="AD40" s="347">
        <v>9.6000000000000002E-2</v>
      </c>
      <c r="AE40" s="347">
        <v>9.2000000000000012E-2</v>
      </c>
      <c r="AF40" s="347">
        <v>0.61199999999999999</v>
      </c>
      <c r="AG40" s="347">
        <v>0.248</v>
      </c>
      <c r="AH40" s="347">
        <v>0.21900000000000003</v>
      </c>
      <c r="AI40" s="347">
        <v>1.7000000000000008E-2</v>
      </c>
      <c r="AJ40" s="347">
        <v>1.1000000000000003E-2</v>
      </c>
      <c r="AK40" s="347">
        <v>1.3999999999999999E-2</v>
      </c>
      <c r="AL40" s="347">
        <v>8.0000000000000002E-3</v>
      </c>
      <c r="AM40" s="347">
        <v>2.1999999999999992E-2</v>
      </c>
      <c r="AN40" s="347">
        <v>1.0000000000000002E-2</v>
      </c>
      <c r="AO40" s="347">
        <v>1.4000000000000005E-2</v>
      </c>
      <c r="AP40" s="352">
        <v>0.55699999999999994</v>
      </c>
      <c r="AQ40" s="352">
        <v>0.26200000000000001</v>
      </c>
      <c r="AR40" s="352">
        <v>0.26100000000000001</v>
      </c>
      <c r="AS40" s="352">
        <v>0.23299999999999998</v>
      </c>
      <c r="AT40" s="352">
        <v>0.21900000000000003</v>
      </c>
      <c r="AU40" s="352">
        <v>0.22799999999999998</v>
      </c>
      <c r="AV40" s="352">
        <v>0.47000000000000003</v>
      </c>
      <c r="AW40" s="352">
        <v>0.47500000000000003</v>
      </c>
      <c r="AX40" s="352">
        <v>0.53999999999999992</v>
      </c>
      <c r="AY40" s="352">
        <v>0.49700000000000005</v>
      </c>
      <c r="AZ40" s="352">
        <v>1.81</v>
      </c>
      <c r="BA40" s="352">
        <v>0.27600000000000002</v>
      </c>
    </row>
    <row r="41" spans="1:56" x14ac:dyDescent="0.25">
      <c r="A41" s="239"/>
      <c r="B41" s="239"/>
      <c r="C41" s="238">
        <v>7</v>
      </c>
      <c r="D41" s="231">
        <v>4.7E-2</v>
      </c>
      <c r="E41" s="230">
        <v>4.3999999999999997E-2</v>
      </c>
      <c r="F41" s="230">
        <v>4.3999999999999997E-2</v>
      </c>
      <c r="G41" s="230">
        <v>4.7E-2</v>
      </c>
      <c r="H41" s="230">
        <v>4.4999999999999998E-2</v>
      </c>
      <c r="I41" s="230">
        <v>6.4000000000000001E-2</v>
      </c>
      <c r="J41" s="230">
        <v>4.4999999999999998E-2</v>
      </c>
      <c r="K41" s="221">
        <v>0.05</v>
      </c>
      <c r="L41" s="221">
        <v>4.3999999999999997E-2</v>
      </c>
      <c r="M41" s="221">
        <v>5.6000000000000001E-2</v>
      </c>
      <c r="N41" s="221">
        <v>4.3999999999999997E-2</v>
      </c>
      <c r="O41" s="221">
        <v>4.3999999999999997E-2</v>
      </c>
      <c r="P41" s="231">
        <v>7.9000000000000001E-2</v>
      </c>
      <c r="Q41" s="230">
        <v>4.4999999999999998E-2</v>
      </c>
      <c r="R41" s="230">
        <v>4.3999999999999997E-2</v>
      </c>
      <c r="S41" s="230">
        <v>4.5999999999999999E-2</v>
      </c>
      <c r="T41" s="230">
        <v>5.0999999999999997E-2</v>
      </c>
      <c r="U41" s="230">
        <v>4.9000000000000002E-2</v>
      </c>
      <c r="V41" s="230">
        <v>4.7E-2</v>
      </c>
      <c r="W41" s="230">
        <v>4.3999999999999997E-2</v>
      </c>
      <c r="X41" s="230">
        <v>4.5999999999999999E-2</v>
      </c>
      <c r="Y41" s="221">
        <v>4.4999999999999998E-2</v>
      </c>
      <c r="Z41" s="221">
        <v>4.4999999999999998E-2</v>
      </c>
      <c r="AA41" s="221">
        <v>4.3999999999999997E-2</v>
      </c>
      <c r="AB41" s="239"/>
      <c r="AC41" s="358">
        <v>14</v>
      </c>
      <c r="AD41" s="347">
        <v>3.5000000000000003E-2</v>
      </c>
      <c r="AE41" s="347">
        <v>9.4999999999999987E-2</v>
      </c>
      <c r="AF41" s="347">
        <v>0.61099999999999999</v>
      </c>
      <c r="AG41" s="347">
        <v>0.48700000000000004</v>
      </c>
      <c r="AH41" s="347">
        <v>0.27100000000000002</v>
      </c>
      <c r="AI41" s="347">
        <v>1.7999999999999995E-2</v>
      </c>
      <c r="AJ41" s="347">
        <v>1.3999999999999999E-2</v>
      </c>
      <c r="AK41" s="347">
        <v>1.1000000000000003E-2</v>
      </c>
      <c r="AL41" s="347">
        <v>9.0000000000000011E-3</v>
      </c>
      <c r="AM41" s="347">
        <v>8.0000000000000002E-3</v>
      </c>
      <c r="AN41" s="347">
        <v>8.0000000000000002E-3</v>
      </c>
      <c r="AO41" s="347">
        <v>5.9999999999999984E-3</v>
      </c>
      <c r="AP41" s="352">
        <v>0.59600000000000009</v>
      </c>
      <c r="AQ41" s="352">
        <v>0.26500000000000001</v>
      </c>
      <c r="AR41" s="352">
        <v>0.28200000000000003</v>
      </c>
      <c r="AS41" s="352">
        <v>0.22499999999999998</v>
      </c>
      <c r="AT41" s="352">
        <v>0.23499999999999999</v>
      </c>
      <c r="AU41" s="352">
        <v>0.21900000000000003</v>
      </c>
      <c r="AV41" s="352">
        <v>0.40800000000000003</v>
      </c>
      <c r="AW41" s="352">
        <v>0.40500000000000003</v>
      </c>
      <c r="AX41" s="352">
        <v>0.56199999999999994</v>
      </c>
      <c r="AY41" s="352">
        <v>0.49800000000000005</v>
      </c>
      <c r="AZ41" s="352">
        <v>1.8130000000000002</v>
      </c>
      <c r="BA41" s="352">
        <v>0.752</v>
      </c>
    </row>
    <row r="42" spans="1:56" x14ac:dyDescent="0.25">
      <c r="A42" s="239"/>
      <c r="B42" s="239"/>
      <c r="C42" s="238">
        <v>8</v>
      </c>
      <c r="D42" s="225">
        <v>5.7000000000000002E-2</v>
      </c>
      <c r="E42" s="207">
        <v>0.54600000000000004</v>
      </c>
      <c r="F42" s="210">
        <v>0.57399999999999995</v>
      </c>
      <c r="G42" s="207">
        <v>0.57699999999999996</v>
      </c>
      <c r="H42" s="226">
        <v>0.45900000000000002</v>
      </c>
      <c r="I42" s="225">
        <v>0.49</v>
      </c>
      <c r="J42" s="212">
        <v>0.26</v>
      </c>
      <c r="K42" s="220">
        <v>0.26100000000000001</v>
      </c>
      <c r="L42" s="220">
        <v>0.30499999999999999</v>
      </c>
      <c r="M42" s="224">
        <v>0.30299999999999999</v>
      </c>
      <c r="N42" s="220">
        <v>0.61799999999999999</v>
      </c>
      <c r="O42" s="211">
        <v>0.59399999999999997</v>
      </c>
      <c r="P42" s="227">
        <v>6.6000000000000003E-2</v>
      </c>
      <c r="Q42" s="210">
        <v>4.9000000000000002E-2</v>
      </c>
      <c r="R42" s="210">
        <v>5.2999999999999999E-2</v>
      </c>
      <c r="S42" s="210">
        <v>5.5E-2</v>
      </c>
      <c r="T42" s="207">
        <v>5.3999999999999999E-2</v>
      </c>
      <c r="U42" s="227">
        <v>0.05</v>
      </c>
      <c r="V42" s="227">
        <v>0.60199999999999998</v>
      </c>
      <c r="W42" s="207">
        <v>0.55600000000000005</v>
      </c>
      <c r="X42" s="207">
        <v>0.46100000000000002</v>
      </c>
      <c r="Y42" s="207">
        <v>0.622</v>
      </c>
      <c r="Z42" s="207">
        <v>0.433</v>
      </c>
      <c r="AA42" s="227">
        <v>2.718</v>
      </c>
      <c r="AB42" s="239"/>
      <c r="AC42" s="358">
        <v>15</v>
      </c>
      <c r="AD42" s="347">
        <v>2.1000000000000005E-2</v>
      </c>
      <c r="AE42" s="347">
        <v>0.62</v>
      </c>
      <c r="AF42" s="347">
        <v>0.51700000000000002</v>
      </c>
      <c r="AG42" s="347">
        <v>0.23600000000000004</v>
      </c>
      <c r="AH42" s="347">
        <v>0.65199999999999991</v>
      </c>
      <c r="AI42" s="347">
        <v>1.6999999999999994E-2</v>
      </c>
      <c r="AJ42" s="347">
        <v>1.5999999999999993E-2</v>
      </c>
      <c r="AK42" s="347">
        <v>1.0000000000000009E-2</v>
      </c>
      <c r="AL42" s="347">
        <v>1.0000000000000002E-2</v>
      </c>
      <c r="AM42" s="347">
        <v>1.1999999999999997E-2</v>
      </c>
      <c r="AN42" s="347">
        <v>1.0000000000000002E-2</v>
      </c>
      <c r="AO42" s="347">
        <v>9.0000000000000011E-3</v>
      </c>
      <c r="AP42" s="352">
        <v>0.64499999999999991</v>
      </c>
      <c r="AQ42" s="352">
        <v>0.27700000000000002</v>
      </c>
      <c r="AR42" s="352">
        <v>0.26200000000000001</v>
      </c>
      <c r="AS42" s="352">
        <v>0.22500000000000003</v>
      </c>
      <c r="AT42" s="352">
        <v>0.22200000000000003</v>
      </c>
      <c r="AU42" s="352">
        <v>0.46500000000000002</v>
      </c>
      <c r="AV42" s="352">
        <v>0.47400000000000003</v>
      </c>
      <c r="AW42" s="352">
        <v>0.45400000000000001</v>
      </c>
      <c r="AX42" s="352">
        <v>0.52899999999999991</v>
      </c>
      <c r="AY42" s="352">
        <v>0.52899999999999991</v>
      </c>
      <c r="AZ42" s="352">
        <v>0.36899999999999999</v>
      </c>
      <c r="BA42" s="352">
        <v>1.8340000000000001</v>
      </c>
    </row>
    <row r="43" spans="1:56" x14ac:dyDescent="0.25">
      <c r="A43" s="239"/>
      <c r="B43" s="239"/>
      <c r="C43" s="238">
        <v>8</v>
      </c>
      <c r="D43" s="231">
        <v>4.4999999999999998E-2</v>
      </c>
      <c r="E43" s="231">
        <v>4.3999999999999997E-2</v>
      </c>
      <c r="F43" s="231">
        <v>4.7E-2</v>
      </c>
      <c r="G43" s="231">
        <v>4.8000000000000001E-2</v>
      </c>
      <c r="H43" s="230">
        <v>4.3999999999999997E-2</v>
      </c>
      <c r="I43" s="230">
        <v>4.5999999999999999E-2</v>
      </c>
      <c r="J43" s="230">
        <v>4.4999999999999998E-2</v>
      </c>
      <c r="K43" s="230">
        <v>4.7E-2</v>
      </c>
      <c r="L43" s="230">
        <v>4.2999999999999997E-2</v>
      </c>
      <c r="M43" s="230">
        <v>5.3999999999999999E-2</v>
      </c>
      <c r="N43" s="230">
        <v>4.2999999999999997E-2</v>
      </c>
      <c r="O43" s="221">
        <v>4.3999999999999997E-2</v>
      </c>
      <c r="P43" s="230">
        <v>5.6000000000000001E-2</v>
      </c>
      <c r="Q43" s="230">
        <v>4.2000000000000003E-2</v>
      </c>
      <c r="R43" s="221">
        <v>4.2999999999999997E-2</v>
      </c>
      <c r="S43" s="221">
        <v>4.7E-2</v>
      </c>
      <c r="T43" s="221">
        <v>4.5999999999999999E-2</v>
      </c>
      <c r="U43" s="221">
        <v>4.2999999999999997E-2</v>
      </c>
      <c r="V43" s="221">
        <v>4.2000000000000003E-2</v>
      </c>
      <c r="W43" s="221">
        <v>4.1000000000000002E-2</v>
      </c>
      <c r="X43" s="221">
        <v>4.3999999999999997E-2</v>
      </c>
      <c r="Y43" s="221">
        <v>4.2999999999999997E-2</v>
      </c>
      <c r="Z43" s="221">
        <v>4.3999999999999997E-2</v>
      </c>
      <c r="AA43" s="222">
        <v>4.5999999999999999E-2</v>
      </c>
      <c r="AB43" s="239"/>
      <c r="AC43" s="358">
        <v>16</v>
      </c>
      <c r="AD43" s="347">
        <v>1.3999999999999999E-2</v>
      </c>
      <c r="AE43" s="347">
        <v>0.41599999999999998</v>
      </c>
      <c r="AF43" s="347">
        <v>0.51600000000000001</v>
      </c>
      <c r="AG43" s="347">
        <v>0.22700000000000004</v>
      </c>
      <c r="AH43" s="347">
        <v>0.67300000000000004</v>
      </c>
      <c r="AI43" s="347">
        <v>6.9999999999999993E-3</v>
      </c>
      <c r="AJ43" s="347">
        <v>9.0000000000000011E-3</v>
      </c>
      <c r="AK43" s="347">
        <v>1.1999999999999997E-2</v>
      </c>
      <c r="AL43" s="347">
        <v>9.999999999999995E-3</v>
      </c>
      <c r="AM43" s="347">
        <v>1.0000000000000002E-2</v>
      </c>
      <c r="AN43" s="347">
        <v>1.5000000000000006E-2</v>
      </c>
      <c r="AO43" s="347">
        <v>1.1999999999999997E-2</v>
      </c>
      <c r="AP43" s="352">
        <v>0.69300000000000006</v>
      </c>
      <c r="AQ43" s="352">
        <v>0.29499999999999998</v>
      </c>
      <c r="AR43" s="352">
        <v>0.3</v>
      </c>
      <c r="AS43" s="352">
        <v>0.23799999999999999</v>
      </c>
      <c r="AT43" s="352">
        <v>0.23299999999999998</v>
      </c>
      <c r="AU43" s="352">
        <v>0.45200000000000001</v>
      </c>
      <c r="AV43" s="352">
        <v>0.50099999999999989</v>
      </c>
      <c r="AW43" s="352">
        <v>0.434</v>
      </c>
      <c r="AX43" s="352">
        <v>0.55400000000000005</v>
      </c>
      <c r="AY43" s="352">
        <v>0.24000000000000005</v>
      </c>
      <c r="AZ43" s="352">
        <v>0.38900000000000001</v>
      </c>
      <c r="BA43" s="352">
        <v>2.68</v>
      </c>
    </row>
    <row r="44" spans="1:56" x14ac:dyDescent="0.25">
      <c r="A44" s="239"/>
      <c r="B44" s="239"/>
      <c r="C44" s="238">
        <v>9</v>
      </c>
      <c r="D44" s="207">
        <v>2.6880000000000002</v>
      </c>
      <c r="E44" s="226">
        <v>0.45400000000000001</v>
      </c>
      <c r="F44" s="208">
        <v>0.66800000000000004</v>
      </c>
      <c r="G44" s="208">
        <v>0.51200000000000001</v>
      </c>
      <c r="H44" s="220">
        <v>0.58699999999999997</v>
      </c>
      <c r="I44" s="208">
        <v>0.625</v>
      </c>
      <c r="J44" s="210">
        <v>5.1999999999999998E-2</v>
      </c>
      <c r="K44" s="220">
        <v>6.0999999999999999E-2</v>
      </c>
      <c r="L44" s="207">
        <v>5.1999999999999998E-2</v>
      </c>
      <c r="M44" s="229">
        <v>5.1999999999999998E-2</v>
      </c>
      <c r="N44" s="224">
        <v>5.2999999999999999E-2</v>
      </c>
      <c r="O44" s="210">
        <v>5.0999999999999997E-2</v>
      </c>
      <c r="P44" s="207">
        <v>0.64200000000000002</v>
      </c>
      <c r="Q44" s="210">
        <v>0.61</v>
      </c>
      <c r="R44" s="210">
        <v>0.30099999999999999</v>
      </c>
      <c r="S44" s="210">
        <v>0.30299999999999999</v>
      </c>
      <c r="T44" s="207">
        <v>0.26800000000000002</v>
      </c>
      <c r="U44" s="207">
        <v>0.26400000000000001</v>
      </c>
      <c r="V44" s="207">
        <v>0.49299999999999999</v>
      </c>
      <c r="W44" s="207">
        <v>0.47499999999999998</v>
      </c>
      <c r="X44" s="207">
        <v>0.57799999999999996</v>
      </c>
      <c r="Y44" s="210">
        <v>0.622</v>
      </c>
      <c r="Z44" s="207">
        <v>0.55700000000000005</v>
      </c>
      <c r="AA44" s="207">
        <v>5.5E-2</v>
      </c>
      <c r="AB44" s="239"/>
      <c r="AC44" s="235"/>
      <c r="AD44" s="235"/>
      <c r="AE44" s="235"/>
      <c r="AF44" s="235"/>
      <c r="AG44" s="235"/>
      <c r="AH44" s="235"/>
      <c r="AI44" s="235"/>
      <c r="AJ44" s="235"/>
      <c r="AK44" s="235"/>
      <c r="AL44" s="235"/>
      <c r="AM44" s="235"/>
      <c r="AN44" s="235"/>
      <c r="AO44" s="235"/>
      <c r="AP44" s="353"/>
      <c r="AQ44" s="353"/>
      <c r="AR44" s="353"/>
      <c r="AS44" s="353"/>
      <c r="AT44" s="353"/>
      <c r="AU44" s="353"/>
      <c r="AV44" s="353"/>
      <c r="AW44" s="353"/>
      <c r="AX44" s="353"/>
      <c r="AY44" s="353"/>
      <c r="AZ44" s="353"/>
      <c r="BA44" s="353"/>
    </row>
    <row r="45" spans="1:56" ht="23.25" x14ac:dyDescent="0.35">
      <c r="A45" s="239"/>
      <c r="B45" s="239"/>
      <c r="C45" s="238">
        <v>9</v>
      </c>
      <c r="D45" s="231">
        <v>7.4999999999999997E-2</v>
      </c>
      <c r="E45" s="231">
        <v>5.2999999999999999E-2</v>
      </c>
      <c r="F45" s="231">
        <v>5.8999999999999997E-2</v>
      </c>
      <c r="G45" s="231">
        <v>6.2E-2</v>
      </c>
      <c r="H45" s="231">
        <v>4.4999999999999998E-2</v>
      </c>
      <c r="I45" s="231">
        <v>0.05</v>
      </c>
      <c r="J45" s="231">
        <v>4.2999999999999997E-2</v>
      </c>
      <c r="K45" s="230">
        <v>5.0999999999999997E-2</v>
      </c>
      <c r="L45" s="230">
        <v>4.2000000000000003E-2</v>
      </c>
      <c r="M45" s="230">
        <v>4.3999999999999997E-2</v>
      </c>
      <c r="N45" s="230">
        <v>4.4999999999999998E-2</v>
      </c>
      <c r="O45" s="230">
        <v>4.3999999999999997E-2</v>
      </c>
      <c r="P45" s="230">
        <v>5.5E-2</v>
      </c>
      <c r="Q45" s="230">
        <v>0.05</v>
      </c>
      <c r="R45" s="230">
        <v>4.2999999999999997E-2</v>
      </c>
      <c r="S45" s="230">
        <v>4.4999999999999998E-2</v>
      </c>
      <c r="T45" s="230">
        <v>4.5999999999999999E-2</v>
      </c>
      <c r="U45" s="230">
        <v>4.3999999999999997E-2</v>
      </c>
      <c r="V45" s="230">
        <v>4.2000000000000003E-2</v>
      </c>
      <c r="W45" s="221">
        <v>4.2000000000000003E-2</v>
      </c>
      <c r="X45" s="223">
        <v>4.7E-2</v>
      </c>
      <c r="Y45" s="231">
        <v>7.1999999999999995E-2</v>
      </c>
      <c r="Z45" s="231">
        <v>4.2999999999999997E-2</v>
      </c>
      <c r="AA45" s="230">
        <v>4.2999999999999997E-2</v>
      </c>
      <c r="AB45" s="239"/>
      <c r="AD45" s="356" t="s">
        <v>759</v>
      </c>
      <c r="AE45" s="356"/>
      <c r="AF45" s="356"/>
      <c r="AG45" s="356"/>
      <c r="AH45" s="356"/>
      <c r="AI45" s="356"/>
      <c r="AJ45" s="356"/>
      <c r="AK45" s="356"/>
      <c r="AL45" s="356"/>
      <c r="AM45" s="356"/>
      <c r="AN45" s="356"/>
      <c r="AO45" s="356"/>
      <c r="AP45" s="356"/>
      <c r="AQ45" s="356"/>
      <c r="AR45" s="356"/>
      <c r="AS45" s="356"/>
      <c r="AT45" s="356"/>
      <c r="AU45" s="356"/>
      <c r="AV45" s="356"/>
      <c r="AW45" s="356"/>
      <c r="AX45" s="356"/>
      <c r="AY45" s="356"/>
      <c r="AZ45" s="356"/>
      <c r="BA45" s="356"/>
      <c r="BB45" s="356"/>
      <c r="BC45" s="356"/>
      <c r="BD45" s="356"/>
    </row>
    <row r="46" spans="1:56" x14ac:dyDescent="0.25">
      <c r="A46" s="239"/>
      <c r="B46" s="239"/>
      <c r="C46" s="238">
        <v>10</v>
      </c>
      <c r="D46" s="208">
        <v>2.032</v>
      </c>
      <c r="E46" s="226">
        <v>0.41699999999999998</v>
      </c>
      <c r="F46" s="208">
        <v>0.64100000000000001</v>
      </c>
      <c r="G46" s="208">
        <v>0.54</v>
      </c>
      <c r="H46" s="220">
        <v>0.27300000000000002</v>
      </c>
      <c r="I46" s="220">
        <v>0.54400000000000004</v>
      </c>
      <c r="J46" s="210">
        <v>5.2999999999999999E-2</v>
      </c>
      <c r="K46" s="220">
        <v>5.7000000000000002E-2</v>
      </c>
      <c r="L46" s="207">
        <v>5.0999999999999997E-2</v>
      </c>
      <c r="M46" s="224">
        <v>5.0999999999999997E-2</v>
      </c>
      <c r="N46" s="224">
        <v>5.8000000000000003E-2</v>
      </c>
      <c r="O46" s="210">
        <v>5.0999999999999997E-2</v>
      </c>
      <c r="P46" s="207">
        <v>0.65800000000000003</v>
      </c>
      <c r="Q46" s="210">
        <v>0.58099999999999996</v>
      </c>
      <c r="R46" s="210">
        <v>0.28899999999999998</v>
      </c>
      <c r="S46" s="210">
        <v>0.255</v>
      </c>
      <c r="T46" s="207">
        <v>0.26700000000000002</v>
      </c>
      <c r="U46" s="207">
        <v>0.25600000000000001</v>
      </c>
      <c r="V46" s="210">
        <v>0.48</v>
      </c>
      <c r="W46" s="207">
        <v>0.48399999999999999</v>
      </c>
      <c r="X46" s="210">
        <v>0.58399999999999996</v>
      </c>
      <c r="Y46" s="207">
        <v>0.56899999999999995</v>
      </c>
      <c r="Z46" s="207">
        <v>0.58099999999999996</v>
      </c>
      <c r="AA46" s="210">
        <v>5.8000000000000003E-2</v>
      </c>
      <c r="AB46" s="239"/>
      <c r="AD46" s="863" t="s">
        <v>965</v>
      </c>
      <c r="AE46" s="863"/>
      <c r="AF46" s="863"/>
      <c r="AG46" s="863"/>
      <c r="AH46" s="863"/>
      <c r="AP46" s="26"/>
      <c r="AQ46" s="26"/>
      <c r="AR46" s="26"/>
      <c r="AS46" s="26"/>
      <c r="AT46" s="26"/>
      <c r="AU46" s="26"/>
      <c r="AV46" s="26"/>
      <c r="AW46" s="26"/>
      <c r="AX46" s="26"/>
      <c r="AY46" s="26"/>
      <c r="AZ46" s="26"/>
      <c r="BA46" s="26"/>
    </row>
    <row r="47" spans="1:56" ht="15.75" thickBot="1" x14ac:dyDescent="0.3">
      <c r="A47" s="239"/>
      <c r="B47" s="239"/>
      <c r="C47" s="238">
        <v>10</v>
      </c>
      <c r="D47" s="231">
        <v>0.154</v>
      </c>
      <c r="E47" s="230">
        <v>4.3999999999999997E-2</v>
      </c>
      <c r="F47" s="230">
        <v>4.8000000000000001E-2</v>
      </c>
      <c r="G47" s="230">
        <v>4.2999999999999997E-2</v>
      </c>
      <c r="H47" s="230">
        <v>4.4999999999999998E-2</v>
      </c>
      <c r="I47" s="230">
        <v>4.3999999999999997E-2</v>
      </c>
      <c r="J47" s="230">
        <v>4.2999999999999997E-2</v>
      </c>
      <c r="K47" s="221">
        <v>4.8000000000000001E-2</v>
      </c>
      <c r="L47" s="221">
        <v>4.2999999999999997E-2</v>
      </c>
      <c r="M47" s="221">
        <v>4.2999999999999997E-2</v>
      </c>
      <c r="N47" s="221">
        <v>4.9000000000000002E-2</v>
      </c>
      <c r="O47" s="221">
        <v>4.3999999999999997E-2</v>
      </c>
      <c r="P47" s="222">
        <v>5.6000000000000001E-2</v>
      </c>
      <c r="Q47" s="221">
        <v>4.2999999999999997E-2</v>
      </c>
      <c r="R47" s="221">
        <v>4.3999999999999997E-2</v>
      </c>
      <c r="S47" s="221">
        <v>0.05</v>
      </c>
      <c r="T47" s="222">
        <v>4.7E-2</v>
      </c>
      <c r="U47" s="222">
        <v>4.4999999999999998E-2</v>
      </c>
      <c r="V47" s="223">
        <v>4.2000000000000003E-2</v>
      </c>
      <c r="W47" s="222">
        <v>4.2999999999999997E-2</v>
      </c>
      <c r="X47" s="222">
        <v>4.2999999999999997E-2</v>
      </c>
      <c r="Y47" s="222">
        <v>4.3999999999999997E-2</v>
      </c>
      <c r="Z47" s="222">
        <v>4.5999999999999999E-2</v>
      </c>
      <c r="AA47" s="222">
        <v>4.2999999999999997E-2</v>
      </c>
      <c r="AB47" s="239"/>
      <c r="AD47" s="235">
        <v>1</v>
      </c>
      <c r="AE47" s="235">
        <v>2</v>
      </c>
      <c r="AF47" s="235">
        <v>3</v>
      </c>
      <c r="AG47" s="235">
        <v>4</v>
      </c>
      <c r="AH47" s="235">
        <v>5</v>
      </c>
      <c r="AI47" s="235">
        <v>6</v>
      </c>
      <c r="AJ47" s="235">
        <v>7</v>
      </c>
      <c r="AK47" s="235">
        <v>8</v>
      </c>
      <c r="AL47" s="235">
        <v>9</v>
      </c>
      <c r="AM47" s="235">
        <v>10</v>
      </c>
      <c r="AN47" s="235">
        <v>11</v>
      </c>
      <c r="AO47" s="235">
        <v>12</v>
      </c>
      <c r="AP47" s="235">
        <v>13</v>
      </c>
      <c r="AQ47" s="235">
        <v>14</v>
      </c>
      <c r="AR47" s="235">
        <v>15</v>
      </c>
      <c r="AS47" s="235">
        <v>16</v>
      </c>
      <c r="AT47" s="235">
        <v>17</v>
      </c>
      <c r="AU47" s="235">
        <v>18</v>
      </c>
      <c r="AV47" s="235">
        <v>19</v>
      </c>
      <c r="AW47" s="235">
        <v>20</v>
      </c>
      <c r="AX47" s="235">
        <v>21</v>
      </c>
      <c r="AY47" s="235">
        <v>22</v>
      </c>
      <c r="AZ47" s="235">
        <v>23</v>
      </c>
      <c r="BA47" s="353">
        <v>24</v>
      </c>
    </row>
    <row r="48" spans="1:56" ht="15" customHeight="1" x14ac:dyDescent="0.25">
      <c r="A48" s="239"/>
      <c r="B48" s="239"/>
      <c r="C48" s="238">
        <v>11</v>
      </c>
      <c r="D48" s="207">
        <v>0.81</v>
      </c>
      <c r="E48" s="207">
        <v>1.853</v>
      </c>
      <c r="F48" s="207">
        <v>0.67900000000000005</v>
      </c>
      <c r="G48" s="208">
        <v>0.51</v>
      </c>
      <c r="H48" s="207">
        <v>0.29499999999999998</v>
      </c>
      <c r="I48" s="207">
        <v>0.23200000000000001</v>
      </c>
      <c r="J48" s="210">
        <v>6.5000000000000002E-2</v>
      </c>
      <c r="K48" s="208">
        <v>6.2E-2</v>
      </c>
      <c r="L48" s="208">
        <v>6.7000000000000004E-2</v>
      </c>
      <c r="M48" s="220">
        <v>5.1999999999999998E-2</v>
      </c>
      <c r="N48" s="220">
        <v>5.0999999999999997E-2</v>
      </c>
      <c r="O48" s="210">
        <v>0.05</v>
      </c>
      <c r="P48" s="210">
        <v>0.624</v>
      </c>
      <c r="Q48" s="207">
        <v>0.30399999999999999</v>
      </c>
      <c r="R48" s="210">
        <v>0.30299999999999999</v>
      </c>
      <c r="S48" s="210">
        <v>0.316</v>
      </c>
      <c r="T48" s="210">
        <v>0.248</v>
      </c>
      <c r="U48" s="210">
        <v>0.248</v>
      </c>
      <c r="V48" s="210">
        <v>0.48899999999999999</v>
      </c>
      <c r="W48" s="207">
        <v>0.45400000000000001</v>
      </c>
      <c r="X48" s="210">
        <v>0.56999999999999995</v>
      </c>
      <c r="Y48" s="207">
        <v>0.57399999999999995</v>
      </c>
      <c r="Z48" s="207">
        <v>0.13900000000000001</v>
      </c>
      <c r="AA48" s="210">
        <v>9.6000000000000002E-2</v>
      </c>
      <c r="AB48" s="239"/>
      <c r="AC48" s="358">
        <v>1</v>
      </c>
      <c r="AD48" s="468">
        <f>AD28</f>
        <v>2.6560000000000001</v>
      </c>
      <c r="AE48" s="469">
        <f>AE28</f>
        <v>0.39</v>
      </c>
      <c r="AF48" s="469">
        <f t="shared" ref="AF48:AO48" si="16">AF28</f>
        <v>0.22800000000000004</v>
      </c>
      <c r="AG48" s="469">
        <f t="shared" si="16"/>
        <v>0.57499999999999996</v>
      </c>
      <c r="AH48" s="469">
        <f t="shared" si="16"/>
        <v>0.46600000000000003</v>
      </c>
      <c r="AI48" s="469">
        <f t="shared" si="16"/>
        <v>0.46100000000000002</v>
      </c>
      <c r="AJ48" s="469">
        <f t="shared" si="16"/>
        <v>0.49900000000000005</v>
      </c>
      <c r="AK48" s="469">
        <f t="shared" si="16"/>
        <v>0.248</v>
      </c>
      <c r="AL48" s="469">
        <f t="shared" si="16"/>
        <v>0.24</v>
      </c>
      <c r="AM48" s="469">
        <f t="shared" si="16"/>
        <v>0.27700000000000002</v>
      </c>
      <c r="AN48" s="469">
        <f t="shared" si="16"/>
        <v>0.29700000000000004</v>
      </c>
      <c r="AO48" s="470">
        <f t="shared" si="16"/>
        <v>0.64499999999999991</v>
      </c>
      <c r="AP48" s="471">
        <f>AP36</f>
        <v>0.58699999999999997</v>
      </c>
      <c r="AQ48" s="472">
        <f t="shared" ref="AQ48:AZ48" si="17">AQ36</f>
        <v>0.55999999999999994</v>
      </c>
      <c r="AR48" s="472">
        <f t="shared" si="17"/>
        <v>0.25800000000000001</v>
      </c>
      <c r="AS48" s="472">
        <f t="shared" si="17"/>
        <v>0.25800000000000001</v>
      </c>
      <c r="AT48" s="472">
        <f t="shared" si="17"/>
        <v>0.22200000000000003</v>
      </c>
      <c r="AU48" s="472">
        <f t="shared" si="17"/>
        <v>0.22000000000000003</v>
      </c>
      <c r="AV48" s="472">
        <f t="shared" si="17"/>
        <v>0.45100000000000001</v>
      </c>
      <c r="AW48" s="472">
        <f t="shared" si="17"/>
        <v>0.433</v>
      </c>
      <c r="AX48" s="472">
        <f t="shared" si="17"/>
        <v>0.53099999999999992</v>
      </c>
      <c r="AY48" s="472">
        <f t="shared" si="17"/>
        <v>0.55000000000000004</v>
      </c>
      <c r="AZ48" s="472">
        <f t="shared" si="17"/>
        <v>0.51400000000000001</v>
      </c>
      <c r="BA48" s="473">
        <f>BA36</f>
        <v>1.2000000000000004E-2</v>
      </c>
    </row>
    <row r="49" spans="1:56" ht="15" customHeight="1" x14ac:dyDescent="0.25">
      <c r="A49" s="239"/>
      <c r="B49" s="239"/>
      <c r="C49" s="238">
        <v>11</v>
      </c>
      <c r="D49" s="230">
        <v>4.9000000000000002E-2</v>
      </c>
      <c r="E49" s="230">
        <v>4.4999999999999998E-2</v>
      </c>
      <c r="F49" s="221">
        <v>4.4999999999999998E-2</v>
      </c>
      <c r="G49" s="223">
        <v>4.8000000000000001E-2</v>
      </c>
      <c r="H49" s="230">
        <v>4.7E-2</v>
      </c>
      <c r="I49" s="230">
        <v>4.4999999999999998E-2</v>
      </c>
      <c r="J49" s="230">
        <v>0.05</v>
      </c>
      <c r="K49" s="221">
        <v>5.0999999999999997E-2</v>
      </c>
      <c r="L49" s="221">
        <v>5.0999999999999997E-2</v>
      </c>
      <c r="M49" s="221">
        <v>4.2999999999999997E-2</v>
      </c>
      <c r="N49" s="221">
        <v>4.2000000000000003E-2</v>
      </c>
      <c r="O49" s="221">
        <v>4.2999999999999997E-2</v>
      </c>
      <c r="P49" s="222">
        <v>5.0999999999999997E-2</v>
      </c>
      <c r="Q49" s="221">
        <v>4.2999999999999997E-2</v>
      </c>
      <c r="R49" s="221">
        <v>4.2999999999999997E-2</v>
      </c>
      <c r="S49" s="221">
        <v>4.7E-2</v>
      </c>
      <c r="T49" s="222">
        <v>4.4999999999999998E-2</v>
      </c>
      <c r="U49" s="221">
        <v>4.3999999999999997E-2</v>
      </c>
      <c r="V49" s="221">
        <v>4.2000000000000003E-2</v>
      </c>
      <c r="W49" s="221">
        <v>4.2999999999999997E-2</v>
      </c>
      <c r="X49" s="222">
        <v>4.2999999999999997E-2</v>
      </c>
      <c r="Y49" s="222">
        <v>4.2999999999999997E-2</v>
      </c>
      <c r="Z49" s="222">
        <v>4.2999999999999997E-2</v>
      </c>
      <c r="AA49" s="230">
        <v>5.8999999999999997E-2</v>
      </c>
      <c r="AB49" s="239"/>
      <c r="AC49" s="358">
        <v>2</v>
      </c>
      <c r="AD49" s="468">
        <f t="shared" ref="AD49:AD54" si="18">AD29</f>
        <v>1.873</v>
      </c>
      <c r="AE49" s="469">
        <f t="shared" ref="AE49:AO49" si="19">AE29</f>
        <v>0.34900000000000003</v>
      </c>
      <c r="AF49" s="469">
        <f t="shared" si="19"/>
        <v>0.54999999999999993</v>
      </c>
      <c r="AG49" s="469">
        <f t="shared" si="19"/>
        <v>0.53899999999999992</v>
      </c>
      <c r="AH49" s="469">
        <f t="shared" si="19"/>
        <v>0.39800000000000002</v>
      </c>
      <c r="AI49" s="469">
        <f t="shared" si="19"/>
        <v>0.438</v>
      </c>
      <c r="AJ49" s="469">
        <f t="shared" si="19"/>
        <v>0.48200000000000004</v>
      </c>
      <c r="AK49" s="469">
        <f t="shared" si="19"/>
        <v>0.22400000000000003</v>
      </c>
      <c r="AL49" s="469">
        <f t="shared" si="19"/>
        <v>0.22700000000000004</v>
      </c>
      <c r="AM49" s="469">
        <f t="shared" si="19"/>
        <v>0.254</v>
      </c>
      <c r="AN49" s="469">
        <f t="shared" si="19"/>
        <v>0.28300000000000003</v>
      </c>
      <c r="AO49" s="470">
        <f t="shared" si="19"/>
        <v>0.60299999999999998</v>
      </c>
      <c r="AP49" s="474">
        <f t="shared" ref="AP49:BA49" si="20">AP37</f>
        <v>0.60199999999999998</v>
      </c>
      <c r="AQ49" s="475">
        <f t="shared" si="20"/>
        <v>0.53799999999999992</v>
      </c>
      <c r="AR49" s="475">
        <f t="shared" si="20"/>
        <v>0.245</v>
      </c>
      <c r="AS49" s="475">
        <f t="shared" si="20"/>
        <v>0.20500000000000002</v>
      </c>
      <c r="AT49" s="475">
        <f t="shared" si="20"/>
        <v>0.22000000000000003</v>
      </c>
      <c r="AU49" s="475">
        <f t="shared" si="20"/>
        <v>0.21100000000000002</v>
      </c>
      <c r="AV49" s="475">
        <f t="shared" si="20"/>
        <v>0.438</v>
      </c>
      <c r="AW49" s="475">
        <f t="shared" si="20"/>
        <v>0.441</v>
      </c>
      <c r="AX49" s="475">
        <f t="shared" si="20"/>
        <v>0.54099999999999993</v>
      </c>
      <c r="AY49" s="475">
        <f t="shared" si="20"/>
        <v>0.52499999999999991</v>
      </c>
      <c r="AZ49" s="475">
        <f t="shared" si="20"/>
        <v>0.53499999999999992</v>
      </c>
      <c r="BA49" s="476">
        <f t="shared" si="20"/>
        <v>1.5000000000000006E-2</v>
      </c>
    </row>
    <row r="50" spans="1:56" x14ac:dyDescent="0.25">
      <c r="A50" s="239"/>
      <c r="B50" s="239"/>
      <c r="C50" s="238">
        <v>12</v>
      </c>
      <c r="D50" s="220">
        <v>0.32200000000000001</v>
      </c>
      <c r="E50" s="207">
        <v>1.8069999999999999</v>
      </c>
      <c r="F50" s="207">
        <v>0.64700000000000002</v>
      </c>
      <c r="G50" s="208">
        <v>0.51900000000000002</v>
      </c>
      <c r="H50" s="208">
        <v>0.34799999999999998</v>
      </c>
      <c r="I50" s="220">
        <v>6.2E-2</v>
      </c>
      <c r="J50" s="207">
        <v>5.6000000000000001E-2</v>
      </c>
      <c r="K50" s="220">
        <v>6.0999999999999999E-2</v>
      </c>
      <c r="L50" s="208">
        <v>5.2999999999999999E-2</v>
      </c>
      <c r="M50" s="220">
        <v>5.3999999999999999E-2</v>
      </c>
      <c r="N50" s="220">
        <v>5.8000000000000003E-2</v>
      </c>
      <c r="O50" s="207">
        <v>5.0999999999999997E-2</v>
      </c>
      <c r="P50" s="207">
        <v>0.63600000000000001</v>
      </c>
      <c r="Q50" s="207">
        <v>0.313</v>
      </c>
      <c r="R50" s="207">
        <v>0.31900000000000001</v>
      </c>
      <c r="S50" s="207">
        <v>0.32200000000000001</v>
      </c>
      <c r="T50" s="207">
        <v>0.27800000000000002</v>
      </c>
      <c r="U50" s="207">
        <v>0.26200000000000001</v>
      </c>
      <c r="V50" s="207">
        <v>0.50600000000000001</v>
      </c>
      <c r="W50" s="207">
        <v>0.498</v>
      </c>
      <c r="X50" s="207">
        <v>0.59199999999999997</v>
      </c>
      <c r="Y50" s="207">
        <v>0.57399999999999995</v>
      </c>
      <c r="Z50" s="207">
        <v>0.13800000000000001</v>
      </c>
      <c r="AA50" s="207">
        <v>0.13700000000000001</v>
      </c>
      <c r="AB50" s="239"/>
      <c r="AC50" s="358">
        <v>3</v>
      </c>
      <c r="AD50" s="468">
        <f t="shared" si="18"/>
        <v>0.72599999999999998</v>
      </c>
      <c r="AE50" s="469">
        <f t="shared" ref="AE50:AO50" si="21">AE30</f>
        <v>1.8</v>
      </c>
      <c r="AF50" s="469">
        <f t="shared" si="21"/>
        <v>0.50600000000000001</v>
      </c>
      <c r="AG50" s="469">
        <f t="shared" si="21"/>
        <v>0.56499999999999995</v>
      </c>
      <c r="AH50" s="469">
        <f t="shared" si="21"/>
        <v>0.38400000000000001</v>
      </c>
      <c r="AI50" s="469">
        <f t="shared" si="21"/>
        <v>0.41899999999999998</v>
      </c>
      <c r="AJ50" s="469">
        <f t="shared" si="21"/>
        <v>0.23099999999999998</v>
      </c>
      <c r="AK50" s="469">
        <f t="shared" si="21"/>
        <v>0.21899999999999997</v>
      </c>
      <c r="AL50" s="469">
        <f t="shared" si="21"/>
        <v>0.22600000000000003</v>
      </c>
      <c r="AM50" s="469">
        <f t="shared" si="21"/>
        <v>0.27200000000000002</v>
      </c>
      <c r="AN50" s="469">
        <f t="shared" si="21"/>
        <v>0.27</v>
      </c>
      <c r="AO50" s="470">
        <f t="shared" si="21"/>
        <v>0.59699999999999998</v>
      </c>
      <c r="AP50" s="474">
        <f t="shared" ref="AP50:BA50" si="22">AP38</f>
        <v>0.57299999999999995</v>
      </c>
      <c r="AQ50" s="475">
        <f t="shared" si="22"/>
        <v>0.26100000000000001</v>
      </c>
      <c r="AR50" s="475">
        <f t="shared" si="22"/>
        <v>0.26</v>
      </c>
      <c r="AS50" s="475">
        <f t="shared" si="22"/>
        <v>0.26900000000000002</v>
      </c>
      <c r="AT50" s="475">
        <f t="shared" si="22"/>
        <v>0.20300000000000001</v>
      </c>
      <c r="AU50" s="475">
        <f t="shared" si="22"/>
        <v>0.20400000000000001</v>
      </c>
      <c r="AV50" s="475">
        <f t="shared" si="22"/>
        <v>0.44700000000000001</v>
      </c>
      <c r="AW50" s="475">
        <f t="shared" si="22"/>
        <v>0.41100000000000003</v>
      </c>
      <c r="AX50" s="475">
        <f t="shared" si="22"/>
        <v>0.52699999999999991</v>
      </c>
      <c r="AY50" s="475">
        <f t="shared" si="22"/>
        <v>0.53099999999999992</v>
      </c>
      <c r="AZ50" s="475">
        <f t="shared" si="22"/>
        <v>9.6000000000000016E-2</v>
      </c>
      <c r="BA50" s="476">
        <f t="shared" si="22"/>
        <v>3.7000000000000005E-2</v>
      </c>
    </row>
    <row r="51" spans="1:56" x14ac:dyDescent="0.25">
      <c r="A51" s="239"/>
      <c r="B51" s="239"/>
      <c r="C51" s="238">
        <v>12</v>
      </c>
      <c r="D51" s="230">
        <v>4.9000000000000002E-2</v>
      </c>
      <c r="E51" s="221">
        <v>4.4999999999999998E-2</v>
      </c>
      <c r="F51" s="222">
        <v>5.2999999999999999E-2</v>
      </c>
      <c r="G51" s="222">
        <v>5.8999999999999997E-2</v>
      </c>
      <c r="H51" s="222">
        <v>5.8000000000000003E-2</v>
      </c>
      <c r="I51" s="223">
        <v>4.8000000000000001E-2</v>
      </c>
      <c r="J51" s="223">
        <v>4.8000000000000001E-2</v>
      </c>
      <c r="K51" s="223">
        <v>5.1999999999999998E-2</v>
      </c>
      <c r="L51" s="223">
        <v>4.5999999999999999E-2</v>
      </c>
      <c r="M51" s="223">
        <v>4.7E-2</v>
      </c>
      <c r="N51" s="223">
        <v>0.05</v>
      </c>
      <c r="O51" s="223">
        <v>4.8000000000000001E-2</v>
      </c>
      <c r="P51" s="216">
        <v>0.06</v>
      </c>
      <c r="Q51" s="216">
        <v>4.8000000000000001E-2</v>
      </c>
      <c r="R51" s="216">
        <v>0.05</v>
      </c>
      <c r="S51" s="223">
        <v>0.06</v>
      </c>
      <c r="T51" s="216">
        <v>5.2999999999999999E-2</v>
      </c>
      <c r="U51" s="223">
        <v>4.5999999999999999E-2</v>
      </c>
      <c r="V51" s="216">
        <v>4.5999999999999999E-2</v>
      </c>
      <c r="W51" s="223">
        <v>4.3999999999999997E-2</v>
      </c>
      <c r="X51" s="223">
        <v>4.5999999999999999E-2</v>
      </c>
      <c r="Y51" s="223">
        <v>5.5E-2</v>
      </c>
      <c r="Z51" s="223">
        <v>4.4999999999999998E-2</v>
      </c>
      <c r="AA51" s="223">
        <v>4.5999999999999999E-2</v>
      </c>
      <c r="AB51" s="239"/>
      <c r="AC51" s="358">
        <v>4</v>
      </c>
      <c r="AD51" s="468">
        <f t="shared" si="18"/>
        <v>0.25800000000000001</v>
      </c>
      <c r="AE51" s="469">
        <f t="shared" ref="AE51:AO51" si="23">AE31</f>
        <v>1.704</v>
      </c>
      <c r="AF51" s="469">
        <f t="shared" si="23"/>
        <v>0.49700000000000005</v>
      </c>
      <c r="AG51" s="469">
        <f t="shared" si="23"/>
        <v>0.54599999999999993</v>
      </c>
      <c r="AH51" s="469">
        <f t="shared" si="23"/>
        <v>0.44400000000000001</v>
      </c>
      <c r="AI51" s="469">
        <f t="shared" si="23"/>
        <v>0.45600000000000002</v>
      </c>
      <c r="AJ51" s="469">
        <f t="shared" si="23"/>
        <v>0.22500000000000003</v>
      </c>
      <c r="AK51" s="469">
        <f t="shared" si="23"/>
        <v>0.21300000000000002</v>
      </c>
      <c r="AL51" s="469">
        <f t="shared" si="23"/>
        <v>0.23100000000000004</v>
      </c>
      <c r="AM51" s="469">
        <f t="shared" si="23"/>
        <v>0.251</v>
      </c>
      <c r="AN51" s="469">
        <f t="shared" si="23"/>
        <v>0.27800000000000002</v>
      </c>
      <c r="AO51" s="470">
        <f t="shared" si="23"/>
        <v>0.55899999999999994</v>
      </c>
      <c r="AP51" s="474">
        <f t="shared" ref="AP51:BA51" si="24">AP39</f>
        <v>0.57600000000000007</v>
      </c>
      <c r="AQ51" s="475">
        <f t="shared" si="24"/>
        <v>0.26500000000000001</v>
      </c>
      <c r="AR51" s="475">
        <f t="shared" si="24"/>
        <v>0.26900000000000002</v>
      </c>
      <c r="AS51" s="475">
        <f t="shared" si="24"/>
        <v>0.26200000000000001</v>
      </c>
      <c r="AT51" s="475">
        <f t="shared" si="24"/>
        <v>0.22500000000000003</v>
      </c>
      <c r="AU51" s="475">
        <f t="shared" si="24"/>
        <v>0.21600000000000003</v>
      </c>
      <c r="AV51" s="475">
        <f t="shared" si="24"/>
        <v>0.46</v>
      </c>
      <c r="AW51" s="475">
        <f t="shared" si="24"/>
        <v>0.45400000000000001</v>
      </c>
      <c r="AX51" s="475">
        <f t="shared" si="24"/>
        <v>0.54599999999999993</v>
      </c>
      <c r="AY51" s="475">
        <f t="shared" si="24"/>
        <v>0.51899999999999991</v>
      </c>
      <c r="AZ51" s="475">
        <f t="shared" si="24"/>
        <v>9.3000000000000013E-2</v>
      </c>
      <c r="BA51" s="476">
        <f t="shared" si="24"/>
        <v>9.1000000000000011E-2</v>
      </c>
    </row>
    <row r="52" spans="1:56" x14ac:dyDescent="0.25">
      <c r="A52" s="239"/>
      <c r="B52" s="239"/>
      <c r="C52" s="238">
        <v>13</v>
      </c>
      <c r="D52" s="210">
        <v>0.183</v>
      </c>
      <c r="E52" s="207">
        <v>0.13700000000000001</v>
      </c>
      <c r="F52" s="207">
        <v>0.66100000000000003</v>
      </c>
      <c r="G52" s="207">
        <v>0.30299999999999999</v>
      </c>
      <c r="H52" s="208">
        <v>0.26600000000000001</v>
      </c>
      <c r="I52" s="210">
        <v>6.9000000000000006E-2</v>
      </c>
      <c r="J52" s="210">
        <v>5.8000000000000003E-2</v>
      </c>
      <c r="K52" s="209">
        <v>7.3999999999999996E-2</v>
      </c>
      <c r="L52" s="208">
        <v>5.8000000000000003E-2</v>
      </c>
      <c r="M52" s="208">
        <v>7.0999999999999994E-2</v>
      </c>
      <c r="N52" s="220">
        <v>6.6000000000000003E-2</v>
      </c>
      <c r="O52" s="210">
        <v>6.8000000000000005E-2</v>
      </c>
      <c r="P52" s="210">
        <v>0.60799999999999998</v>
      </c>
      <c r="Q52" s="210">
        <v>0.308</v>
      </c>
      <c r="R52" s="210">
        <v>0.311</v>
      </c>
      <c r="S52" s="210">
        <v>0.28999999999999998</v>
      </c>
      <c r="T52" s="210">
        <v>0.26500000000000001</v>
      </c>
      <c r="U52" s="210">
        <v>0.28199999999999997</v>
      </c>
      <c r="V52" s="210">
        <v>0.51300000000000001</v>
      </c>
      <c r="W52" s="207">
        <v>0.52100000000000002</v>
      </c>
      <c r="X52" s="207">
        <v>0.58399999999999996</v>
      </c>
      <c r="Y52" s="210">
        <v>0.56100000000000005</v>
      </c>
      <c r="Z52" s="210">
        <v>1.853</v>
      </c>
      <c r="AA52" s="210">
        <v>0.32100000000000001</v>
      </c>
      <c r="AB52" s="239"/>
      <c r="AC52" s="358">
        <v>5</v>
      </c>
      <c r="AD52" s="468">
        <f t="shared" si="18"/>
        <v>0.11599999999999996</v>
      </c>
      <c r="AE52" s="469">
        <f t="shared" ref="AE52:AO52" si="25">AE32</f>
        <v>9.1999999999999998E-2</v>
      </c>
      <c r="AF52" s="469">
        <f t="shared" si="25"/>
        <v>0.504</v>
      </c>
      <c r="AG52" s="469">
        <f t="shared" si="25"/>
        <v>0.53699999999999992</v>
      </c>
      <c r="AH52" s="469">
        <f t="shared" si="25"/>
        <v>0.47500000000000003</v>
      </c>
      <c r="AI52" s="469">
        <f t="shared" si="25"/>
        <v>0.47400000000000003</v>
      </c>
      <c r="AJ52" s="469">
        <f t="shared" si="25"/>
        <v>0.22300000000000003</v>
      </c>
      <c r="AK52" s="469">
        <f t="shared" si="25"/>
        <v>0.22499999999999998</v>
      </c>
      <c r="AL52" s="469">
        <f t="shared" si="25"/>
        <v>0.26300000000000001</v>
      </c>
      <c r="AM52" s="469">
        <f t="shared" si="25"/>
        <v>0.26200000000000001</v>
      </c>
      <c r="AN52" s="469">
        <f t="shared" si="25"/>
        <v>0.372</v>
      </c>
      <c r="AO52" s="470">
        <f t="shared" si="25"/>
        <v>0.64999999999999991</v>
      </c>
      <c r="AP52" s="474">
        <f t="shared" ref="AP52:BA52" si="26">AP40</f>
        <v>0.55699999999999994</v>
      </c>
      <c r="AQ52" s="475">
        <f t="shared" si="26"/>
        <v>0.26200000000000001</v>
      </c>
      <c r="AR52" s="475">
        <f t="shared" si="26"/>
        <v>0.26100000000000001</v>
      </c>
      <c r="AS52" s="475">
        <f t="shared" si="26"/>
        <v>0.23299999999999998</v>
      </c>
      <c r="AT52" s="475">
        <f t="shared" si="26"/>
        <v>0.21900000000000003</v>
      </c>
      <c r="AU52" s="475">
        <f t="shared" si="26"/>
        <v>0.22799999999999998</v>
      </c>
      <c r="AV52" s="475">
        <f t="shared" si="26"/>
        <v>0.47000000000000003</v>
      </c>
      <c r="AW52" s="475">
        <f t="shared" si="26"/>
        <v>0.47500000000000003</v>
      </c>
      <c r="AX52" s="475">
        <f t="shared" si="26"/>
        <v>0.53999999999999992</v>
      </c>
      <c r="AY52" s="475">
        <f t="shared" si="26"/>
        <v>0.49700000000000005</v>
      </c>
      <c r="AZ52" s="475">
        <f t="shared" si="26"/>
        <v>1.81</v>
      </c>
      <c r="BA52" s="476">
        <f t="shared" si="26"/>
        <v>0.27600000000000002</v>
      </c>
    </row>
    <row r="53" spans="1:56" x14ac:dyDescent="0.25">
      <c r="A53" s="239"/>
      <c r="B53" s="239"/>
      <c r="C53" s="238">
        <v>13</v>
      </c>
      <c r="D53" s="230">
        <v>8.6999999999999994E-2</v>
      </c>
      <c r="E53" s="230">
        <v>4.4999999999999998E-2</v>
      </c>
      <c r="F53" s="221">
        <v>4.9000000000000002E-2</v>
      </c>
      <c r="G53" s="221">
        <v>5.5E-2</v>
      </c>
      <c r="H53" s="221">
        <v>4.7E-2</v>
      </c>
      <c r="I53" s="221">
        <v>5.1999999999999998E-2</v>
      </c>
      <c r="J53" s="221">
        <v>4.7E-2</v>
      </c>
      <c r="K53" s="221">
        <v>0.06</v>
      </c>
      <c r="L53" s="221">
        <v>0.05</v>
      </c>
      <c r="M53" s="222">
        <v>4.9000000000000002E-2</v>
      </c>
      <c r="N53" s="222">
        <v>5.6000000000000001E-2</v>
      </c>
      <c r="O53" s="221">
        <v>5.3999999999999999E-2</v>
      </c>
      <c r="P53" s="222">
        <v>5.0999999999999997E-2</v>
      </c>
      <c r="Q53" s="222">
        <v>4.5999999999999999E-2</v>
      </c>
      <c r="R53" s="222">
        <v>0.05</v>
      </c>
      <c r="S53" s="222">
        <v>5.7000000000000002E-2</v>
      </c>
      <c r="T53" s="222">
        <v>4.5999999999999999E-2</v>
      </c>
      <c r="U53" s="222">
        <v>5.3999999999999999E-2</v>
      </c>
      <c r="V53" s="221">
        <v>4.2999999999999997E-2</v>
      </c>
      <c r="W53" s="221">
        <v>4.5999999999999999E-2</v>
      </c>
      <c r="X53" s="222">
        <v>4.3999999999999997E-2</v>
      </c>
      <c r="Y53" s="222">
        <v>6.4000000000000001E-2</v>
      </c>
      <c r="Z53" s="221">
        <v>4.2999999999999997E-2</v>
      </c>
      <c r="AA53" s="222">
        <v>4.4999999999999998E-2</v>
      </c>
      <c r="AB53" s="239"/>
      <c r="AC53" s="358">
        <v>6</v>
      </c>
      <c r="AD53" s="468">
        <f t="shared" si="18"/>
        <v>3.6999999999999998E-2</v>
      </c>
      <c r="AE53" s="469">
        <f t="shared" ref="AE53:AO53" si="27">AE33</f>
        <v>9.2999999999999985E-2</v>
      </c>
      <c r="AF53" s="469">
        <f t="shared" si="27"/>
        <v>0.5169999999999999</v>
      </c>
      <c r="AG53" s="469">
        <f t="shared" si="27"/>
        <v>0.52399999999999991</v>
      </c>
      <c r="AH53" s="469">
        <f t="shared" si="27"/>
        <v>0.40500000000000003</v>
      </c>
      <c r="AI53" s="469">
        <f t="shared" si="27"/>
        <v>0.44900000000000001</v>
      </c>
      <c r="AJ53" s="469">
        <f t="shared" si="27"/>
        <v>0.21399999999999997</v>
      </c>
      <c r="AK53" s="469">
        <f t="shared" si="27"/>
        <v>0.19600000000000001</v>
      </c>
      <c r="AL53" s="469">
        <f t="shared" si="27"/>
        <v>0.26800000000000002</v>
      </c>
      <c r="AM53" s="469">
        <f t="shared" si="27"/>
        <v>0.248</v>
      </c>
      <c r="AN53" s="469">
        <f t="shared" si="27"/>
        <v>0.27100000000000002</v>
      </c>
      <c r="AO53" s="470">
        <f t="shared" si="27"/>
        <v>0.50800000000000001</v>
      </c>
      <c r="AP53" s="474">
        <f t="shared" ref="AP53:BA53" si="28">AP41</f>
        <v>0.59600000000000009</v>
      </c>
      <c r="AQ53" s="475">
        <f t="shared" si="28"/>
        <v>0.26500000000000001</v>
      </c>
      <c r="AR53" s="475">
        <f t="shared" si="28"/>
        <v>0.28200000000000003</v>
      </c>
      <c r="AS53" s="475">
        <f t="shared" si="28"/>
        <v>0.22499999999999998</v>
      </c>
      <c r="AT53" s="475">
        <f t="shared" si="28"/>
        <v>0.23499999999999999</v>
      </c>
      <c r="AU53" s="475">
        <f t="shared" si="28"/>
        <v>0.21900000000000003</v>
      </c>
      <c r="AV53" s="475">
        <f t="shared" si="28"/>
        <v>0.40800000000000003</v>
      </c>
      <c r="AW53" s="475">
        <f t="shared" si="28"/>
        <v>0.40500000000000003</v>
      </c>
      <c r="AX53" s="475">
        <f t="shared" si="28"/>
        <v>0.56199999999999994</v>
      </c>
      <c r="AY53" s="475">
        <f t="shared" si="28"/>
        <v>0.49800000000000005</v>
      </c>
      <c r="AZ53" s="475">
        <f t="shared" si="28"/>
        <v>1.8130000000000002</v>
      </c>
      <c r="BA53" s="476">
        <f t="shared" si="28"/>
        <v>0.752</v>
      </c>
    </row>
    <row r="54" spans="1:56" x14ac:dyDescent="0.25">
      <c r="A54" s="239"/>
      <c r="B54" s="239"/>
      <c r="C54" s="238">
        <v>14</v>
      </c>
      <c r="D54" s="210">
        <v>7.9000000000000001E-2</v>
      </c>
      <c r="E54" s="207">
        <v>0.14099999999999999</v>
      </c>
      <c r="F54" s="207">
        <v>0.65400000000000003</v>
      </c>
      <c r="G54" s="207">
        <v>0.53500000000000003</v>
      </c>
      <c r="H54" s="208">
        <v>0.32600000000000001</v>
      </c>
      <c r="I54" s="207">
        <v>7.2999999999999995E-2</v>
      </c>
      <c r="J54" s="207">
        <v>6.4000000000000001E-2</v>
      </c>
      <c r="K54" s="209">
        <v>6.3E-2</v>
      </c>
      <c r="L54" s="208">
        <v>5.5E-2</v>
      </c>
      <c r="M54" s="208">
        <v>5.5E-2</v>
      </c>
      <c r="N54" s="220">
        <v>5.5E-2</v>
      </c>
      <c r="O54" s="207">
        <v>5.2999999999999999E-2</v>
      </c>
      <c r="P54" s="210">
        <v>0.65800000000000003</v>
      </c>
      <c r="Q54" s="207">
        <v>0.314</v>
      </c>
      <c r="R54" s="207">
        <v>0.33</v>
      </c>
      <c r="S54" s="210">
        <v>0.28599999999999998</v>
      </c>
      <c r="T54" s="210">
        <v>0.28199999999999997</v>
      </c>
      <c r="U54" s="210">
        <v>0.26600000000000001</v>
      </c>
      <c r="V54" s="210">
        <v>0.45400000000000001</v>
      </c>
      <c r="W54" s="207">
        <v>0.45200000000000001</v>
      </c>
      <c r="X54" s="207">
        <v>0.61</v>
      </c>
      <c r="Y54" s="210">
        <v>0.54600000000000004</v>
      </c>
      <c r="Z54" s="210">
        <v>1.8580000000000001</v>
      </c>
      <c r="AA54" s="207">
        <v>0.8</v>
      </c>
      <c r="AB54" s="239"/>
      <c r="AC54" s="358">
        <v>7</v>
      </c>
      <c r="AD54" s="468">
        <f t="shared" si="18"/>
        <v>1.9000000000000003E-2</v>
      </c>
      <c r="AE54" s="469">
        <f t="shared" ref="AE54:AO54" si="29">AE34</f>
        <v>0.55399999999999994</v>
      </c>
      <c r="AF54" s="469">
        <f t="shared" si="29"/>
        <v>0.52199999999999991</v>
      </c>
      <c r="AG54" s="469">
        <f t="shared" si="29"/>
        <v>0.54399999999999993</v>
      </c>
      <c r="AH54" s="469">
        <f t="shared" si="29"/>
        <v>0.43</v>
      </c>
      <c r="AI54" s="469">
        <f t="shared" si="29"/>
        <v>0.47000000000000003</v>
      </c>
      <c r="AJ54" s="469">
        <f t="shared" si="29"/>
        <v>0.22400000000000003</v>
      </c>
      <c r="AK54" s="469">
        <f t="shared" si="29"/>
        <v>0.22100000000000003</v>
      </c>
      <c r="AL54" s="469">
        <f t="shared" si="29"/>
        <v>0.21500000000000002</v>
      </c>
      <c r="AM54" s="469">
        <f t="shared" si="29"/>
        <v>0.22899999999999998</v>
      </c>
      <c r="AN54" s="469">
        <f t="shared" si="29"/>
        <v>0.53599999999999992</v>
      </c>
      <c r="AO54" s="470">
        <f t="shared" si="29"/>
        <v>0.58199999999999996</v>
      </c>
      <c r="AP54" s="474">
        <f t="shared" ref="AP54:BA54" si="30">AP42</f>
        <v>0.64499999999999991</v>
      </c>
      <c r="AQ54" s="475">
        <f t="shared" si="30"/>
        <v>0.27700000000000002</v>
      </c>
      <c r="AR54" s="475">
        <f t="shared" si="30"/>
        <v>0.26200000000000001</v>
      </c>
      <c r="AS54" s="475">
        <f t="shared" si="30"/>
        <v>0.22500000000000003</v>
      </c>
      <c r="AT54" s="475">
        <f t="shared" si="30"/>
        <v>0.22200000000000003</v>
      </c>
      <c r="AU54" s="475">
        <f t="shared" si="30"/>
        <v>0.46500000000000002</v>
      </c>
      <c r="AV54" s="475">
        <f t="shared" si="30"/>
        <v>0.47400000000000003</v>
      </c>
      <c r="AW54" s="475">
        <f t="shared" si="30"/>
        <v>0.45400000000000001</v>
      </c>
      <c r="AX54" s="475">
        <f t="shared" si="30"/>
        <v>0.52899999999999991</v>
      </c>
      <c r="AY54" s="475">
        <f t="shared" si="30"/>
        <v>0.52899999999999991</v>
      </c>
      <c r="AZ54" s="475">
        <f t="shared" si="30"/>
        <v>0.36899999999999999</v>
      </c>
      <c r="BA54" s="476">
        <f t="shared" si="30"/>
        <v>1.8340000000000001</v>
      </c>
    </row>
    <row r="55" spans="1:56" ht="15.75" thickBot="1" x14ac:dyDescent="0.3">
      <c r="A55" s="239"/>
      <c r="B55" s="239"/>
      <c r="C55" s="238">
        <v>14</v>
      </c>
      <c r="D55" s="231">
        <v>4.3999999999999997E-2</v>
      </c>
      <c r="E55" s="230">
        <v>4.5999999999999999E-2</v>
      </c>
      <c r="F55" s="230">
        <v>4.2999999999999997E-2</v>
      </c>
      <c r="G55" s="230">
        <v>4.8000000000000001E-2</v>
      </c>
      <c r="H55" s="221">
        <v>5.5E-2</v>
      </c>
      <c r="I55" s="222">
        <v>5.5E-2</v>
      </c>
      <c r="J55" s="221">
        <v>0.05</v>
      </c>
      <c r="K55" s="222">
        <v>5.1999999999999998E-2</v>
      </c>
      <c r="L55" s="222">
        <v>4.5999999999999999E-2</v>
      </c>
      <c r="M55" s="222">
        <v>4.7E-2</v>
      </c>
      <c r="N55" s="222">
        <v>4.7E-2</v>
      </c>
      <c r="O55" s="222">
        <v>4.7E-2</v>
      </c>
      <c r="P55" s="222">
        <v>6.2E-2</v>
      </c>
      <c r="Q55" s="223">
        <v>4.9000000000000002E-2</v>
      </c>
      <c r="R55" s="223">
        <v>4.8000000000000001E-2</v>
      </c>
      <c r="S55" s="222">
        <v>6.0999999999999999E-2</v>
      </c>
      <c r="T55" s="223">
        <v>4.7E-2</v>
      </c>
      <c r="U55" s="222">
        <v>4.7E-2</v>
      </c>
      <c r="V55" s="222">
        <v>4.5999999999999999E-2</v>
      </c>
      <c r="W55" s="222">
        <v>4.7E-2</v>
      </c>
      <c r="X55" s="223">
        <v>4.8000000000000001E-2</v>
      </c>
      <c r="Y55" s="222">
        <v>4.8000000000000001E-2</v>
      </c>
      <c r="Z55" s="222">
        <v>4.4999999999999998E-2</v>
      </c>
      <c r="AA55" s="222">
        <v>4.8000000000000001E-2</v>
      </c>
      <c r="AB55" s="239"/>
      <c r="AC55" s="358">
        <v>8</v>
      </c>
      <c r="AD55" s="468">
        <f>AD35</f>
        <v>1.2000000000000004E-2</v>
      </c>
      <c r="AE55" s="469">
        <f t="shared" ref="AE55:AO55" si="31">AE35</f>
        <v>0.502</v>
      </c>
      <c r="AF55" s="469">
        <f t="shared" si="31"/>
        <v>0.52699999999999991</v>
      </c>
      <c r="AG55" s="469">
        <f t="shared" si="31"/>
        <v>0.52899999999999991</v>
      </c>
      <c r="AH55" s="469">
        <f t="shared" si="31"/>
        <v>0.41500000000000004</v>
      </c>
      <c r="AI55" s="469">
        <f t="shared" si="31"/>
        <v>0.44400000000000001</v>
      </c>
      <c r="AJ55" s="469">
        <f t="shared" si="31"/>
        <v>0.21500000000000002</v>
      </c>
      <c r="AK55" s="469">
        <f t="shared" si="31"/>
        <v>0.21400000000000002</v>
      </c>
      <c r="AL55" s="469">
        <f t="shared" si="31"/>
        <v>0.26200000000000001</v>
      </c>
      <c r="AM55" s="469">
        <f t="shared" si="31"/>
        <v>0.249</v>
      </c>
      <c r="AN55" s="469">
        <f t="shared" si="31"/>
        <v>0.57499999999999996</v>
      </c>
      <c r="AO55" s="470">
        <f t="shared" si="31"/>
        <v>0.54999999999999993</v>
      </c>
      <c r="AP55" s="477">
        <f t="shared" ref="AP55:BA55" si="32">AP43</f>
        <v>0.69300000000000006</v>
      </c>
      <c r="AQ55" s="478">
        <f t="shared" si="32"/>
        <v>0.29499999999999998</v>
      </c>
      <c r="AR55" s="478">
        <f t="shared" si="32"/>
        <v>0.3</v>
      </c>
      <c r="AS55" s="478">
        <f t="shared" si="32"/>
        <v>0.23799999999999999</v>
      </c>
      <c r="AT55" s="478">
        <f t="shared" si="32"/>
        <v>0.23299999999999998</v>
      </c>
      <c r="AU55" s="478">
        <f t="shared" si="32"/>
        <v>0.45200000000000001</v>
      </c>
      <c r="AV55" s="478">
        <f t="shared" si="32"/>
        <v>0.50099999999999989</v>
      </c>
      <c r="AW55" s="478">
        <f t="shared" si="32"/>
        <v>0.434</v>
      </c>
      <c r="AX55" s="478">
        <f t="shared" si="32"/>
        <v>0.55400000000000005</v>
      </c>
      <c r="AY55" s="478">
        <f t="shared" si="32"/>
        <v>0.24000000000000005</v>
      </c>
      <c r="AZ55" s="478">
        <f t="shared" si="32"/>
        <v>0.38900000000000001</v>
      </c>
      <c r="BA55" s="479">
        <f t="shared" si="32"/>
        <v>2.68</v>
      </c>
      <c r="BB55" s="26"/>
      <c r="BC55" s="26"/>
      <c r="BD55" s="26"/>
    </row>
    <row r="56" spans="1:56" ht="15.75" thickBot="1" x14ac:dyDescent="0.3">
      <c r="A56" s="239"/>
      <c r="B56" s="239"/>
      <c r="C56" s="238">
        <v>15</v>
      </c>
      <c r="D56" s="210">
        <v>6.9000000000000006E-2</v>
      </c>
      <c r="E56" s="207">
        <v>0.66300000000000003</v>
      </c>
      <c r="F56" s="207">
        <v>0.56200000000000006</v>
      </c>
      <c r="G56" s="220">
        <v>0.27900000000000003</v>
      </c>
      <c r="H56" s="208">
        <v>0.69599999999999995</v>
      </c>
      <c r="I56" s="210">
        <v>7.1999999999999995E-2</v>
      </c>
      <c r="J56" s="210">
        <v>7.2999999999999995E-2</v>
      </c>
      <c r="K56" s="220">
        <v>6.9000000000000006E-2</v>
      </c>
      <c r="L56" s="208">
        <v>5.7000000000000002E-2</v>
      </c>
      <c r="M56" s="226">
        <v>0.06</v>
      </c>
      <c r="N56" s="208">
        <v>5.6000000000000001E-2</v>
      </c>
      <c r="O56" s="210">
        <v>5.3999999999999999E-2</v>
      </c>
      <c r="P56" s="210">
        <v>0.69799999999999995</v>
      </c>
      <c r="Q56" s="210">
        <v>0.32200000000000001</v>
      </c>
      <c r="R56" s="210">
        <v>0.307</v>
      </c>
      <c r="S56" s="207">
        <v>0.28100000000000003</v>
      </c>
      <c r="T56" s="210">
        <v>0.26800000000000002</v>
      </c>
      <c r="U56" s="210">
        <v>0.50900000000000001</v>
      </c>
      <c r="V56" s="210">
        <v>0.52200000000000002</v>
      </c>
      <c r="W56" s="210">
        <v>0.503</v>
      </c>
      <c r="X56" s="210">
        <v>0.57699999999999996</v>
      </c>
      <c r="Y56" s="207">
        <v>0.57899999999999996</v>
      </c>
      <c r="Z56" s="207">
        <v>0.41599999999999998</v>
      </c>
      <c r="AA56" s="210">
        <v>1.877</v>
      </c>
      <c r="AB56" s="239"/>
      <c r="AC56" s="25"/>
      <c r="AQ56" s="26"/>
      <c r="AR56" s="26"/>
      <c r="AS56" s="26"/>
      <c r="AT56" s="26"/>
      <c r="AU56" s="26"/>
      <c r="AV56" s="26"/>
      <c r="AW56" s="26"/>
      <c r="AX56" s="26"/>
      <c r="AY56" s="26"/>
      <c r="AZ56" s="26"/>
      <c r="BA56" s="26"/>
      <c r="BB56" s="26"/>
      <c r="BC56" s="26"/>
      <c r="BD56" s="26"/>
    </row>
    <row r="57" spans="1:56" ht="15" customHeight="1" x14ac:dyDescent="0.25">
      <c r="A57" s="239"/>
      <c r="B57" s="239"/>
      <c r="C57" s="238">
        <v>15</v>
      </c>
      <c r="D57" s="231">
        <v>4.8000000000000001E-2</v>
      </c>
      <c r="E57" s="231">
        <v>4.2999999999999997E-2</v>
      </c>
      <c r="F57" s="231">
        <v>4.4999999999999998E-2</v>
      </c>
      <c r="G57" s="223">
        <v>4.2999999999999997E-2</v>
      </c>
      <c r="H57" s="230">
        <v>4.3999999999999997E-2</v>
      </c>
      <c r="I57" s="230">
        <v>5.5E-2</v>
      </c>
      <c r="J57" s="214">
        <v>5.7000000000000002E-2</v>
      </c>
      <c r="K57" s="230">
        <v>5.8999999999999997E-2</v>
      </c>
      <c r="L57" s="230">
        <v>4.7E-2</v>
      </c>
      <c r="M57" s="230">
        <v>4.8000000000000001E-2</v>
      </c>
      <c r="N57" s="230">
        <v>4.5999999999999999E-2</v>
      </c>
      <c r="O57" s="230">
        <v>4.4999999999999998E-2</v>
      </c>
      <c r="P57" s="230">
        <v>5.2999999999999999E-2</v>
      </c>
      <c r="Q57" s="230">
        <v>4.4999999999999998E-2</v>
      </c>
      <c r="R57" s="230">
        <v>4.4999999999999998E-2</v>
      </c>
      <c r="S57" s="230">
        <v>5.6000000000000001E-2</v>
      </c>
      <c r="T57" s="230">
        <v>4.5999999999999999E-2</v>
      </c>
      <c r="U57" s="230">
        <v>4.3999999999999997E-2</v>
      </c>
      <c r="V57" s="221">
        <v>4.8000000000000001E-2</v>
      </c>
      <c r="W57" s="230">
        <v>4.9000000000000002E-2</v>
      </c>
      <c r="X57" s="230">
        <v>4.8000000000000001E-2</v>
      </c>
      <c r="Y57" s="230">
        <v>0.05</v>
      </c>
      <c r="Z57" s="231">
        <v>4.7E-2</v>
      </c>
      <c r="AA57" s="231">
        <v>4.2999999999999997E-2</v>
      </c>
      <c r="AB57" s="239"/>
      <c r="AC57" s="358">
        <v>1</v>
      </c>
      <c r="AD57" s="355">
        <f>AD36</f>
        <v>2.613</v>
      </c>
      <c r="AE57" s="355">
        <f>AE36</f>
        <v>0.40100000000000002</v>
      </c>
      <c r="AF57" s="355">
        <f t="shared" ref="AF57:AO57" si="33">AF36</f>
        <v>0.60899999999999999</v>
      </c>
      <c r="AG57" s="355">
        <f t="shared" si="33"/>
        <v>0.45</v>
      </c>
      <c r="AH57" s="355">
        <f t="shared" si="33"/>
        <v>0.54199999999999993</v>
      </c>
      <c r="AI57" s="355">
        <f t="shared" si="33"/>
        <v>0.57499999999999996</v>
      </c>
      <c r="AJ57" s="355">
        <f t="shared" si="33"/>
        <v>9.0000000000000011E-3</v>
      </c>
      <c r="AK57" s="355">
        <f t="shared" si="33"/>
        <v>1.0000000000000002E-2</v>
      </c>
      <c r="AL57" s="355">
        <f t="shared" si="33"/>
        <v>9.999999999999995E-3</v>
      </c>
      <c r="AM57" s="355">
        <f t="shared" si="33"/>
        <v>8.0000000000000002E-3</v>
      </c>
      <c r="AN57" s="355">
        <f t="shared" si="33"/>
        <v>8.0000000000000002E-3</v>
      </c>
      <c r="AO57" s="459">
        <f t="shared" si="33"/>
        <v>6.9999999999999993E-3</v>
      </c>
      <c r="AP57" s="460">
        <f>AP28</f>
        <v>8.0000000000000002E-3</v>
      </c>
      <c r="AQ57" s="461">
        <f t="shared" ref="AQ57:AZ57" si="34">AQ28</f>
        <v>9.0000000000000011E-3</v>
      </c>
      <c r="AR57" s="461">
        <f t="shared" si="34"/>
        <v>1.0000000000000002E-2</v>
      </c>
      <c r="AS57" s="461">
        <f t="shared" si="34"/>
        <v>8.0000000000000002E-3</v>
      </c>
      <c r="AT57" s="461">
        <f t="shared" si="34"/>
        <v>8.0000000000000002E-3</v>
      </c>
      <c r="AU57" s="461">
        <f t="shared" si="34"/>
        <v>8.0000000000000002E-3</v>
      </c>
      <c r="AV57" s="461">
        <f t="shared" si="34"/>
        <v>8.9999999999999941E-3</v>
      </c>
      <c r="AW57" s="461">
        <f t="shared" si="34"/>
        <v>0.626</v>
      </c>
      <c r="AX57" s="461">
        <f t="shared" si="34"/>
        <v>0.23400000000000004</v>
      </c>
      <c r="AY57" s="461">
        <f t="shared" si="34"/>
        <v>0.54099999999999993</v>
      </c>
      <c r="AZ57" s="461">
        <f t="shared" si="34"/>
        <v>0.42299999999999999</v>
      </c>
      <c r="BA57" s="462">
        <f t="shared" ref="BA57" si="35">BA28</f>
        <v>1.2000000000000004E-2</v>
      </c>
      <c r="BB57" s="357"/>
      <c r="BC57" s="357"/>
      <c r="BD57" s="357"/>
    </row>
    <row r="58" spans="1:56" ht="15" customHeight="1" x14ac:dyDescent="0.25">
      <c r="A58" s="239"/>
      <c r="B58" s="239"/>
      <c r="C58" s="238">
        <v>16</v>
      </c>
      <c r="D58" s="207">
        <v>7.8E-2</v>
      </c>
      <c r="E58" s="208">
        <v>0.47099999999999997</v>
      </c>
      <c r="F58" s="208">
        <v>0.58799999999999997</v>
      </c>
      <c r="G58" s="220">
        <v>0.27100000000000002</v>
      </c>
      <c r="H58" s="209">
        <v>0.86599999999999999</v>
      </c>
      <c r="I58" s="207">
        <v>5.2999999999999999E-2</v>
      </c>
      <c r="J58" s="208">
        <v>5.5E-2</v>
      </c>
      <c r="K58" s="209">
        <v>7.6999999999999999E-2</v>
      </c>
      <c r="L58" s="208">
        <v>0.06</v>
      </c>
      <c r="M58" s="224">
        <v>5.5E-2</v>
      </c>
      <c r="N58" s="220">
        <v>6.9000000000000006E-2</v>
      </c>
      <c r="O58" s="208">
        <v>6.0999999999999999E-2</v>
      </c>
      <c r="P58" s="210">
        <v>0.76300000000000001</v>
      </c>
      <c r="Q58" s="210">
        <v>0.35299999999999998</v>
      </c>
      <c r="R58" s="210">
        <v>0.35299999999999998</v>
      </c>
      <c r="S58" s="207">
        <v>0.308</v>
      </c>
      <c r="T58" s="210">
        <v>0.307</v>
      </c>
      <c r="U58" s="210">
        <v>0.52500000000000002</v>
      </c>
      <c r="V58" s="207">
        <v>0.57099999999999995</v>
      </c>
      <c r="W58" s="207">
        <v>0.48299999999999998</v>
      </c>
      <c r="X58" s="207">
        <v>0.621</v>
      </c>
      <c r="Y58" s="207">
        <v>0.52500000000000002</v>
      </c>
      <c r="Z58" s="207">
        <v>0.436</v>
      </c>
      <c r="AA58" s="210">
        <v>2.726</v>
      </c>
      <c r="AC58" s="358">
        <v>2</v>
      </c>
      <c r="AD58" s="355">
        <f t="shared" ref="AD58:AD64" si="36">AD37</f>
        <v>1.8780000000000001</v>
      </c>
      <c r="AE58" s="355">
        <f t="shared" ref="AE58:AO64" si="37">AE37</f>
        <v>0.373</v>
      </c>
      <c r="AF58" s="355">
        <f t="shared" si="37"/>
        <v>0.59299999999999997</v>
      </c>
      <c r="AG58" s="355">
        <f t="shared" si="37"/>
        <v>0.49700000000000005</v>
      </c>
      <c r="AH58" s="355">
        <f t="shared" si="37"/>
        <v>0.22800000000000004</v>
      </c>
      <c r="AI58" s="355">
        <f t="shared" si="37"/>
        <v>0.5</v>
      </c>
      <c r="AJ58" s="355">
        <f t="shared" si="37"/>
        <v>1.0000000000000002E-2</v>
      </c>
      <c r="AK58" s="355">
        <f t="shared" si="37"/>
        <v>9.0000000000000011E-3</v>
      </c>
      <c r="AL58" s="355">
        <f t="shared" si="37"/>
        <v>8.0000000000000002E-3</v>
      </c>
      <c r="AM58" s="355">
        <f t="shared" si="37"/>
        <v>8.0000000000000002E-3</v>
      </c>
      <c r="AN58" s="355">
        <f t="shared" si="37"/>
        <v>9.0000000000000011E-3</v>
      </c>
      <c r="AO58" s="459">
        <f t="shared" si="37"/>
        <v>6.9999999999999993E-3</v>
      </c>
      <c r="AP58" s="463">
        <f t="shared" ref="AP58:AZ58" si="38">AP29</f>
        <v>1.0000000000000002E-2</v>
      </c>
      <c r="AQ58" s="365">
        <f t="shared" si="38"/>
        <v>1.1000000000000003E-2</v>
      </c>
      <c r="AR58" s="365">
        <f t="shared" si="38"/>
        <v>7.0000000000000062E-3</v>
      </c>
      <c r="AS58" s="365">
        <f t="shared" si="38"/>
        <v>1.2000000000000004E-2</v>
      </c>
      <c r="AT58" s="365">
        <f t="shared" si="38"/>
        <v>1.7000000000000008E-2</v>
      </c>
      <c r="AU58" s="365">
        <f t="shared" si="38"/>
        <v>2.700000000000001E-2</v>
      </c>
      <c r="AV58" s="365">
        <f t="shared" si="38"/>
        <v>8.0000000000000002E-3</v>
      </c>
      <c r="AW58" s="365">
        <f t="shared" si="38"/>
        <v>0.59799999999999998</v>
      </c>
      <c r="AX58" s="365">
        <f t="shared" si="38"/>
        <v>0.24299999999999999</v>
      </c>
      <c r="AY58" s="365">
        <f t="shared" si="38"/>
        <v>0.49300000000000005</v>
      </c>
      <c r="AZ58" s="365">
        <f t="shared" si="38"/>
        <v>0.64599999999999991</v>
      </c>
      <c r="BA58" s="464">
        <f t="shared" ref="BA58" si="39">BA29</f>
        <v>1.6E-2</v>
      </c>
      <c r="BB58" s="357"/>
      <c r="BC58" s="357"/>
      <c r="BD58" s="357"/>
    </row>
    <row r="59" spans="1:56" ht="15" customHeight="1" x14ac:dyDescent="0.25">
      <c r="A59" s="239"/>
      <c r="B59" s="239"/>
      <c r="C59" s="238">
        <v>16</v>
      </c>
      <c r="D59" s="214">
        <v>6.4000000000000001E-2</v>
      </c>
      <c r="E59" s="222">
        <v>5.5E-2</v>
      </c>
      <c r="F59" s="230">
        <v>7.1999999999999995E-2</v>
      </c>
      <c r="G59" s="223">
        <v>4.3999999999999997E-2</v>
      </c>
      <c r="H59" s="232">
        <v>0.193</v>
      </c>
      <c r="I59" s="217">
        <v>4.5999999999999999E-2</v>
      </c>
      <c r="J59" s="217">
        <v>4.5999999999999999E-2</v>
      </c>
      <c r="K59" s="216">
        <v>6.5000000000000002E-2</v>
      </c>
      <c r="L59" s="216">
        <v>0.05</v>
      </c>
      <c r="M59" s="223">
        <v>4.4999999999999998E-2</v>
      </c>
      <c r="N59" s="214">
        <v>5.3999999999999999E-2</v>
      </c>
      <c r="O59" s="222">
        <v>4.9000000000000002E-2</v>
      </c>
      <c r="P59" s="221">
        <v>7.0000000000000007E-2</v>
      </c>
      <c r="Q59" s="223">
        <v>5.8000000000000003E-2</v>
      </c>
      <c r="R59" s="222">
        <v>5.2999999999999999E-2</v>
      </c>
      <c r="S59" s="223">
        <v>7.0000000000000007E-2</v>
      </c>
      <c r="T59" s="222">
        <v>7.3999999999999996E-2</v>
      </c>
      <c r="U59" s="222">
        <v>7.2999999999999995E-2</v>
      </c>
      <c r="V59" s="215">
        <v>7.0000000000000007E-2</v>
      </c>
      <c r="W59" s="222">
        <v>4.9000000000000002E-2</v>
      </c>
      <c r="X59" s="222">
        <v>6.7000000000000004E-2</v>
      </c>
      <c r="Y59" s="222">
        <v>0.28499999999999998</v>
      </c>
      <c r="Z59" s="222">
        <v>4.7E-2</v>
      </c>
      <c r="AA59" s="221">
        <v>4.5999999999999999E-2</v>
      </c>
      <c r="AC59" s="358">
        <v>3</v>
      </c>
      <c r="AD59" s="355">
        <f t="shared" si="36"/>
        <v>0.76100000000000001</v>
      </c>
      <c r="AE59" s="355">
        <f t="shared" si="37"/>
        <v>1.8080000000000001</v>
      </c>
      <c r="AF59" s="355">
        <f t="shared" si="37"/>
        <v>0.63400000000000001</v>
      </c>
      <c r="AG59" s="355">
        <f t="shared" si="37"/>
        <v>0.46200000000000002</v>
      </c>
      <c r="AH59" s="355">
        <f t="shared" si="37"/>
        <v>0.248</v>
      </c>
      <c r="AI59" s="355">
        <f t="shared" si="37"/>
        <v>0.187</v>
      </c>
      <c r="AJ59" s="355">
        <f t="shared" si="37"/>
        <v>1.4999999999999999E-2</v>
      </c>
      <c r="AK59" s="355">
        <f t="shared" si="37"/>
        <v>1.1000000000000003E-2</v>
      </c>
      <c r="AL59" s="355">
        <f t="shared" si="37"/>
        <v>1.6000000000000007E-2</v>
      </c>
      <c r="AM59" s="355">
        <f t="shared" si="37"/>
        <v>9.0000000000000011E-3</v>
      </c>
      <c r="AN59" s="355">
        <f t="shared" si="37"/>
        <v>8.9999999999999941E-3</v>
      </c>
      <c r="AO59" s="459">
        <f t="shared" si="37"/>
        <v>7.0000000000000062E-3</v>
      </c>
      <c r="AP59" s="463">
        <f t="shared" ref="AP59:AZ59" si="40">AP30</f>
        <v>1.1000000000000003E-2</v>
      </c>
      <c r="AQ59" s="365">
        <f t="shared" si="40"/>
        <v>8.0000000000000002E-3</v>
      </c>
      <c r="AR59" s="365">
        <f t="shared" si="40"/>
        <v>6.9999999999999993E-3</v>
      </c>
      <c r="AS59" s="365">
        <f t="shared" si="40"/>
        <v>8.0000000000000002E-3</v>
      </c>
      <c r="AT59" s="365">
        <f t="shared" si="40"/>
        <v>1.1000000000000003E-2</v>
      </c>
      <c r="AU59" s="365">
        <f t="shared" si="40"/>
        <v>9.0000000000000011E-3</v>
      </c>
      <c r="AV59" s="365">
        <f t="shared" si="40"/>
        <v>8.0000000000000002E-3</v>
      </c>
      <c r="AW59" s="365">
        <f t="shared" si="40"/>
        <v>0.252</v>
      </c>
      <c r="AX59" s="365">
        <f t="shared" si="40"/>
        <v>0.44500000000000001</v>
      </c>
      <c r="AY59" s="365">
        <f t="shared" si="40"/>
        <v>0.60299999999999998</v>
      </c>
      <c r="AZ59" s="365">
        <f t="shared" si="40"/>
        <v>8.900000000000001E-2</v>
      </c>
      <c r="BA59" s="464">
        <f t="shared" ref="BA59" si="41">BA30</f>
        <v>3.2000000000000001E-2</v>
      </c>
      <c r="BB59" s="357"/>
      <c r="BC59" s="357"/>
      <c r="BD59" s="357"/>
    </row>
    <row r="60" spans="1:56" ht="15" customHeight="1" x14ac:dyDescent="0.25">
      <c r="A60" s="239"/>
      <c r="B60" s="239"/>
      <c r="AC60" s="358">
        <v>4</v>
      </c>
      <c r="AD60" s="355">
        <f t="shared" si="36"/>
        <v>0.27300000000000002</v>
      </c>
      <c r="AE60" s="355">
        <f t="shared" si="37"/>
        <v>1.762</v>
      </c>
      <c r="AF60" s="355">
        <f t="shared" si="37"/>
        <v>0.59399999999999997</v>
      </c>
      <c r="AG60" s="355">
        <f t="shared" si="37"/>
        <v>0.46</v>
      </c>
      <c r="AH60" s="355">
        <f t="shared" si="37"/>
        <v>0.28999999999999998</v>
      </c>
      <c r="AI60" s="355">
        <f t="shared" si="37"/>
        <v>1.3999999999999999E-2</v>
      </c>
      <c r="AJ60" s="355">
        <f t="shared" si="37"/>
        <v>8.0000000000000002E-3</v>
      </c>
      <c r="AK60" s="355">
        <f t="shared" si="37"/>
        <v>9.0000000000000011E-3</v>
      </c>
      <c r="AL60" s="355">
        <f t="shared" si="37"/>
        <v>6.9999999999999993E-3</v>
      </c>
      <c r="AM60" s="355">
        <f t="shared" si="37"/>
        <v>6.9999999999999993E-3</v>
      </c>
      <c r="AN60" s="355">
        <f t="shared" si="37"/>
        <v>8.0000000000000002E-3</v>
      </c>
      <c r="AO60" s="459">
        <f t="shared" si="37"/>
        <v>2.9999999999999957E-3</v>
      </c>
      <c r="AP60" s="463">
        <f t="shared" ref="AP60:AZ60" si="42">AP31</f>
        <v>1.0000000000000002E-2</v>
      </c>
      <c r="AQ60" s="365">
        <f t="shared" si="42"/>
        <v>5.9999999999999984E-3</v>
      </c>
      <c r="AR60" s="365">
        <f t="shared" si="42"/>
        <v>8.0000000000000002E-3</v>
      </c>
      <c r="AS60" s="365">
        <f t="shared" si="42"/>
        <v>5.9999999999999984E-3</v>
      </c>
      <c r="AT60" s="365">
        <f t="shared" si="42"/>
        <v>9.000000000000008E-3</v>
      </c>
      <c r="AU60" s="365">
        <f t="shared" si="42"/>
        <v>8.0000000000000002E-3</v>
      </c>
      <c r="AV60" s="365">
        <f t="shared" si="42"/>
        <v>8.0000000000000002E-3</v>
      </c>
      <c r="AW60" s="365">
        <f t="shared" si="42"/>
        <v>0.20300000000000001</v>
      </c>
      <c r="AX60" s="365">
        <f t="shared" si="42"/>
        <v>0.22200000000000003</v>
      </c>
      <c r="AY60" s="365">
        <f t="shared" si="42"/>
        <v>0.59099999999999997</v>
      </c>
      <c r="AZ60" s="365">
        <f t="shared" si="42"/>
        <v>8.8999999999999996E-2</v>
      </c>
      <c r="BA60" s="464">
        <f t="shared" ref="BA60" si="43">BA31</f>
        <v>0.09</v>
      </c>
      <c r="BB60" s="357"/>
      <c r="BC60" s="357"/>
      <c r="BD60" s="357"/>
    </row>
    <row r="61" spans="1:56" x14ac:dyDescent="0.25">
      <c r="A61" s="239"/>
      <c r="B61" s="239"/>
      <c r="AC61" s="358">
        <v>5</v>
      </c>
      <c r="AD61" s="355">
        <f t="shared" si="36"/>
        <v>9.6000000000000002E-2</v>
      </c>
      <c r="AE61" s="355">
        <f t="shared" si="37"/>
        <v>9.2000000000000012E-2</v>
      </c>
      <c r="AF61" s="355">
        <f t="shared" si="37"/>
        <v>0.61199999999999999</v>
      </c>
      <c r="AG61" s="355">
        <f t="shared" si="37"/>
        <v>0.248</v>
      </c>
      <c r="AH61" s="355">
        <f t="shared" si="37"/>
        <v>0.21900000000000003</v>
      </c>
      <c r="AI61" s="355">
        <f t="shared" si="37"/>
        <v>1.7000000000000008E-2</v>
      </c>
      <c r="AJ61" s="355">
        <f t="shared" si="37"/>
        <v>1.1000000000000003E-2</v>
      </c>
      <c r="AK61" s="355">
        <f t="shared" si="37"/>
        <v>1.3999999999999999E-2</v>
      </c>
      <c r="AL61" s="355">
        <f t="shared" si="37"/>
        <v>8.0000000000000002E-3</v>
      </c>
      <c r="AM61" s="355">
        <f t="shared" si="37"/>
        <v>2.1999999999999992E-2</v>
      </c>
      <c r="AN61" s="355">
        <f t="shared" si="37"/>
        <v>1.0000000000000002E-2</v>
      </c>
      <c r="AO61" s="459">
        <f t="shared" si="37"/>
        <v>1.4000000000000005E-2</v>
      </c>
      <c r="AP61" s="463">
        <f t="shared" ref="AP61:AZ61" si="44">AP32</f>
        <v>1.1999999999999997E-2</v>
      </c>
      <c r="AQ61" s="365">
        <f t="shared" si="44"/>
        <v>5.9999999999999984E-3</v>
      </c>
      <c r="AR61" s="365">
        <f t="shared" si="44"/>
        <v>6.0000000000000053E-3</v>
      </c>
      <c r="AS61" s="365">
        <f t="shared" si="44"/>
        <v>6.9999999999999993E-3</v>
      </c>
      <c r="AT61" s="365">
        <f t="shared" si="44"/>
        <v>1.0999999999999996E-2</v>
      </c>
      <c r="AU61" s="365">
        <f t="shared" si="44"/>
        <v>8.0000000000000071E-3</v>
      </c>
      <c r="AV61" s="365">
        <f t="shared" si="44"/>
        <v>8.0000000000000002E-3</v>
      </c>
      <c r="AW61" s="365">
        <f t="shared" si="44"/>
        <v>0.28100000000000003</v>
      </c>
      <c r="AX61" s="365">
        <f t="shared" si="44"/>
        <v>0.44500000000000001</v>
      </c>
      <c r="AY61" s="365">
        <f t="shared" si="44"/>
        <v>0.60199999999999998</v>
      </c>
      <c r="AZ61" s="365">
        <f t="shared" si="44"/>
        <v>1.78</v>
      </c>
      <c r="BA61" s="464">
        <f t="shared" ref="BA61" si="45">BA32</f>
        <v>0.27500000000000002</v>
      </c>
      <c r="BB61" s="26"/>
      <c r="BC61" s="26"/>
      <c r="BD61" s="26"/>
    </row>
    <row r="62" spans="1:56" x14ac:dyDescent="0.25">
      <c r="A62" s="239"/>
      <c r="B62" s="239"/>
      <c r="AC62" s="358">
        <v>6</v>
      </c>
      <c r="AD62" s="355">
        <f t="shared" si="36"/>
        <v>3.5000000000000003E-2</v>
      </c>
      <c r="AE62" s="355">
        <f t="shared" si="37"/>
        <v>9.4999999999999987E-2</v>
      </c>
      <c r="AF62" s="355">
        <f t="shared" si="37"/>
        <v>0.61099999999999999</v>
      </c>
      <c r="AG62" s="355">
        <f t="shared" si="37"/>
        <v>0.48700000000000004</v>
      </c>
      <c r="AH62" s="355">
        <f t="shared" si="37"/>
        <v>0.27100000000000002</v>
      </c>
      <c r="AI62" s="355">
        <f t="shared" si="37"/>
        <v>1.7999999999999995E-2</v>
      </c>
      <c r="AJ62" s="355">
        <f t="shared" si="37"/>
        <v>1.3999999999999999E-2</v>
      </c>
      <c r="AK62" s="355">
        <f t="shared" si="37"/>
        <v>1.1000000000000003E-2</v>
      </c>
      <c r="AL62" s="355">
        <f t="shared" si="37"/>
        <v>9.0000000000000011E-3</v>
      </c>
      <c r="AM62" s="355">
        <f t="shared" si="37"/>
        <v>8.0000000000000002E-3</v>
      </c>
      <c r="AN62" s="355">
        <f t="shared" si="37"/>
        <v>8.0000000000000002E-3</v>
      </c>
      <c r="AO62" s="459">
        <f t="shared" si="37"/>
        <v>5.9999999999999984E-3</v>
      </c>
      <c r="AP62" s="463">
        <f t="shared" ref="AP62:AZ62" si="46">AP33</f>
        <v>9.0000000000000011E-3</v>
      </c>
      <c r="AQ62" s="365">
        <f t="shared" si="46"/>
        <v>4.9999999999999975E-3</v>
      </c>
      <c r="AR62" s="365">
        <f t="shared" si="46"/>
        <v>5.9999999999999984E-3</v>
      </c>
      <c r="AS62" s="365">
        <f t="shared" si="46"/>
        <v>6.0000000000000053E-3</v>
      </c>
      <c r="AT62" s="365">
        <f t="shared" si="46"/>
        <v>8.0000000000000002E-3</v>
      </c>
      <c r="AU62" s="365">
        <f t="shared" si="46"/>
        <v>6.0000000000000053E-3</v>
      </c>
      <c r="AV62" s="365">
        <f t="shared" si="46"/>
        <v>0.16799999999999998</v>
      </c>
      <c r="AW62" s="365">
        <f t="shared" si="46"/>
        <v>0.28200000000000003</v>
      </c>
      <c r="AX62" s="365">
        <f t="shared" si="46"/>
        <v>0.44400000000000001</v>
      </c>
      <c r="AY62" s="365">
        <f t="shared" si="46"/>
        <v>0.59899999999999998</v>
      </c>
      <c r="AZ62" s="365">
        <f t="shared" si="46"/>
        <v>1.7769999999999999</v>
      </c>
      <c r="BA62" s="464">
        <f t="shared" ref="BA62" si="47">BA33</f>
        <v>0.73299999999999998</v>
      </c>
      <c r="BB62" s="26"/>
      <c r="BC62" s="26"/>
      <c r="BD62" s="26"/>
    </row>
    <row r="63" spans="1:56" x14ac:dyDescent="0.25">
      <c r="A63" s="239"/>
      <c r="B63" s="239"/>
      <c r="AC63" s="358">
        <v>7</v>
      </c>
      <c r="AD63" s="355">
        <f t="shared" si="36"/>
        <v>2.1000000000000005E-2</v>
      </c>
      <c r="AE63" s="355">
        <f t="shared" si="37"/>
        <v>0.62</v>
      </c>
      <c r="AF63" s="355">
        <f t="shared" si="37"/>
        <v>0.51700000000000002</v>
      </c>
      <c r="AG63" s="355">
        <f t="shared" si="37"/>
        <v>0.23600000000000004</v>
      </c>
      <c r="AH63" s="355">
        <f t="shared" si="37"/>
        <v>0.65199999999999991</v>
      </c>
      <c r="AI63" s="355">
        <f t="shared" si="37"/>
        <v>1.6999999999999994E-2</v>
      </c>
      <c r="AJ63" s="355">
        <f t="shared" si="37"/>
        <v>1.5999999999999993E-2</v>
      </c>
      <c r="AK63" s="355">
        <f t="shared" si="37"/>
        <v>1.0000000000000009E-2</v>
      </c>
      <c r="AL63" s="355">
        <f t="shared" si="37"/>
        <v>1.0000000000000002E-2</v>
      </c>
      <c r="AM63" s="355">
        <f t="shared" si="37"/>
        <v>1.1999999999999997E-2</v>
      </c>
      <c r="AN63" s="355">
        <f t="shared" si="37"/>
        <v>1.0000000000000002E-2</v>
      </c>
      <c r="AO63" s="459">
        <f t="shared" si="37"/>
        <v>9.0000000000000011E-3</v>
      </c>
      <c r="AP63" s="463">
        <f t="shared" ref="AP63:AZ63" si="48">AP34</f>
        <v>1.3999999999999999E-2</v>
      </c>
      <c r="AQ63" s="365">
        <f t="shared" si="48"/>
        <v>6.9999999999999993E-3</v>
      </c>
      <c r="AR63" s="365">
        <f t="shared" si="48"/>
        <v>6.9999999999999993E-3</v>
      </c>
      <c r="AS63" s="365">
        <f t="shared" si="48"/>
        <v>5.9999999999999984E-3</v>
      </c>
      <c r="AT63" s="365">
        <f t="shared" si="48"/>
        <v>8.0000000000000002E-3</v>
      </c>
      <c r="AU63" s="365">
        <f t="shared" si="48"/>
        <v>8.0000000000000002E-3</v>
      </c>
      <c r="AV63" s="365">
        <f t="shared" si="48"/>
        <v>0.48600000000000004</v>
      </c>
      <c r="AW63" s="365">
        <f t="shared" si="48"/>
        <v>0.21900000000000003</v>
      </c>
      <c r="AX63" s="365">
        <f t="shared" si="48"/>
        <v>0.49100000000000005</v>
      </c>
      <c r="AY63" s="365">
        <f t="shared" si="48"/>
        <v>0.61899999999999999</v>
      </c>
      <c r="AZ63" s="365">
        <f t="shared" si="48"/>
        <v>0.371</v>
      </c>
      <c r="BA63" s="464">
        <f t="shared" ref="BA63" si="49">BA34</f>
        <v>1.804</v>
      </c>
      <c r="BB63" s="26"/>
      <c r="BC63" s="26"/>
      <c r="BD63" s="26"/>
    </row>
    <row r="64" spans="1:56" ht="15.75" thickBot="1" x14ac:dyDescent="0.3">
      <c r="A64" s="239"/>
      <c r="B64" s="239"/>
      <c r="AC64" s="358">
        <v>8</v>
      </c>
      <c r="AD64" s="355">
        <f t="shared" si="36"/>
        <v>1.3999999999999999E-2</v>
      </c>
      <c r="AE64" s="355">
        <f t="shared" si="37"/>
        <v>0.41599999999999998</v>
      </c>
      <c r="AF64" s="355">
        <f t="shared" si="37"/>
        <v>0.51600000000000001</v>
      </c>
      <c r="AG64" s="355">
        <f t="shared" si="37"/>
        <v>0.22700000000000004</v>
      </c>
      <c r="AH64" s="355">
        <f t="shared" si="37"/>
        <v>0.67300000000000004</v>
      </c>
      <c r="AI64" s="355">
        <f t="shared" si="37"/>
        <v>6.9999999999999993E-3</v>
      </c>
      <c r="AJ64" s="355">
        <f t="shared" si="37"/>
        <v>9.0000000000000011E-3</v>
      </c>
      <c r="AK64" s="355">
        <f t="shared" si="37"/>
        <v>1.1999999999999997E-2</v>
      </c>
      <c r="AL64" s="355">
        <f t="shared" si="37"/>
        <v>9.999999999999995E-3</v>
      </c>
      <c r="AM64" s="355">
        <f t="shared" si="37"/>
        <v>1.0000000000000002E-2</v>
      </c>
      <c r="AN64" s="355">
        <f t="shared" si="37"/>
        <v>1.5000000000000006E-2</v>
      </c>
      <c r="AO64" s="459">
        <f t="shared" si="37"/>
        <v>1.1999999999999997E-2</v>
      </c>
      <c r="AP64" s="465">
        <f t="shared" ref="AP64:AZ64" si="50">AP35</f>
        <v>1.0000000000000002E-2</v>
      </c>
      <c r="AQ64" s="466">
        <f t="shared" si="50"/>
        <v>6.9999999999999993E-3</v>
      </c>
      <c r="AR64" s="466">
        <f t="shared" si="50"/>
        <v>1.0000000000000002E-2</v>
      </c>
      <c r="AS64" s="466">
        <f t="shared" si="50"/>
        <v>8.0000000000000002E-3</v>
      </c>
      <c r="AT64" s="466">
        <f t="shared" si="50"/>
        <v>8.0000000000000002E-3</v>
      </c>
      <c r="AU64" s="466">
        <f t="shared" si="50"/>
        <v>7.0000000000000062E-3</v>
      </c>
      <c r="AV64" s="466">
        <f t="shared" si="50"/>
        <v>0.55999999999999994</v>
      </c>
      <c r="AW64" s="466">
        <f t="shared" si="50"/>
        <v>0.51500000000000001</v>
      </c>
      <c r="AX64" s="466">
        <f t="shared" si="50"/>
        <v>0.41700000000000004</v>
      </c>
      <c r="AY64" s="466">
        <f t="shared" si="50"/>
        <v>0.57899999999999996</v>
      </c>
      <c r="AZ64" s="466">
        <f t="shared" si="50"/>
        <v>0.38900000000000001</v>
      </c>
      <c r="BA64" s="467">
        <f t="shared" ref="BA64" si="51">BA35</f>
        <v>2.6720000000000002</v>
      </c>
      <c r="BB64" s="26"/>
      <c r="BC64" s="26"/>
      <c r="BD64" s="26"/>
    </row>
    <row r="65" spans="1:30" x14ac:dyDescent="0.25">
      <c r="A65" s="239"/>
      <c r="B65" s="239"/>
      <c r="AD65" s="240"/>
    </row>
    <row r="66" spans="1:30" ht="15" customHeight="1" x14ac:dyDescent="0.25">
      <c r="A66" s="239"/>
      <c r="B66" s="239"/>
      <c r="AD66" s="240"/>
    </row>
    <row r="67" spans="1:30" ht="15" customHeight="1" x14ac:dyDescent="0.25">
      <c r="A67" s="239"/>
      <c r="B67" s="239"/>
      <c r="AD67" s="240"/>
    </row>
    <row r="68" spans="1:30" x14ac:dyDescent="0.25">
      <c r="A68" s="239"/>
      <c r="B68" s="239"/>
      <c r="AD68" s="240"/>
    </row>
    <row r="69" spans="1:30" x14ac:dyDescent="0.25">
      <c r="A69" s="239"/>
      <c r="B69" s="239"/>
      <c r="AD69" s="240"/>
    </row>
    <row r="70" spans="1:30" x14ac:dyDescent="0.25">
      <c r="A70" s="239"/>
      <c r="B70" s="239"/>
      <c r="AD70" s="240"/>
    </row>
    <row r="71" spans="1:30" x14ac:dyDescent="0.25">
      <c r="A71" s="239"/>
      <c r="B71" s="239"/>
      <c r="AD71" s="240"/>
    </row>
    <row r="72" spans="1:30" x14ac:dyDescent="0.25">
      <c r="A72" s="239"/>
      <c r="B72" s="239"/>
      <c r="AD72" s="240"/>
    </row>
    <row r="73" spans="1:30" x14ac:dyDescent="0.25">
      <c r="A73" s="239"/>
      <c r="B73" s="239"/>
      <c r="AD73" s="240"/>
    </row>
    <row r="74" spans="1:30" x14ac:dyDescent="0.25">
      <c r="A74" s="239"/>
      <c r="B74" s="239"/>
      <c r="AD74" s="240"/>
    </row>
    <row r="75" spans="1:30" ht="15" customHeight="1" x14ac:dyDescent="0.25">
      <c r="A75" s="239"/>
      <c r="B75" s="239"/>
      <c r="AD75" s="240"/>
    </row>
    <row r="76" spans="1:30" ht="15" customHeight="1" x14ac:dyDescent="0.25">
      <c r="A76" s="239"/>
      <c r="B76" s="239"/>
      <c r="AD76" s="240"/>
    </row>
    <row r="77" spans="1:30" x14ac:dyDescent="0.25">
      <c r="A77" s="239"/>
      <c r="B77" s="239"/>
      <c r="AD77" s="240"/>
    </row>
    <row r="78" spans="1:30" x14ac:dyDescent="0.25">
      <c r="A78" s="239"/>
      <c r="B78" s="239"/>
      <c r="AD78" s="240"/>
    </row>
    <row r="79" spans="1:30" x14ac:dyDescent="0.25">
      <c r="A79" s="239"/>
      <c r="B79" s="239"/>
      <c r="AD79" s="240"/>
    </row>
    <row r="80" spans="1:30" x14ac:dyDescent="0.25">
      <c r="A80" s="239"/>
      <c r="B80" s="239"/>
      <c r="AD80" s="240"/>
    </row>
    <row r="81" spans="1:30" x14ac:dyDescent="0.25">
      <c r="A81" s="239"/>
      <c r="B81" s="239"/>
      <c r="AD81" s="240"/>
    </row>
    <row r="82" spans="1:30" x14ac:dyDescent="0.25">
      <c r="A82" s="239"/>
      <c r="B82" s="239"/>
      <c r="AD82" s="240"/>
    </row>
    <row r="83" spans="1:30" x14ac:dyDescent="0.25">
      <c r="A83" s="239"/>
      <c r="B83" s="239"/>
      <c r="AD83" s="240"/>
    </row>
    <row r="84" spans="1:30" x14ac:dyDescent="0.25">
      <c r="A84" s="239"/>
      <c r="B84" s="239"/>
      <c r="AD84" s="240"/>
    </row>
    <row r="85" spans="1:30" x14ac:dyDescent="0.25">
      <c r="A85" s="239"/>
      <c r="B85" s="239"/>
    </row>
    <row r="86" spans="1:30" x14ac:dyDescent="0.25">
      <c r="A86" s="239"/>
      <c r="B86" s="239"/>
    </row>
    <row r="87" spans="1:30" x14ac:dyDescent="0.25">
      <c r="A87" s="239"/>
      <c r="B87" s="239"/>
    </row>
    <row r="88" spans="1:30" x14ac:dyDescent="0.25">
      <c r="A88" s="239"/>
      <c r="B88" s="239"/>
    </row>
    <row r="89" spans="1:30" x14ac:dyDescent="0.25">
      <c r="A89" s="239"/>
      <c r="B89" s="239"/>
    </row>
    <row r="90" spans="1:30" x14ac:dyDescent="0.25">
      <c r="A90" s="239"/>
      <c r="B90" s="239"/>
    </row>
    <row r="91" spans="1:30" x14ac:dyDescent="0.25">
      <c r="A91" s="239"/>
      <c r="B91" s="239"/>
    </row>
    <row r="92" spans="1:30" x14ac:dyDescent="0.25">
      <c r="A92" s="239"/>
      <c r="B92" s="239"/>
    </row>
    <row r="93" spans="1:30" x14ac:dyDescent="0.25">
      <c r="A93" s="239"/>
      <c r="B93" s="239"/>
    </row>
    <row r="94" spans="1:30" x14ac:dyDescent="0.25">
      <c r="A94" s="239"/>
      <c r="B94" s="239"/>
    </row>
    <row r="95" spans="1:30" x14ac:dyDescent="0.25">
      <c r="A95" s="239"/>
      <c r="B95" s="239"/>
    </row>
    <row r="96" spans="1:30" x14ac:dyDescent="0.25">
      <c r="A96" s="239"/>
      <c r="B96" s="239"/>
    </row>
    <row r="97" spans="1:2" x14ac:dyDescent="0.25">
      <c r="A97" s="239"/>
      <c r="B97" s="239"/>
    </row>
    <row r="98" spans="1:2" x14ac:dyDescent="0.25">
      <c r="A98" s="239"/>
      <c r="B98" s="239"/>
    </row>
    <row r="99" spans="1:2" x14ac:dyDescent="0.25">
      <c r="A99" s="239"/>
      <c r="B99" s="239"/>
    </row>
    <row r="100" spans="1:2" x14ac:dyDescent="0.25">
      <c r="A100" s="239"/>
      <c r="B100" s="239"/>
    </row>
    <row r="101" spans="1:2" x14ac:dyDescent="0.25">
      <c r="A101" s="239"/>
      <c r="B101" s="239"/>
    </row>
    <row r="102" spans="1:2" x14ac:dyDescent="0.25">
      <c r="A102" s="239"/>
      <c r="B102" s="239"/>
    </row>
    <row r="103" spans="1:2" x14ac:dyDescent="0.25">
      <c r="A103" s="239"/>
      <c r="B103" s="239"/>
    </row>
    <row r="104" spans="1:2" x14ac:dyDescent="0.25">
      <c r="A104" s="239"/>
      <c r="B104" s="239"/>
    </row>
    <row r="105" spans="1:2" x14ac:dyDescent="0.25">
      <c r="A105" s="239"/>
      <c r="B105" s="239"/>
    </row>
    <row r="106" spans="1:2" x14ac:dyDescent="0.25">
      <c r="A106" s="239"/>
      <c r="B106" s="239"/>
    </row>
    <row r="107" spans="1:2" x14ac:dyDescent="0.25">
      <c r="A107" s="239"/>
      <c r="B107" s="239"/>
    </row>
    <row r="108" spans="1:2" x14ac:dyDescent="0.25">
      <c r="A108" s="239"/>
      <c r="B108" s="239"/>
    </row>
    <row r="109" spans="1:2" x14ac:dyDescent="0.25">
      <c r="A109" s="239"/>
      <c r="B109" s="239"/>
    </row>
    <row r="110" spans="1:2" x14ac:dyDescent="0.25">
      <c r="A110" s="239"/>
      <c r="B110" s="239"/>
    </row>
    <row r="111" spans="1:2" x14ac:dyDescent="0.25">
      <c r="A111" s="239"/>
      <c r="B111" s="239"/>
    </row>
    <row r="112" spans="1:2" x14ac:dyDescent="0.25">
      <c r="A112" s="239"/>
      <c r="B112" s="239"/>
    </row>
    <row r="113" spans="1:2" x14ac:dyDescent="0.25">
      <c r="A113" s="239"/>
      <c r="B113" s="239"/>
    </row>
    <row r="114" spans="1:2" x14ac:dyDescent="0.25">
      <c r="A114" s="239"/>
      <c r="B114" s="239"/>
    </row>
    <row r="115" spans="1:2" x14ac:dyDescent="0.25">
      <c r="A115" s="239"/>
      <c r="B115" s="239"/>
    </row>
    <row r="116" spans="1:2" x14ac:dyDescent="0.25">
      <c r="A116" s="239"/>
      <c r="B116" s="239"/>
    </row>
    <row r="117" spans="1:2" x14ac:dyDescent="0.25">
      <c r="A117" s="239"/>
      <c r="B117" s="239"/>
    </row>
    <row r="118" spans="1:2" x14ac:dyDescent="0.25">
      <c r="A118" s="239"/>
      <c r="B118" s="239"/>
    </row>
    <row r="119" spans="1:2" x14ac:dyDescent="0.25">
      <c r="A119" s="239"/>
      <c r="B119" s="239"/>
    </row>
    <row r="120" spans="1:2" x14ac:dyDescent="0.25">
      <c r="A120" s="239"/>
      <c r="B120" s="239"/>
    </row>
    <row r="121" spans="1:2" x14ac:dyDescent="0.25">
      <c r="A121" s="239"/>
      <c r="B121" s="239"/>
    </row>
    <row r="122" spans="1:2" x14ac:dyDescent="0.25">
      <c r="A122" s="239"/>
      <c r="B122" s="239"/>
    </row>
    <row r="123" spans="1:2" x14ac:dyDescent="0.25">
      <c r="A123" s="239"/>
      <c r="B123" s="239"/>
    </row>
    <row r="124" spans="1:2" x14ac:dyDescent="0.25">
      <c r="A124" s="239"/>
      <c r="B124" s="239"/>
    </row>
    <row r="125" spans="1:2" x14ac:dyDescent="0.25">
      <c r="A125" s="239"/>
      <c r="B125" s="239"/>
    </row>
    <row r="126" spans="1:2" x14ac:dyDescent="0.25">
      <c r="A126" s="239"/>
      <c r="B126" s="239"/>
    </row>
    <row r="127" spans="1:2" x14ac:dyDescent="0.25">
      <c r="A127" s="239"/>
      <c r="B127" s="239"/>
    </row>
    <row r="128" spans="1:2" x14ac:dyDescent="0.25">
      <c r="A128" s="239"/>
      <c r="B128" s="239"/>
    </row>
    <row r="129" spans="1:2" x14ac:dyDescent="0.25">
      <c r="A129" s="239"/>
      <c r="B129" s="239"/>
    </row>
    <row r="130" spans="1:2" x14ac:dyDescent="0.25">
      <c r="A130" s="239"/>
      <c r="B130" s="239"/>
    </row>
    <row r="131" spans="1:2" x14ac:dyDescent="0.25">
      <c r="A131" s="239"/>
      <c r="B131" s="239"/>
    </row>
    <row r="132" spans="1:2" x14ac:dyDescent="0.25">
      <c r="A132" s="239"/>
      <c r="B132" s="239"/>
    </row>
    <row r="133" spans="1:2" x14ac:dyDescent="0.25">
      <c r="A133" s="239"/>
      <c r="B133" s="239"/>
    </row>
    <row r="134" spans="1:2" x14ac:dyDescent="0.25">
      <c r="A134" s="239"/>
      <c r="B134" s="239"/>
    </row>
    <row r="135" spans="1:2" x14ac:dyDescent="0.25">
      <c r="A135" s="239"/>
      <c r="B135" s="239"/>
    </row>
    <row r="136" spans="1:2" x14ac:dyDescent="0.25">
      <c r="A136" s="239"/>
      <c r="B136" s="239"/>
    </row>
    <row r="137" spans="1:2" x14ac:dyDescent="0.25">
      <c r="A137" s="239"/>
      <c r="B137" s="239"/>
    </row>
    <row r="138" spans="1:2" x14ac:dyDescent="0.25">
      <c r="A138" s="239"/>
      <c r="B138" s="239"/>
    </row>
    <row r="139" spans="1:2" x14ac:dyDescent="0.25">
      <c r="A139" s="239"/>
      <c r="B139" s="239"/>
    </row>
  </sheetData>
  <mergeCells count="3">
    <mergeCell ref="AD2:AH2"/>
    <mergeCell ref="AD46:AH46"/>
    <mergeCell ref="AD26:AH2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19</vt:i4>
      </vt:variant>
      <vt:variant>
        <vt:lpstr>Charts</vt:lpstr>
      </vt:variant>
      <vt:variant>
        <vt:i4>1</vt:i4>
      </vt:variant>
      <vt:variant>
        <vt:lpstr>Named Ranges</vt:lpstr>
      </vt:variant>
      <vt:variant>
        <vt:i4>370</vt:i4>
      </vt:variant>
    </vt:vector>
  </HeadingPairs>
  <TitlesOfParts>
    <vt:vector size="390" baseType="lpstr">
      <vt:lpstr>Instructions</vt:lpstr>
      <vt:lpstr>Notes</vt:lpstr>
      <vt:lpstr>Master</vt:lpstr>
      <vt:lpstr>Internal</vt:lpstr>
      <vt:lpstr>Sample Setup</vt:lpstr>
      <vt:lpstr>Vibe Setup</vt:lpstr>
      <vt:lpstr>BioScale_Internal</vt:lpstr>
      <vt:lpstr>Results.txt</vt:lpstr>
      <vt:lpstr>Calculations</vt:lpstr>
      <vt:lpstr>Statistics</vt:lpstr>
      <vt:lpstr>Report</vt:lpstr>
      <vt:lpstr>Data</vt:lpstr>
      <vt:lpstr>Sheet1</vt:lpstr>
      <vt:lpstr>Analysis Plate</vt:lpstr>
      <vt:lpstr>Assay Data Report</vt:lpstr>
      <vt:lpstr>scratch</vt:lpstr>
      <vt:lpstr>Imported_Template</vt:lpstr>
      <vt:lpstr>Imported_Rawdata</vt:lpstr>
      <vt:lpstr>reshape_Rawdata</vt:lpstr>
      <vt:lpstr>Calibration Chart</vt:lpstr>
      <vt:lpstr>AccuTime</vt:lpstr>
      <vt:lpstr>Analyte</vt:lpstr>
      <vt:lpstr>AssayIncuTime</vt:lpstr>
      <vt:lpstr>Decon</vt:lpstr>
      <vt:lpstr>IncuTime1</vt:lpstr>
      <vt:lpstr>IncuTime2</vt:lpstr>
      <vt:lpstr>InitOrd</vt:lpstr>
      <vt:lpstr>ProtocolName</vt:lpstr>
      <vt:lpstr>Reag1Vol</vt:lpstr>
      <vt:lpstr>Reag2Vol</vt:lpstr>
      <vt:lpstr>ReagCol1</vt:lpstr>
      <vt:lpstr>ReagCol10</vt:lpstr>
      <vt:lpstr>ReagCol11</vt:lpstr>
      <vt:lpstr>ReagCol12</vt:lpstr>
      <vt:lpstr>ReagCol2</vt:lpstr>
      <vt:lpstr>ReagCol3</vt:lpstr>
      <vt:lpstr>ReagCol4</vt:lpstr>
      <vt:lpstr>ReagCol5</vt:lpstr>
      <vt:lpstr>ReagCol6</vt:lpstr>
      <vt:lpstr>ReagCol7</vt:lpstr>
      <vt:lpstr>ReagCol8</vt:lpstr>
      <vt:lpstr>ReagCol9</vt:lpstr>
      <vt:lpstr>ReagentPlateType</vt:lpstr>
      <vt:lpstr>ReagR1Vol</vt:lpstr>
      <vt:lpstr>ReagR2Vol</vt:lpstr>
      <vt:lpstr>Run10A</vt:lpstr>
      <vt:lpstr>Run10B</vt:lpstr>
      <vt:lpstr>Run10C</vt:lpstr>
      <vt:lpstr>Run10D</vt:lpstr>
      <vt:lpstr>Run10E</vt:lpstr>
      <vt:lpstr>Run10F</vt:lpstr>
      <vt:lpstr>Run10G</vt:lpstr>
      <vt:lpstr>Run10H</vt:lpstr>
      <vt:lpstr>Run11A</vt:lpstr>
      <vt:lpstr>Run11B</vt:lpstr>
      <vt:lpstr>Run11C</vt:lpstr>
      <vt:lpstr>Run11D</vt:lpstr>
      <vt:lpstr>Run11E</vt:lpstr>
      <vt:lpstr>Run11F</vt:lpstr>
      <vt:lpstr>Run11G</vt:lpstr>
      <vt:lpstr>Run11H</vt:lpstr>
      <vt:lpstr>Run12A</vt:lpstr>
      <vt:lpstr>Run12B</vt:lpstr>
      <vt:lpstr>Run12C</vt:lpstr>
      <vt:lpstr>Run12D</vt:lpstr>
      <vt:lpstr>Run12E</vt:lpstr>
      <vt:lpstr>Run12F</vt:lpstr>
      <vt:lpstr>Run12G</vt:lpstr>
      <vt:lpstr>Run12H</vt:lpstr>
      <vt:lpstr>Run13A</vt:lpstr>
      <vt:lpstr>Run13B</vt:lpstr>
      <vt:lpstr>Run13C</vt:lpstr>
      <vt:lpstr>Run13D</vt:lpstr>
      <vt:lpstr>Run13E</vt:lpstr>
      <vt:lpstr>Run13F</vt:lpstr>
      <vt:lpstr>Run13G</vt:lpstr>
      <vt:lpstr>Run13H</vt:lpstr>
      <vt:lpstr>Run14A</vt:lpstr>
      <vt:lpstr>Run14B</vt:lpstr>
      <vt:lpstr>Run14C</vt:lpstr>
      <vt:lpstr>Run14D</vt:lpstr>
      <vt:lpstr>Run14E</vt:lpstr>
      <vt:lpstr>Run14F</vt:lpstr>
      <vt:lpstr>Run14G</vt:lpstr>
      <vt:lpstr>Run14H</vt:lpstr>
      <vt:lpstr>Run15A</vt:lpstr>
      <vt:lpstr>Run15B</vt:lpstr>
      <vt:lpstr>Run15C</vt:lpstr>
      <vt:lpstr>Run15D</vt:lpstr>
      <vt:lpstr>Run15E</vt:lpstr>
      <vt:lpstr>Run15F</vt:lpstr>
      <vt:lpstr>Run15G</vt:lpstr>
      <vt:lpstr>Run15H</vt:lpstr>
      <vt:lpstr>Run16A</vt:lpstr>
      <vt:lpstr>Run16B</vt:lpstr>
      <vt:lpstr>Run16C</vt:lpstr>
      <vt:lpstr>Run16D</vt:lpstr>
      <vt:lpstr>Run16E</vt:lpstr>
      <vt:lpstr>Run16F</vt:lpstr>
      <vt:lpstr>Run16G</vt:lpstr>
      <vt:lpstr>Run16H</vt:lpstr>
      <vt:lpstr>Run17A</vt:lpstr>
      <vt:lpstr>Run17B</vt:lpstr>
      <vt:lpstr>Run17C</vt:lpstr>
      <vt:lpstr>Run17D</vt:lpstr>
      <vt:lpstr>Run17E</vt:lpstr>
      <vt:lpstr>Run17F</vt:lpstr>
      <vt:lpstr>Run17G</vt:lpstr>
      <vt:lpstr>Run17H</vt:lpstr>
      <vt:lpstr>Run18A</vt:lpstr>
      <vt:lpstr>Run18B</vt:lpstr>
      <vt:lpstr>Run18C</vt:lpstr>
      <vt:lpstr>Run18D</vt:lpstr>
      <vt:lpstr>Run18E</vt:lpstr>
      <vt:lpstr>Run18F</vt:lpstr>
      <vt:lpstr>Run18G</vt:lpstr>
      <vt:lpstr>Run18H</vt:lpstr>
      <vt:lpstr>Run19A</vt:lpstr>
      <vt:lpstr>Run19B</vt:lpstr>
      <vt:lpstr>Run19C</vt:lpstr>
      <vt:lpstr>Run19D</vt:lpstr>
      <vt:lpstr>Run19E</vt:lpstr>
      <vt:lpstr>Run19F</vt:lpstr>
      <vt:lpstr>Run19G</vt:lpstr>
      <vt:lpstr>Run19H</vt:lpstr>
      <vt:lpstr>Run1A</vt:lpstr>
      <vt:lpstr>Run1B</vt:lpstr>
      <vt:lpstr>Run1C</vt:lpstr>
      <vt:lpstr>Run1D</vt:lpstr>
      <vt:lpstr>Run1E</vt:lpstr>
      <vt:lpstr>Run1F</vt:lpstr>
      <vt:lpstr>Run1G</vt:lpstr>
      <vt:lpstr>Run1H</vt:lpstr>
      <vt:lpstr>Run20A</vt:lpstr>
      <vt:lpstr>Run20B</vt:lpstr>
      <vt:lpstr>Run20C</vt:lpstr>
      <vt:lpstr>Run20D</vt:lpstr>
      <vt:lpstr>Run20E</vt:lpstr>
      <vt:lpstr>Run20F</vt:lpstr>
      <vt:lpstr>Run20G</vt:lpstr>
      <vt:lpstr>Run20H</vt:lpstr>
      <vt:lpstr>Run21A</vt:lpstr>
      <vt:lpstr>Run21B</vt:lpstr>
      <vt:lpstr>Run21C</vt:lpstr>
      <vt:lpstr>Run21D</vt:lpstr>
      <vt:lpstr>Run21E</vt:lpstr>
      <vt:lpstr>Run21F</vt:lpstr>
      <vt:lpstr>Run21G</vt:lpstr>
      <vt:lpstr>Run21H</vt:lpstr>
      <vt:lpstr>Run22A</vt:lpstr>
      <vt:lpstr>Run22B</vt:lpstr>
      <vt:lpstr>Run22C</vt:lpstr>
      <vt:lpstr>Run22D</vt:lpstr>
      <vt:lpstr>Run22E</vt:lpstr>
      <vt:lpstr>Run22F</vt:lpstr>
      <vt:lpstr>Run22G</vt:lpstr>
      <vt:lpstr>Run22H</vt:lpstr>
      <vt:lpstr>Run23A</vt:lpstr>
      <vt:lpstr>Run23B</vt:lpstr>
      <vt:lpstr>Run23C</vt:lpstr>
      <vt:lpstr>Run23D</vt:lpstr>
      <vt:lpstr>Run23E</vt:lpstr>
      <vt:lpstr>Run23F</vt:lpstr>
      <vt:lpstr>Run23G</vt:lpstr>
      <vt:lpstr>Run23H</vt:lpstr>
      <vt:lpstr>Run24A</vt:lpstr>
      <vt:lpstr>Run24B</vt:lpstr>
      <vt:lpstr>Run24C</vt:lpstr>
      <vt:lpstr>Run24D</vt:lpstr>
      <vt:lpstr>Run24E</vt:lpstr>
      <vt:lpstr>Run24F</vt:lpstr>
      <vt:lpstr>Run24G</vt:lpstr>
      <vt:lpstr>Run24H</vt:lpstr>
      <vt:lpstr>Run25A</vt:lpstr>
      <vt:lpstr>Run25B</vt:lpstr>
      <vt:lpstr>Run25C</vt:lpstr>
      <vt:lpstr>Run25D</vt:lpstr>
      <vt:lpstr>Run25E</vt:lpstr>
      <vt:lpstr>Run25F</vt:lpstr>
      <vt:lpstr>Run25G</vt:lpstr>
      <vt:lpstr>Run25H</vt:lpstr>
      <vt:lpstr>Run26A</vt:lpstr>
      <vt:lpstr>Run26B</vt:lpstr>
      <vt:lpstr>Run26C</vt:lpstr>
      <vt:lpstr>Run26D</vt:lpstr>
      <vt:lpstr>Run26E</vt:lpstr>
      <vt:lpstr>Run26F</vt:lpstr>
      <vt:lpstr>Run26G</vt:lpstr>
      <vt:lpstr>Run26H</vt:lpstr>
      <vt:lpstr>Run27A</vt:lpstr>
      <vt:lpstr>Run27B</vt:lpstr>
      <vt:lpstr>Run27C</vt:lpstr>
      <vt:lpstr>Run27D</vt:lpstr>
      <vt:lpstr>Run27E</vt:lpstr>
      <vt:lpstr>Run27F</vt:lpstr>
      <vt:lpstr>Run27G</vt:lpstr>
      <vt:lpstr>Run27H</vt:lpstr>
      <vt:lpstr>Run28A</vt:lpstr>
      <vt:lpstr>Run28B</vt:lpstr>
      <vt:lpstr>Run28C</vt:lpstr>
      <vt:lpstr>Run28D</vt:lpstr>
      <vt:lpstr>Run28E</vt:lpstr>
      <vt:lpstr>Run28F</vt:lpstr>
      <vt:lpstr>Run28G</vt:lpstr>
      <vt:lpstr>Run28H</vt:lpstr>
      <vt:lpstr>Run29A</vt:lpstr>
      <vt:lpstr>Run29B</vt:lpstr>
      <vt:lpstr>Run29C</vt:lpstr>
      <vt:lpstr>Run29D</vt:lpstr>
      <vt:lpstr>Run29E</vt:lpstr>
      <vt:lpstr>Run29F</vt:lpstr>
      <vt:lpstr>Run29G</vt:lpstr>
      <vt:lpstr>Run29H</vt:lpstr>
      <vt:lpstr>Run2A</vt:lpstr>
      <vt:lpstr>Run2B</vt:lpstr>
      <vt:lpstr>Run2C</vt:lpstr>
      <vt:lpstr>Run2D</vt:lpstr>
      <vt:lpstr>Run2E</vt:lpstr>
      <vt:lpstr>Run2F</vt:lpstr>
      <vt:lpstr>Run2G</vt:lpstr>
      <vt:lpstr>Run2H</vt:lpstr>
      <vt:lpstr>Run30A</vt:lpstr>
      <vt:lpstr>Run30B</vt:lpstr>
      <vt:lpstr>Run30C</vt:lpstr>
      <vt:lpstr>Run30D</vt:lpstr>
      <vt:lpstr>Run30E</vt:lpstr>
      <vt:lpstr>Run30F</vt:lpstr>
      <vt:lpstr>Run30G</vt:lpstr>
      <vt:lpstr>Run30H</vt:lpstr>
      <vt:lpstr>Run31A</vt:lpstr>
      <vt:lpstr>Run31B</vt:lpstr>
      <vt:lpstr>Run31C</vt:lpstr>
      <vt:lpstr>Run31D</vt:lpstr>
      <vt:lpstr>Run31E</vt:lpstr>
      <vt:lpstr>Run31F</vt:lpstr>
      <vt:lpstr>Run31G</vt:lpstr>
      <vt:lpstr>Run31H</vt:lpstr>
      <vt:lpstr>Run32A</vt:lpstr>
      <vt:lpstr>Run32B</vt:lpstr>
      <vt:lpstr>Run32C</vt:lpstr>
      <vt:lpstr>Run32D</vt:lpstr>
      <vt:lpstr>Run32E</vt:lpstr>
      <vt:lpstr>Run32F</vt:lpstr>
      <vt:lpstr>Run32G</vt:lpstr>
      <vt:lpstr>Run32H</vt:lpstr>
      <vt:lpstr>Run33A</vt:lpstr>
      <vt:lpstr>Run33B</vt:lpstr>
      <vt:lpstr>Run33C</vt:lpstr>
      <vt:lpstr>Run33D</vt:lpstr>
      <vt:lpstr>Run33E</vt:lpstr>
      <vt:lpstr>Run33F</vt:lpstr>
      <vt:lpstr>Run33G</vt:lpstr>
      <vt:lpstr>Run33H</vt:lpstr>
      <vt:lpstr>Run34A</vt:lpstr>
      <vt:lpstr>Run34B</vt:lpstr>
      <vt:lpstr>Run34C</vt:lpstr>
      <vt:lpstr>Run34D</vt:lpstr>
      <vt:lpstr>Run34E</vt:lpstr>
      <vt:lpstr>Run34F</vt:lpstr>
      <vt:lpstr>Run34G</vt:lpstr>
      <vt:lpstr>Run34H</vt:lpstr>
      <vt:lpstr>Run35A</vt:lpstr>
      <vt:lpstr>Run35B</vt:lpstr>
      <vt:lpstr>Run35C</vt:lpstr>
      <vt:lpstr>Run35D</vt:lpstr>
      <vt:lpstr>Run35E</vt:lpstr>
      <vt:lpstr>Run35F</vt:lpstr>
      <vt:lpstr>Run35G</vt:lpstr>
      <vt:lpstr>Run35H</vt:lpstr>
      <vt:lpstr>Run36A</vt:lpstr>
      <vt:lpstr>Run36B</vt:lpstr>
      <vt:lpstr>Run36C</vt:lpstr>
      <vt:lpstr>Run36D</vt:lpstr>
      <vt:lpstr>Run36E</vt:lpstr>
      <vt:lpstr>Run36F</vt:lpstr>
      <vt:lpstr>Run36G</vt:lpstr>
      <vt:lpstr>Run36H</vt:lpstr>
      <vt:lpstr>Run3A</vt:lpstr>
      <vt:lpstr>Run3B</vt:lpstr>
      <vt:lpstr>Run3C</vt:lpstr>
      <vt:lpstr>Run3D</vt:lpstr>
      <vt:lpstr>Run3E</vt:lpstr>
      <vt:lpstr>Run3F</vt:lpstr>
      <vt:lpstr>Run3G</vt:lpstr>
      <vt:lpstr>Run3H</vt:lpstr>
      <vt:lpstr>Run4A</vt:lpstr>
      <vt:lpstr>Run4B</vt:lpstr>
      <vt:lpstr>Run4C</vt:lpstr>
      <vt:lpstr>Run4D</vt:lpstr>
      <vt:lpstr>Run4E</vt:lpstr>
      <vt:lpstr>Run4F</vt:lpstr>
      <vt:lpstr>Run4G</vt:lpstr>
      <vt:lpstr>Run4H</vt:lpstr>
      <vt:lpstr>Run5A</vt:lpstr>
      <vt:lpstr>Run5B</vt:lpstr>
      <vt:lpstr>Run5C</vt:lpstr>
      <vt:lpstr>Run5D</vt:lpstr>
      <vt:lpstr>Run5E</vt:lpstr>
      <vt:lpstr>Run5F</vt:lpstr>
      <vt:lpstr>Run5G</vt:lpstr>
      <vt:lpstr>Run5H</vt:lpstr>
      <vt:lpstr>Run6A</vt:lpstr>
      <vt:lpstr>Run6B</vt:lpstr>
      <vt:lpstr>Run6C</vt:lpstr>
      <vt:lpstr>Run6D</vt:lpstr>
      <vt:lpstr>Run6E</vt:lpstr>
      <vt:lpstr>Run6F</vt:lpstr>
      <vt:lpstr>Run6G</vt:lpstr>
      <vt:lpstr>Run6H</vt:lpstr>
      <vt:lpstr>Run7A</vt:lpstr>
      <vt:lpstr>Run7B</vt:lpstr>
      <vt:lpstr>Run7C</vt:lpstr>
      <vt:lpstr>Run7D</vt:lpstr>
      <vt:lpstr>Run7E</vt:lpstr>
      <vt:lpstr>Run7F</vt:lpstr>
      <vt:lpstr>Run7G</vt:lpstr>
      <vt:lpstr>Run7H</vt:lpstr>
      <vt:lpstr>Run8A</vt:lpstr>
      <vt:lpstr>Run8B</vt:lpstr>
      <vt:lpstr>Run8C</vt:lpstr>
      <vt:lpstr>Run8D</vt:lpstr>
      <vt:lpstr>Run8E</vt:lpstr>
      <vt:lpstr>Run8F</vt:lpstr>
      <vt:lpstr>Run8G</vt:lpstr>
      <vt:lpstr>Run8H</vt:lpstr>
      <vt:lpstr>Run9A</vt:lpstr>
      <vt:lpstr>Run9B</vt:lpstr>
      <vt:lpstr>Run9C</vt:lpstr>
      <vt:lpstr>Run9D</vt:lpstr>
      <vt:lpstr>Run9E</vt:lpstr>
      <vt:lpstr>Run9F</vt:lpstr>
      <vt:lpstr>Run9G</vt:lpstr>
      <vt:lpstr>Run9H</vt:lpstr>
      <vt:lpstr>RunLabel1</vt:lpstr>
      <vt:lpstr>RunLabel10</vt:lpstr>
      <vt:lpstr>RunLabel11</vt:lpstr>
      <vt:lpstr>RunLabel12</vt:lpstr>
      <vt:lpstr>RunLabel13</vt:lpstr>
      <vt:lpstr>RunLabel14</vt:lpstr>
      <vt:lpstr>RunLabel15</vt:lpstr>
      <vt:lpstr>RunLabel16</vt:lpstr>
      <vt:lpstr>RunLabel17</vt:lpstr>
      <vt:lpstr>RunLabel18</vt:lpstr>
      <vt:lpstr>RunLabel19</vt:lpstr>
      <vt:lpstr>RunLabel2</vt:lpstr>
      <vt:lpstr>RunLabel20</vt:lpstr>
      <vt:lpstr>RunLabel21</vt:lpstr>
      <vt:lpstr>RunLabel22</vt:lpstr>
      <vt:lpstr>RunLabel23</vt:lpstr>
      <vt:lpstr>RunLabel24</vt:lpstr>
      <vt:lpstr>RunLabel25</vt:lpstr>
      <vt:lpstr>RunLabel26</vt:lpstr>
      <vt:lpstr>RunLabel27</vt:lpstr>
      <vt:lpstr>RunLabel28</vt:lpstr>
      <vt:lpstr>RunLabel29</vt:lpstr>
      <vt:lpstr>RunLabel3</vt:lpstr>
      <vt:lpstr>RunLabel30</vt:lpstr>
      <vt:lpstr>RunLabel31</vt:lpstr>
      <vt:lpstr>RunLabel32</vt:lpstr>
      <vt:lpstr>RunLabel33</vt:lpstr>
      <vt:lpstr>RunLabel34</vt:lpstr>
      <vt:lpstr>RunLabel35</vt:lpstr>
      <vt:lpstr>RunLabel36</vt:lpstr>
      <vt:lpstr>RunLabel4</vt:lpstr>
      <vt:lpstr>RunLabel5</vt:lpstr>
      <vt:lpstr>RunLabel6</vt:lpstr>
      <vt:lpstr>RunLabel7</vt:lpstr>
      <vt:lpstr>RunLabel8</vt:lpstr>
      <vt:lpstr>RunLabel9</vt:lpstr>
      <vt:lpstr>SamplePlateType</vt:lpstr>
      <vt:lpstr>ScriptGrp</vt:lpstr>
      <vt:lpstr>Sec1E</vt:lpstr>
      <vt:lpstr>Sec1S</vt:lpstr>
      <vt:lpstr>Sec2E</vt:lpstr>
      <vt:lpstr>Sec2S</vt:lpstr>
      <vt:lpstr>Sec3E</vt:lpstr>
      <vt:lpstr>Sec3S</vt:lpstr>
      <vt:lpstr>SWCIncuTime</vt:lpstr>
      <vt:lpstr>Trough1Desc</vt:lpstr>
      <vt:lpstr>Trough1Vol</vt:lpstr>
      <vt:lpstr>Trough2Desc</vt:lpstr>
      <vt:lpstr>Trough2Vol</vt:lpstr>
      <vt:lpstr>Trough3Desc</vt:lpstr>
      <vt:lpstr>Trough3Vol</vt:lpstr>
      <vt:lpstr>Trough4Desc</vt:lpstr>
      <vt:lpstr>Trough4Vol</vt:lpstr>
      <vt:lpstr>Trough5Desc</vt:lpstr>
      <vt:lpstr>Trough5Vol</vt:lpstr>
      <vt:lpstr>Trough6Desc</vt:lpstr>
      <vt:lpstr>Trough6Vol</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Balaji Mahender</dc:creator>
  <cp:lastModifiedBy>Shivalik Bakshi</cp:lastModifiedBy>
  <cp:lastPrinted>2018-08-28T17:28:23Z</cp:lastPrinted>
  <dcterms:created xsi:type="dcterms:W3CDTF">2008-07-28T03:49:27Z</dcterms:created>
  <dcterms:modified xsi:type="dcterms:W3CDTF">2018-08-28T17:28:53Z</dcterms:modified>
</cp:coreProperties>
</file>